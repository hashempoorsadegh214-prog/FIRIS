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ropbox\GlobalFuels\Global fuelbeds map - producto final\"/>
    </mc:Choice>
  </mc:AlternateContent>
  <bookViews>
    <workbookView xWindow="-15" yWindow="-15" windowWidth="8745" windowHeight="8325" tabRatio="762"/>
  </bookViews>
  <sheets>
    <sheet name="Comments" sheetId="6" r:id="rId1"/>
    <sheet name="Definitions" sheetId="8" r:id="rId2"/>
    <sheet name="Fuelbeds_metric" sheetId="13" r:id="rId3"/>
    <sheet name="Fuelbeds_english" sheetId="7" r:id="rId4"/>
    <sheet name="References" sheetId="12" r:id="rId5"/>
  </sheets>
  <definedNames>
    <definedName name="_xlnm._FilterDatabase" localSheetId="3" hidden="1">Fuelbeds_english!$A$1:$BO$361</definedName>
    <definedName name="_xlnm._FilterDatabase" localSheetId="4" hidden="1">References!$A$1:$F$360</definedName>
    <definedName name="_xlnm.Database">#REF!</definedName>
  </definedNames>
  <calcPr calcId="162913"/>
</workbook>
</file>

<file path=xl/calcChain.xml><?xml version="1.0" encoding="utf-8"?>
<calcChain xmlns="http://schemas.openxmlformats.org/spreadsheetml/2006/main">
  <c r="AO15" i="13" l="1"/>
  <c r="AO23" i="13"/>
  <c r="AO27" i="13"/>
  <c r="AO31" i="13"/>
  <c r="AO35" i="13"/>
  <c r="AO39" i="13"/>
  <c r="AO43" i="13"/>
  <c r="BO3" i="13"/>
  <c r="BO4" i="13"/>
  <c r="BO5" i="13"/>
  <c r="BO6" i="13"/>
  <c r="BO7" i="13"/>
  <c r="BO8" i="13"/>
  <c r="BO9" i="13"/>
  <c r="BO10" i="13"/>
  <c r="BO11" i="13"/>
  <c r="BO12" i="13"/>
  <c r="BO13" i="13"/>
  <c r="BO14" i="13"/>
  <c r="BO15" i="13"/>
  <c r="BO16" i="13"/>
  <c r="BO17" i="13"/>
  <c r="BO18" i="13"/>
  <c r="BO19" i="13"/>
  <c r="BO20" i="13"/>
  <c r="BO21" i="13"/>
  <c r="BO22" i="13"/>
  <c r="BO23" i="13"/>
  <c r="BO24" i="13"/>
  <c r="BO25" i="13"/>
  <c r="BO26" i="13"/>
  <c r="BO27" i="13"/>
  <c r="BO28" i="13"/>
  <c r="BO29" i="13"/>
  <c r="BO30" i="13"/>
  <c r="BO31" i="13"/>
  <c r="BO32" i="13"/>
  <c r="BO33" i="13"/>
  <c r="BO34" i="13"/>
  <c r="BO35" i="13"/>
  <c r="BO36" i="13"/>
  <c r="BO37" i="13"/>
  <c r="BO38" i="13"/>
  <c r="BO39" i="13"/>
  <c r="BO40" i="13"/>
  <c r="BO41" i="13"/>
  <c r="BO42" i="13"/>
  <c r="BO43" i="13"/>
  <c r="BO44" i="13"/>
  <c r="BO45" i="13"/>
  <c r="BO46" i="13"/>
  <c r="BO47" i="13"/>
  <c r="BO48" i="13"/>
  <c r="BO49" i="13"/>
  <c r="BO50" i="13"/>
  <c r="BO51" i="13"/>
  <c r="BO52" i="13"/>
  <c r="BO53" i="13"/>
  <c r="BO54" i="13"/>
  <c r="BO55" i="13"/>
  <c r="BO56" i="13"/>
  <c r="BO57" i="13"/>
  <c r="BO58" i="13"/>
  <c r="BO59" i="13"/>
  <c r="BO60" i="13"/>
  <c r="BO61" i="13"/>
  <c r="BO62" i="13"/>
  <c r="BO63" i="13"/>
  <c r="BO64" i="13"/>
  <c r="BO65" i="13"/>
  <c r="BO66" i="13"/>
  <c r="BO67" i="13"/>
  <c r="BO68" i="13"/>
  <c r="BO69" i="13"/>
  <c r="BO70" i="13"/>
  <c r="BO71" i="13"/>
  <c r="BO72" i="13"/>
  <c r="BO73" i="13"/>
  <c r="BO74" i="13"/>
  <c r="BO75" i="13"/>
  <c r="BO76" i="13"/>
  <c r="BO77" i="13"/>
  <c r="BO78" i="13"/>
  <c r="BO79" i="13"/>
  <c r="BO80" i="13"/>
  <c r="BO81" i="13"/>
  <c r="BO82" i="13"/>
  <c r="BO83" i="13"/>
  <c r="BO84" i="13"/>
  <c r="BO85" i="13"/>
  <c r="BO86" i="13"/>
  <c r="BO87" i="13"/>
  <c r="BO88" i="13"/>
  <c r="BO89" i="13"/>
  <c r="BO90" i="13"/>
  <c r="BO91" i="13"/>
  <c r="BO92" i="13"/>
  <c r="BO93" i="13"/>
  <c r="BO94" i="13"/>
  <c r="BO95" i="13"/>
  <c r="BO96" i="13"/>
  <c r="BO97" i="13"/>
  <c r="BO98" i="13"/>
  <c r="BO99" i="13"/>
  <c r="BO100" i="13"/>
  <c r="BO101" i="13"/>
  <c r="BO102" i="13"/>
  <c r="BO103" i="13"/>
  <c r="BO104" i="13"/>
  <c r="BO105" i="13"/>
  <c r="BO106" i="13"/>
  <c r="BO107" i="13"/>
  <c r="BO108" i="13"/>
  <c r="BO109" i="13"/>
  <c r="BO110" i="13"/>
  <c r="BO111" i="13"/>
  <c r="BO112" i="13"/>
  <c r="BO113" i="13"/>
  <c r="BO114" i="13"/>
  <c r="BO115" i="13"/>
  <c r="BO116" i="13"/>
  <c r="BO117" i="13"/>
  <c r="BO118" i="13"/>
  <c r="BO119" i="13"/>
  <c r="BO120" i="13"/>
  <c r="BO121" i="13"/>
  <c r="BO122" i="13"/>
  <c r="BO123" i="13"/>
  <c r="BO124" i="13"/>
  <c r="BO125" i="13"/>
  <c r="BO126" i="13"/>
  <c r="BO127" i="13"/>
  <c r="BO128" i="13"/>
  <c r="BO129" i="13"/>
  <c r="BO130" i="13"/>
  <c r="BO131" i="13"/>
  <c r="BO132" i="13"/>
  <c r="BO133" i="13"/>
  <c r="BO134" i="13"/>
  <c r="BO135" i="13"/>
  <c r="BO136" i="13"/>
  <c r="BO137" i="13"/>
  <c r="BO138" i="13"/>
  <c r="BO139" i="13"/>
  <c r="BO140" i="13"/>
  <c r="BO141" i="13"/>
  <c r="BO142" i="13"/>
  <c r="BO143" i="13"/>
  <c r="BO144" i="13"/>
  <c r="BO145" i="13"/>
  <c r="BO146" i="13"/>
  <c r="BO147" i="13"/>
  <c r="BO148" i="13"/>
  <c r="BO149" i="13"/>
  <c r="BO150" i="13"/>
  <c r="BO151" i="13"/>
  <c r="BO152" i="13"/>
  <c r="BO153" i="13"/>
  <c r="BO154" i="13"/>
  <c r="BO155" i="13"/>
  <c r="BO156" i="13"/>
  <c r="BO157" i="13"/>
  <c r="BO158" i="13"/>
  <c r="BO159" i="13"/>
  <c r="BO160" i="13"/>
  <c r="BO161" i="13"/>
  <c r="BO162" i="13"/>
  <c r="BO163" i="13"/>
  <c r="BO164" i="13"/>
  <c r="BO165" i="13"/>
  <c r="BO166" i="13"/>
  <c r="BO167" i="13"/>
  <c r="BO168" i="13"/>
  <c r="BO169" i="13"/>
  <c r="BO170" i="13"/>
  <c r="BO171" i="13"/>
  <c r="BO172" i="13"/>
  <c r="BO173" i="13"/>
  <c r="BO174" i="13"/>
  <c r="BO175" i="13"/>
  <c r="BO176" i="13"/>
  <c r="BO177" i="13"/>
  <c r="BO178" i="13"/>
  <c r="BO179" i="13"/>
  <c r="BO180" i="13"/>
  <c r="BO181" i="13"/>
  <c r="BO182" i="13"/>
  <c r="BO183" i="13"/>
  <c r="BO184" i="13"/>
  <c r="BO185" i="13"/>
  <c r="BO186" i="13"/>
  <c r="BO187" i="13"/>
  <c r="BO188" i="13"/>
  <c r="BO189" i="13"/>
  <c r="BO190" i="13"/>
  <c r="BO191" i="13"/>
  <c r="BO192" i="13"/>
  <c r="BO193" i="13"/>
  <c r="BO194" i="13"/>
  <c r="BO195" i="13"/>
  <c r="BO196" i="13"/>
  <c r="BO197" i="13"/>
  <c r="BO198" i="13"/>
  <c r="BO199" i="13"/>
  <c r="BO200" i="13"/>
  <c r="BO201" i="13"/>
  <c r="BO202" i="13"/>
  <c r="BO203" i="13"/>
  <c r="BO204" i="13"/>
  <c r="BO205" i="13"/>
  <c r="BO206" i="13"/>
  <c r="BO207" i="13"/>
  <c r="BO208" i="13"/>
  <c r="BO209" i="13"/>
  <c r="BO210" i="13"/>
  <c r="BO211" i="13"/>
  <c r="BO212" i="13"/>
  <c r="BO213" i="13"/>
  <c r="BO214" i="13"/>
  <c r="BO215" i="13"/>
  <c r="BO216" i="13"/>
  <c r="BO217" i="13"/>
  <c r="BO218" i="13"/>
  <c r="BO219" i="13"/>
  <c r="BO220" i="13"/>
  <c r="BO221" i="13"/>
  <c r="BO222" i="13"/>
  <c r="BO223" i="13"/>
  <c r="BO224" i="13"/>
  <c r="BO225" i="13"/>
  <c r="BO226" i="13"/>
  <c r="BO227" i="13"/>
  <c r="BO228" i="13"/>
  <c r="BO229" i="13"/>
  <c r="BO230" i="13"/>
  <c r="BO231" i="13"/>
  <c r="BO232" i="13"/>
  <c r="BO233" i="13"/>
  <c r="BO234" i="13"/>
  <c r="BO235" i="13"/>
  <c r="BO236" i="13"/>
  <c r="BO237" i="13"/>
  <c r="BO238" i="13"/>
  <c r="BO239" i="13"/>
  <c r="BO240" i="13"/>
  <c r="BO241" i="13"/>
  <c r="BO242" i="13"/>
  <c r="BO243" i="13"/>
  <c r="BO244" i="13"/>
  <c r="BO245" i="13"/>
  <c r="BO246" i="13"/>
  <c r="BO247" i="13"/>
  <c r="BO248" i="13"/>
  <c r="BO249" i="13"/>
  <c r="BO250" i="13"/>
  <c r="BO251" i="13"/>
  <c r="BO252" i="13"/>
  <c r="BO253" i="13"/>
  <c r="BO254" i="13"/>
  <c r="BO255" i="13"/>
  <c r="BO256" i="13"/>
  <c r="BO257" i="13"/>
  <c r="BO258" i="13"/>
  <c r="BO259" i="13"/>
  <c r="BO260" i="13"/>
  <c r="BO261" i="13"/>
  <c r="BO262" i="13"/>
  <c r="BO263" i="13"/>
  <c r="BO264" i="13"/>
  <c r="BO265" i="13"/>
  <c r="BO266" i="13"/>
  <c r="BO267" i="13"/>
  <c r="BO268" i="13"/>
  <c r="BO269" i="13"/>
  <c r="BO270" i="13"/>
  <c r="BO271" i="13"/>
  <c r="BO272" i="13"/>
  <c r="BO273" i="13"/>
  <c r="BO274" i="13"/>
  <c r="BO275" i="13"/>
  <c r="BO276" i="13"/>
  <c r="BO277" i="13"/>
  <c r="BO278" i="13"/>
  <c r="BO279" i="13"/>
  <c r="BO280" i="13"/>
  <c r="BO281" i="13"/>
  <c r="BO282" i="13"/>
  <c r="BO283" i="13"/>
  <c r="BO284" i="13"/>
  <c r="BO285" i="13"/>
  <c r="BO286" i="13"/>
  <c r="BO287" i="13"/>
  <c r="BO288" i="13"/>
  <c r="BO289" i="13"/>
  <c r="BO290" i="13"/>
  <c r="BO291" i="13"/>
  <c r="BO292" i="13"/>
  <c r="BO293" i="13"/>
  <c r="BO294" i="13"/>
  <c r="BO295" i="13"/>
  <c r="BO296" i="13"/>
  <c r="BO297" i="13"/>
  <c r="BO298" i="13"/>
  <c r="BO299" i="13"/>
  <c r="BO300" i="13"/>
  <c r="BO301" i="13"/>
  <c r="BO302" i="13"/>
  <c r="BO303" i="13"/>
  <c r="BO304" i="13"/>
  <c r="BO305" i="13"/>
  <c r="BO306" i="13"/>
  <c r="BO307" i="13"/>
  <c r="BO308" i="13"/>
  <c r="BO309" i="13"/>
  <c r="BO310" i="13"/>
  <c r="BO311" i="13"/>
  <c r="BO312" i="13"/>
  <c r="BO313" i="13"/>
  <c r="BO314" i="13"/>
  <c r="BO315" i="13"/>
  <c r="BO316" i="13"/>
  <c r="BO317" i="13"/>
  <c r="BO318" i="13"/>
  <c r="BO319" i="13"/>
  <c r="BO320" i="13"/>
  <c r="BO321" i="13"/>
  <c r="BO322" i="13"/>
  <c r="BO323" i="13"/>
  <c r="BO324" i="13"/>
  <c r="BO325" i="13"/>
  <c r="BO326" i="13"/>
  <c r="BO327" i="13"/>
  <c r="BO328" i="13"/>
  <c r="BO329" i="13"/>
  <c r="BO330" i="13"/>
  <c r="BO331" i="13"/>
  <c r="BO332" i="13"/>
  <c r="BO333" i="13"/>
  <c r="BO334" i="13"/>
  <c r="BO335" i="13"/>
  <c r="BO336" i="13"/>
  <c r="BO337" i="13"/>
  <c r="BO338" i="13"/>
  <c r="BO339" i="13"/>
  <c r="BO340" i="13"/>
  <c r="BO341" i="13"/>
  <c r="BO342" i="13"/>
  <c r="BO343" i="13"/>
  <c r="BO344" i="13"/>
  <c r="BO345" i="13"/>
  <c r="BO346" i="13"/>
  <c r="BO347" i="13"/>
  <c r="BO348" i="13"/>
  <c r="BO349" i="13"/>
  <c r="BO350" i="13"/>
  <c r="BO351" i="13"/>
  <c r="BO352" i="13"/>
  <c r="BO353" i="13"/>
  <c r="BO354" i="13"/>
  <c r="BO355" i="13"/>
  <c r="BO356" i="13"/>
  <c r="BO357" i="13"/>
  <c r="BO358" i="13"/>
  <c r="BO359" i="13"/>
  <c r="BO360" i="13"/>
  <c r="BO2" i="13"/>
  <c r="BL3" i="13"/>
  <c r="BL4" i="13"/>
  <c r="BL5" i="13"/>
  <c r="BL6" i="13"/>
  <c r="BL7" i="13"/>
  <c r="BL8" i="13"/>
  <c r="BL9" i="13"/>
  <c r="BL10" i="13"/>
  <c r="BL11" i="13"/>
  <c r="BL12" i="13"/>
  <c r="BL13" i="13"/>
  <c r="BL14" i="13"/>
  <c r="BL15" i="13"/>
  <c r="BL16" i="13"/>
  <c r="BL17" i="13"/>
  <c r="BL18" i="13"/>
  <c r="BL19" i="13"/>
  <c r="BL20" i="13"/>
  <c r="BL21" i="13"/>
  <c r="BL22" i="13"/>
  <c r="BL23" i="13"/>
  <c r="BL24" i="13"/>
  <c r="BL25" i="13"/>
  <c r="BL26" i="13"/>
  <c r="BL27" i="13"/>
  <c r="BL28" i="13"/>
  <c r="BL29" i="13"/>
  <c r="BL30" i="13"/>
  <c r="BL31" i="13"/>
  <c r="BL32" i="13"/>
  <c r="BL33" i="13"/>
  <c r="BL34" i="13"/>
  <c r="BL35" i="13"/>
  <c r="BL36" i="13"/>
  <c r="BL37" i="13"/>
  <c r="BL38" i="13"/>
  <c r="BL39" i="13"/>
  <c r="BL40" i="13"/>
  <c r="BL41" i="13"/>
  <c r="BL42" i="13"/>
  <c r="BL43" i="13"/>
  <c r="BL44" i="13"/>
  <c r="BL45" i="13"/>
  <c r="BL46" i="13"/>
  <c r="BL47" i="13"/>
  <c r="BL48" i="13"/>
  <c r="BL49" i="13"/>
  <c r="BL50" i="13"/>
  <c r="BL51" i="13"/>
  <c r="BL52" i="13"/>
  <c r="BL53" i="13"/>
  <c r="BL54" i="13"/>
  <c r="BL55" i="13"/>
  <c r="BL56" i="13"/>
  <c r="BL57" i="13"/>
  <c r="BL58" i="13"/>
  <c r="BL59" i="13"/>
  <c r="BL60" i="13"/>
  <c r="BL61" i="13"/>
  <c r="BL62" i="13"/>
  <c r="BL63" i="13"/>
  <c r="BL64" i="13"/>
  <c r="BL65" i="13"/>
  <c r="BL66" i="13"/>
  <c r="BL67" i="13"/>
  <c r="BL68" i="13"/>
  <c r="BL69" i="13"/>
  <c r="BL70" i="13"/>
  <c r="BL71" i="13"/>
  <c r="BL72" i="13"/>
  <c r="BL73" i="13"/>
  <c r="BL74" i="13"/>
  <c r="BL75" i="13"/>
  <c r="BL76" i="13"/>
  <c r="BL77" i="13"/>
  <c r="BL78" i="13"/>
  <c r="BL79" i="13"/>
  <c r="BL80" i="13"/>
  <c r="BL81" i="13"/>
  <c r="BL82" i="13"/>
  <c r="BL83" i="13"/>
  <c r="BL84" i="13"/>
  <c r="BL85" i="13"/>
  <c r="BL86" i="13"/>
  <c r="BL87" i="13"/>
  <c r="BL88" i="13"/>
  <c r="BL89" i="13"/>
  <c r="BL90" i="13"/>
  <c r="BL91" i="13"/>
  <c r="BL92" i="13"/>
  <c r="BL93" i="13"/>
  <c r="BL94" i="13"/>
  <c r="BL95" i="13"/>
  <c r="BL96" i="13"/>
  <c r="BL97" i="13"/>
  <c r="BL98" i="13"/>
  <c r="BL99" i="13"/>
  <c r="BL100" i="13"/>
  <c r="BL101" i="13"/>
  <c r="BL102" i="13"/>
  <c r="BL103" i="13"/>
  <c r="BL104" i="13"/>
  <c r="BL105" i="13"/>
  <c r="BL106" i="13"/>
  <c r="BL107" i="13"/>
  <c r="BL108" i="13"/>
  <c r="BL109" i="13"/>
  <c r="BL110" i="13"/>
  <c r="BL111" i="13"/>
  <c r="BL112" i="13"/>
  <c r="BL113" i="13"/>
  <c r="BL114" i="13"/>
  <c r="BL115" i="13"/>
  <c r="BL116" i="13"/>
  <c r="BL117" i="13"/>
  <c r="BL118" i="13"/>
  <c r="BL119" i="13"/>
  <c r="BL120" i="13"/>
  <c r="BL121" i="13"/>
  <c r="BL122" i="13"/>
  <c r="BL123" i="13"/>
  <c r="BL124" i="13"/>
  <c r="BL125" i="13"/>
  <c r="BL126" i="13"/>
  <c r="BL127" i="13"/>
  <c r="BL128" i="13"/>
  <c r="BL129" i="13"/>
  <c r="BL130" i="13"/>
  <c r="BL131" i="13"/>
  <c r="BL132" i="13"/>
  <c r="BL133" i="13"/>
  <c r="BL134" i="13"/>
  <c r="BL135" i="13"/>
  <c r="BL136" i="13"/>
  <c r="BL137" i="13"/>
  <c r="BL138" i="13"/>
  <c r="BL139" i="13"/>
  <c r="BL140" i="13"/>
  <c r="BL141" i="13"/>
  <c r="BL142" i="13"/>
  <c r="BL143" i="13"/>
  <c r="BL144" i="13"/>
  <c r="BL145" i="13"/>
  <c r="BL146" i="13"/>
  <c r="BL147" i="13"/>
  <c r="BL148" i="13"/>
  <c r="BL149" i="13"/>
  <c r="BL150" i="13"/>
  <c r="BL151" i="13"/>
  <c r="BL152" i="13"/>
  <c r="BL153" i="13"/>
  <c r="BL154" i="13"/>
  <c r="BL155" i="13"/>
  <c r="BL156" i="13"/>
  <c r="BL157" i="13"/>
  <c r="BL158" i="13"/>
  <c r="BL159" i="13"/>
  <c r="BL160" i="13"/>
  <c r="BL161" i="13"/>
  <c r="BL162" i="13"/>
  <c r="BL163" i="13"/>
  <c r="BL164" i="13"/>
  <c r="BL165" i="13"/>
  <c r="BL166" i="13"/>
  <c r="BL167" i="13"/>
  <c r="BL168" i="13"/>
  <c r="BL169" i="13"/>
  <c r="BL170" i="13"/>
  <c r="BL171" i="13"/>
  <c r="BL172" i="13"/>
  <c r="BL173" i="13"/>
  <c r="BL174" i="13"/>
  <c r="BL175" i="13"/>
  <c r="BL176" i="13"/>
  <c r="BL177" i="13"/>
  <c r="BL178" i="13"/>
  <c r="BL179" i="13"/>
  <c r="BL180" i="13"/>
  <c r="BL181" i="13"/>
  <c r="BL182" i="13"/>
  <c r="BL183" i="13"/>
  <c r="BL184" i="13"/>
  <c r="BL185" i="13"/>
  <c r="BL186" i="13"/>
  <c r="BL187" i="13"/>
  <c r="BL188" i="13"/>
  <c r="BL189" i="13"/>
  <c r="BL190" i="13"/>
  <c r="BL191" i="13"/>
  <c r="BL192" i="13"/>
  <c r="BL193" i="13"/>
  <c r="BL194" i="13"/>
  <c r="BL195" i="13"/>
  <c r="BL196" i="13"/>
  <c r="BL197" i="13"/>
  <c r="BL198" i="13"/>
  <c r="BL199" i="13"/>
  <c r="BL200" i="13"/>
  <c r="BL201" i="13"/>
  <c r="BL202" i="13"/>
  <c r="BL203" i="13"/>
  <c r="BL204" i="13"/>
  <c r="BL205" i="13"/>
  <c r="BL206" i="13"/>
  <c r="BL207" i="13"/>
  <c r="BL208" i="13"/>
  <c r="BL209" i="13"/>
  <c r="BL210" i="13"/>
  <c r="BL211" i="13"/>
  <c r="BL212" i="13"/>
  <c r="BL213" i="13"/>
  <c r="BL214" i="13"/>
  <c r="BL215" i="13"/>
  <c r="BL216" i="13"/>
  <c r="BL217" i="13"/>
  <c r="BL218" i="13"/>
  <c r="BL219" i="13"/>
  <c r="BL220" i="13"/>
  <c r="BL221" i="13"/>
  <c r="BL222" i="13"/>
  <c r="BL223" i="13"/>
  <c r="BL224" i="13"/>
  <c r="BL225" i="13"/>
  <c r="BL226" i="13"/>
  <c r="BL227" i="13"/>
  <c r="BL228" i="13"/>
  <c r="BL229" i="13"/>
  <c r="BL230" i="13"/>
  <c r="BL231" i="13"/>
  <c r="BL232" i="13"/>
  <c r="BL233" i="13"/>
  <c r="BL234" i="13"/>
  <c r="BL235" i="13"/>
  <c r="BL236" i="13"/>
  <c r="BL237" i="13"/>
  <c r="BL238" i="13"/>
  <c r="BL239" i="13"/>
  <c r="BL240" i="13"/>
  <c r="BL241" i="13"/>
  <c r="BL242" i="13"/>
  <c r="BL243" i="13"/>
  <c r="BL244" i="13"/>
  <c r="BL245" i="13"/>
  <c r="BL246" i="13"/>
  <c r="BL247" i="13"/>
  <c r="BL248" i="13"/>
  <c r="BL249" i="13"/>
  <c r="BL250" i="13"/>
  <c r="BL251" i="13"/>
  <c r="BL252" i="13"/>
  <c r="BL253" i="13"/>
  <c r="BL254" i="13"/>
  <c r="BL255" i="13"/>
  <c r="BL256" i="13"/>
  <c r="BL257" i="13"/>
  <c r="BL258" i="13"/>
  <c r="BL259" i="13"/>
  <c r="BL260" i="13"/>
  <c r="BL261" i="13"/>
  <c r="BL262" i="13"/>
  <c r="BL263" i="13"/>
  <c r="BL264" i="13"/>
  <c r="BL265" i="13"/>
  <c r="BL266" i="13"/>
  <c r="BL267" i="13"/>
  <c r="BL268" i="13"/>
  <c r="BL269" i="13"/>
  <c r="BL270" i="13"/>
  <c r="BL271" i="13"/>
  <c r="BL272" i="13"/>
  <c r="BL273" i="13"/>
  <c r="BL274" i="13"/>
  <c r="BL275" i="13"/>
  <c r="BL276" i="13"/>
  <c r="BL277" i="13"/>
  <c r="BL278" i="13"/>
  <c r="BL279" i="13"/>
  <c r="BL280" i="13"/>
  <c r="BL281" i="13"/>
  <c r="BL282" i="13"/>
  <c r="BL283" i="13"/>
  <c r="BL284" i="13"/>
  <c r="BL285" i="13"/>
  <c r="BL286" i="13"/>
  <c r="BL287" i="13"/>
  <c r="BL288" i="13"/>
  <c r="BL289" i="13"/>
  <c r="BL290" i="13"/>
  <c r="BL291" i="13"/>
  <c r="BL292" i="13"/>
  <c r="BL293" i="13"/>
  <c r="BL294" i="13"/>
  <c r="BL295" i="13"/>
  <c r="BL296" i="13"/>
  <c r="BL297" i="13"/>
  <c r="BL298" i="13"/>
  <c r="BL299" i="13"/>
  <c r="BL300" i="13"/>
  <c r="BL301" i="13"/>
  <c r="BL302" i="13"/>
  <c r="BL303" i="13"/>
  <c r="BL304" i="13"/>
  <c r="BL305" i="13"/>
  <c r="BL306" i="13"/>
  <c r="BL307" i="13"/>
  <c r="BL308" i="13"/>
  <c r="BL309" i="13"/>
  <c r="BL310" i="13"/>
  <c r="BL311" i="13"/>
  <c r="BL312" i="13"/>
  <c r="BL313" i="13"/>
  <c r="BL314" i="13"/>
  <c r="BL315" i="13"/>
  <c r="BL316" i="13"/>
  <c r="BL317" i="13"/>
  <c r="BL318" i="13"/>
  <c r="BL319" i="13"/>
  <c r="BL320" i="13"/>
  <c r="BL321" i="13"/>
  <c r="BL322" i="13"/>
  <c r="BL323" i="13"/>
  <c r="BL324" i="13"/>
  <c r="BL325" i="13"/>
  <c r="BL326" i="13"/>
  <c r="BL327" i="13"/>
  <c r="BL328" i="13"/>
  <c r="BL329" i="13"/>
  <c r="BL330" i="13"/>
  <c r="BL331" i="13"/>
  <c r="BL332" i="13"/>
  <c r="BL333" i="13"/>
  <c r="BL334" i="13"/>
  <c r="BL335" i="13"/>
  <c r="BL336" i="13"/>
  <c r="BL337" i="13"/>
  <c r="BL338" i="13"/>
  <c r="BL339" i="13"/>
  <c r="BL340" i="13"/>
  <c r="BL341" i="13"/>
  <c r="BL342" i="13"/>
  <c r="BL343" i="13"/>
  <c r="BL344" i="13"/>
  <c r="BL345" i="13"/>
  <c r="BL346" i="13"/>
  <c r="BL347" i="13"/>
  <c r="BL348" i="13"/>
  <c r="BL349" i="13"/>
  <c r="BL350" i="13"/>
  <c r="BL351" i="13"/>
  <c r="BL352" i="13"/>
  <c r="BL353" i="13"/>
  <c r="BL354" i="13"/>
  <c r="BL355" i="13"/>
  <c r="BL356" i="13"/>
  <c r="BL357" i="13"/>
  <c r="BL358" i="13"/>
  <c r="BL359" i="13"/>
  <c r="BL360" i="13"/>
  <c r="BL2" i="13"/>
  <c r="BB3" i="13"/>
  <c r="BB4" i="13"/>
  <c r="BB5" i="13"/>
  <c r="BB6" i="13"/>
  <c r="BB7" i="13"/>
  <c r="BB8" i="13"/>
  <c r="BB9" i="13"/>
  <c r="BB10" i="13"/>
  <c r="BB11" i="13"/>
  <c r="BB12" i="13"/>
  <c r="BB13" i="13"/>
  <c r="BB14" i="13"/>
  <c r="BB15" i="13"/>
  <c r="BB16" i="13"/>
  <c r="BB17" i="13"/>
  <c r="BB18" i="13"/>
  <c r="BB19" i="13"/>
  <c r="BB20" i="13"/>
  <c r="BB21" i="13"/>
  <c r="BB22" i="13"/>
  <c r="BB23" i="13"/>
  <c r="BB24" i="13"/>
  <c r="BB25" i="13"/>
  <c r="BB26" i="13"/>
  <c r="BB27" i="13"/>
  <c r="BB28" i="13"/>
  <c r="BB29" i="13"/>
  <c r="BB30" i="13"/>
  <c r="BB31" i="13"/>
  <c r="BB32" i="13"/>
  <c r="BB33" i="13"/>
  <c r="BB34" i="13"/>
  <c r="BB35" i="13"/>
  <c r="BB36" i="13"/>
  <c r="BB37" i="13"/>
  <c r="BB38" i="13"/>
  <c r="BB39" i="13"/>
  <c r="BB40" i="13"/>
  <c r="BB41" i="13"/>
  <c r="BB42" i="13"/>
  <c r="BB43" i="13"/>
  <c r="BB44" i="13"/>
  <c r="BB45" i="13"/>
  <c r="BB46" i="13"/>
  <c r="BB47" i="13"/>
  <c r="BB48" i="13"/>
  <c r="BB49" i="13"/>
  <c r="BB50" i="13"/>
  <c r="BB51" i="13"/>
  <c r="BB52" i="13"/>
  <c r="BB53" i="13"/>
  <c r="BB54" i="13"/>
  <c r="BB55" i="13"/>
  <c r="BB56" i="13"/>
  <c r="BB57" i="13"/>
  <c r="BB58" i="13"/>
  <c r="BB59" i="13"/>
  <c r="BB60" i="13"/>
  <c r="BB61" i="13"/>
  <c r="BB62" i="13"/>
  <c r="BB63" i="13"/>
  <c r="BB64" i="13"/>
  <c r="BB65" i="13"/>
  <c r="BB66" i="13"/>
  <c r="BB67" i="13"/>
  <c r="BB68" i="13"/>
  <c r="BB69" i="13"/>
  <c r="BB70" i="13"/>
  <c r="BB71" i="13"/>
  <c r="BB72" i="13"/>
  <c r="BB73" i="13"/>
  <c r="BB74" i="13"/>
  <c r="BB75" i="13"/>
  <c r="BB76" i="13"/>
  <c r="BB77" i="13"/>
  <c r="BB78" i="13"/>
  <c r="BB79" i="13"/>
  <c r="BB80" i="13"/>
  <c r="BB81" i="13"/>
  <c r="BB82" i="13"/>
  <c r="BB83" i="13"/>
  <c r="BB84" i="13"/>
  <c r="BB85" i="13"/>
  <c r="BB86" i="13"/>
  <c r="BB87" i="13"/>
  <c r="BB88" i="13"/>
  <c r="BB89" i="13"/>
  <c r="BB90" i="13"/>
  <c r="BB91" i="13"/>
  <c r="BB92" i="13"/>
  <c r="BB93" i="13"/>
  <c r="BB94" i="13"/>
  <c r="BB95" i="13"/>
  <c r="BB96" i="13"/>
  <c r="BB97" i="13"/>
  <c r="BB98" i="13"/>
  <c r="BB99" i="13"/>
  <c r="BB100" i="13"/>
  <c r="BB101" i="13"/>
  <c r="BB102" i="13"/>
  <c r="BB103" i="13"/>
  <c r="BB104" i="13"/>
  <c r="BB105" i="13"/>
  <c r="BB106" i="13"/>
  <c r="BB107" i="13"/>
  <c r="BB108" i="13"/>
  <c r="BB109" i="13"/>
  <c r="BB110" i="13"/>
  <c r="BB111" i="13"/>
  <c r="BB112" i="13"/>
  <c r="BB113" i="13"/>
  <c r="BB114" i="13"/>
  <c r="BB115" i="13"/>
  <c r="BB116" i="13"/>
  <c r="BB117" i="13"/>
  <c r="BB118" i="13"/>
  <c r="BB119" i="13"/>
  <c r="BB120" i="13"/>
  <c r="BB121" i="13"/>
  <c r="BB122" i="13"/>
  <c r="BB123" i="13"/>
  <c r="BB124" i="13"/>
  <c r="BB125" i="13"/>
  <c r="BB126" i="13"/>
  <c r="BB127" i="13"/>
  <c r="BB128" i="13"/>
  <c r="BB129" i="13"/>
  <c r="BB130" i="13"/>
  <c r="BB131" i="13"/>
  <c r="BB132" i="13"/>
  <c r="BB133" i="13"/>
  <c r="BB134" i="13"/>
  <c r="BB135" i="13"/>
  <c r="BB136" i="13"/>
  <c r="BB137" i="13"/>
  <c r="BB138" i="13"/>
  <c r="BB139" i="13"/>
  <c r="BB140" i="13"/>
  <c r="BB141" i="13"/>
  <c r="BB142" i="13"/>
  <c r="BB143" i="13"/>
  <c r="BB144" i="13"/>
  <c r="BB145" i="13"/>
  <c r="BB146" i="13"/>
  <c r="BB147" i="13"/>
  <c r="BB148" i="13"/>
  <c r="BB149" i="13"/>
  <c r="BB150" i="13"/>
  <c r="BB151" i="13"/>
  <c r="BB152" i="13"/>
  <c r="BB153" i="13"/>
  <c r="BB154" i="13"/>
  <c r="BB155" i="13"/>
  <c r="BB156" i="13"/>
  <c r="BB157" i="13"/>
  <c r="BB158" i="13"/>
  <c r="BB159" i="13"/>
  <c r="BB160" i="13"/>
  <c r="BB161" i="13"/>
  <c r="BB162" i="13"/>
  <c r="BB163" i="13"/>
  <c r="BB164" i="13"/>
  <c r="BB165" i="13"/>
  <c r="BB166" i="13"/>
  <c r="BB167" i="13"/>
  <c r="BB168" i="13"/>
  <c r="BB169" i="13"/>
  <c r="BB170" i="13"/>
  <c r="BB171" i="13"/>
  <c r="BB172" i="13"/>
  <c r="BB173" i="13"/>
  <c r="BB174" i="13"/>
  <c r="BB175" i="13"/>
  <c r="BB176" i="13"/>
  <c r="BB177" i="13"/>
  <c r="BB178" i="13"/>
  <c r="BB179" i="13"/>
  <c r="BB180" i="13"/>
  <c r="BB181" i="13"/>
  <c r="BB182" i="13"/>
  <c r="BB183" i="13"/>
  <c r="BB184" i="13"/>
  <c r="BB185" i="13"/>
  <c r="BB186" i="13"/>
  <c r="BB187" i="13"/>
  <c r="BB188" i="13"/>
  <c r="BB189" i="13"/>
  <c r="BB190" i="13"/>
  <c r="BB191" i="13"/>
  <c r="BB192" i="13"/>
  <c r="BB193" i="13"/>
  <c r="BB194" i="13"/>
  <c r="BB195" i="13"/>
  <c r="BB196" i="13"/>
  <c r="BB197" i="13"/>
  <c r="BB198" i="13"/>
  <c r="BB199" i="13"/>
  <c r="BB200" i="13"/>
  <c r="BB201" i="13"/>
  <c r="BB202" i="13"/>
  <c r="BB203" i="13"/>
  <c r="BB204" i="13"/>
  <c r="BB205" i="13"/>
  <c r="BB206" i="13"/>
  <c r="BB207" i="13"/>
  <c r="BB208" i="13"/>
  <c r="BB209" i="13"/>
  <c r="BB210" i="13"/>
  <c r="BB211" i="13"/>
  <c r="BB212" i="13"/>
  <c r="BB213" i="13"/>
  <c r="BB214" i="13"/>
  <c r="BB215" i="13"/>
  <c r="BB216" i="13"/>
  <c r="BB217" i="13"/>
  <c r="BB218" i="13"/>
  <c r="BB219" i="13"/>
  <c r="BB220" i="13"/>
  <c r="BB221" i="13"/>
  <c r="BB222" i="13"/>
  <c r="BB223" i="13"/>
  <c r="BB224" i="13"/>
  <c r="BB225" i="13"/>
  <c r="BB226" i="13"/>
  <c r="BB227" i="13"/>
  <c r="BB228" i="13"/>
  <c r="BB229" i="13"/>
  <c r="BB230" i="13"/>
  <c r="BB231" i="13"/>
  <c r="BB232" i="13"/>
  <c r="BB233" i="13"/>
  <c r="BB234" i="13"/>
  <c r="BB235" i="13"/>
  <c r="BB236" i="13"/>
  <c r="BB237" i="13"/>
  <c r="BB238" i="13"/>
  <c r="BB239" i="13"/>
  <c r="BB240" i="13"/>
  <c r="BB241" i="13"/>
  <c r="BB242" i="13"/>
  <c r="BB243" i="13"/>
  <c r="BB244" i="13"/>
  <c r="BB245" i="13"/>
  <c r="BB246" i="13"/>
  <c r="BB247" i="13"/>
  <c r="BB248" i="13"/>
  <c r="BB249" i="13"/>
  <c r="BB250" i="13"/>
  <c r="BB251" i="13"/>
  <c r="BB252" i="13"/>
  <c r="BB253" i="13"/>
  <c r="BB254" i="13"/>
  <c r="BB255" i="13"/>
  <c r="BB256" i="13"/>
  <c r="BB257" i="13"/>
  <c r="BB258" i="13"/>
  <c r="BB259" i="13"/>
  <c r="BB260" i="13"/>
  <c r="BB261" i="13"/>
  <c r="BB262" i="13"/>
  <c r="BB263" i="13"/>
  <c r="BB264" i="13"/>
  <c r="BB265" i="13"/>
  <c r="BB266" i="13"/>
  <c r="BB267" i="13"/>
  <c r="BB268" i="13"/>
  <c r="BB269" i="13"/>
  <c r="BB270" i="13"/>
  <c r="BB271" i="13"/>
  <c r="BB272" i="13"/>
  <c r="BB273" i="13"/>
  <c r="BB274" i="13"/>
  <c r="BB275" i="13"/>
  <c r="BB276" i="13"/>
  <c r="BB277" i="13"/>
  <c r="BB278" i="13"/>
  <c r="BB279" i="13"/>
  <c r="BB280" i="13"/>
  <c r="BB281" i="13"/>
  <c r="BB282" i="13"/>
  <c r="BB283" i="13"/>
  <c r="BB284" i="13"/>
  <c r="BB285" i="13"/>
  <c r="BB286" i="13"/>
  <c r="BB287" i="13"/>
  <c r="BB288" i="13"/>
  <c r="BB289" i="13"/>
  <c r="BB290" i="13"/>
  <c r="BB291" i="13"/>
  <c r="BB292" i="13"/>
  <c r="BB293" i="13"/>
  <c r="BB294" i="13"/>
  <c r="BB295" i="13"/>
  <c r="BB296" i="13"/>
  <c r="BB297" i="13"/>
  <c r="BB298" i="13"/>
  <c r="BB299" i="13"/>
  <c r="BB300" i="13"/>
  <c r="BB301" i="13"/>
  <c r="BB302" i="13"/>
  <c r="BB303" i="13"/>
  <c r="BB304" i="13"/>
  <c r="BB305" i="13"/>
  <c r="BB306" i="13"/>
  <c r="BB307" i="13"/>
  <c r="BB308" i="13"/>
  <c r="BB309" i="13"/>
  <c r="BB310" i="13"/>
  <c r="BB311" i="13"/>
  <c r="BB312" i="13"/>
  <c r="BB313" i="13"/>
  <c r="BB314" i="13"/>
  <c r="BB315" i="13"/>
  <c r="BB316" i="13"/>
  <c r="BB317" i="13"/>
  <c r="BB318" i="13"/>
  <c r="BB319" i="13"/>
  <c r="BB320" i="13"/>
  <c r="BB321" i="13"/>
  <c r="BB322" i="13"/>
  <c r="BB323" i="13"/>
  <c r="BB324" i="13"/>
  <c r="BB325" i="13"/>
  <c r="BB326" i="13"/>
  <c r="BB327" i="13"/>
  <c r="BB328" i="13"/>
  <c r="BB329" i="13"/>
  <c r="BB330" i="13"/>
  <c r="BB331" i="13"/>
  <c r="BB332" i="13"/>
  <c r="BB333" i="13"/>
  <c r="BB334" i="13"/>
  <c r="BB335" i="13"/>
  <c r="BB336" i="13"/>
  <c r="BB337" i="13"/>
  <c r="BB338" i="13"/>
  <c r="BB339" i="13"/>
  <c r="BB340" i="13"/>
  <c r="BB341" i="13"/>
  <c r="BB342" i="13"/>
  <c r="BB343" i="13"/>
  <c r="BB344" i="13"/>
  <c r="BB345" i="13"/>
  <c r="BB346" i="13"/>
  <c r="BB347" i="13"/>
  <c r="BB348" i="13"/>
  <c r="BB349" i="13"/>
  <c r="BB350" i="13"/>
  <c r="BB351" i="13"/>
  <c r="BB352" i="13"/>
  <c r="BB353" i="13"/>
  <c r="BB354" i="13"/>
  <c r="BB355" i="13"/>
  <c r="BB356" i="13"/>
  <c r="BB357" i="13"/>
  <c r="BB358" i="13"/>
  <c r="BB359" i="13"/>
  <c r="BB360" i="13"/>
  <c r="BB2" i="13"/>
  <c r="AY3" i="13"/>
  <c r="AY4" i="13"/>
  <c r="AY5" i="13"/>
  <c r="AY6" i="13"/>
  <c r="AY7" i="13"/>
  <c r="AY8" i="13"/>
  <c r="AY9" i="13"/>
  <c r="AY10" i="13"/>
  <c r="AY11" i="13"/>
  <c r="AY12" i="13"/>
  <c r="AY13" i="13"/>
  <c r="AY14" i="13"/>
  <c r="AY15" i="13"/>
  <c r="AY16" i="13"/>
  <c r="AY17" i="13"/>
  <c r="AY18" i="13"/>
  <c r="AY19" i="13"/>
  <c r="AY20" i="13"/>
  <c r="AY21" i="13"/>
  <c r="AY22" i="13"/>
  <c r="AY23" i="13"/>
  <c r="AY24" i="13"/>
  <c r="AY25" i="13"/>
  <c r="AY26" i="13"/>
  <c r="AY27" i="13"/>
  <c r="AY28" i="13"/>
  <c r="AY29" i="13"/>
  <c r="AY30" i="13"/>
  <c r="AY31" i="13"/>
  <c r="AY32" i="13"/>
  <c r="AY33" i="13"/>
  <c r="AY34" i="13"/>
  <c r="AY35" i="13"/>
  <c r="AY36" i="13"/>
  <c r="AY37" i="13"/>
  <c r="AY38" i="13"/>
  <c r="AY39" i="13"/>
  <c r="AY40" i="13"/>
  <c r="AY41" i="13"/>
  <c r="AY42" i="13"/>
  <c r="AY43" i="13"/>
  <c r="AY44" i="13"/>
  <c r="AY45" i="13"/>
  <c r="AY46" i="13"/>
  <c r="AY47" i="13"/>
  <c r="AY48" i="13"/>
  <c r="AY49" i="13"/>
  <c r="AY50" i="13"/>
  <c r="AY51" i="13"/>
  <c r="AY52" i="13"/>
  <c r="AY53" i="13"/>
  <c r="AY54" i="13"/>
  <c r="AY55" i="13"/>
  <c r="AY56" i="13"/>
  <c r="AY57" i="13"/>
  <c r="AY58" i="13"/>
  <c r="AY59" i="13"/>
  <c r="AY60" i="13"/>
  <c r="AY61" i="13"/>
  <c r="AY62" i="13"/>
  <c r="AY63" i="13"/>
  <c r="AY64" i="13"/>
  <c r="AY65" i="13"/>
  <c r="AY66" i="13"/>
  <c r="AY67" i="13"/>
  <c r="AY68" i="13"/>
  <c r="AY69" i="13"/>
  <c r="AY70" i="13"/>
  <c r="AY71" i="13"/>
  <c r="AY72" i="13"/>
  <c r="AY73" i="13"/>
  <c r="AY74" i="13"/>
  <c r="AY75" i="13"/>
  <c r="AY76" i="13"/>
  <c r="AY77" i="13"/>
  <c r="AY78" i="13"/>
  <c r="AY79" i="13"/>
  <c r="AY80" i="13"/>
  <c r="AY81" i="13"/>
  <c r="AY82" i="13"/>
  <c r="AY83" i="13"/>
  <c r="AY84" i="13"/>
  <c r="AY85" i="13"/>
  <c r="AY86" i="13"/>
  <c r="AY87" i="13"/>
  <c r="AY88" i="13"/>
  <c r="AY89" i="13"/>
  <c r="AY90" i="13"/>
  <c r="AY91" i="13"/>
  <c r="AY92" i="13"/>
  <c r="AY93" i="13"/>
  <c r="AY94" i="13"/>
  <c r="AY95" i="13"/>
  <c r="AY96" i="13"/>
  <c r="AY97" i="13"/>
  <c r="AY98" i="13"/>
  <c r="AY99" i="13"/>
  <c r="AY100" i="13"/>
  <c r="AY101" i="13"/>
  <c r="AY102" i="13"/>
  <c r="AY103" i="13"/>
  <c r="AY104" i="13"/>
  <c r="AY105" i="13"/>
  <c r="AY106" i="13"/>
  <c r="AY107" i="13"/>
  <c r="AY108" i="13"/>
  <c r="AY109" i="13"/>
  <c r="AY110" i="13"/>
  <c r="AY111" i="13"/>
  <c r="AY112" i="13"/>
  <c r="AY113" i="13"/>
  <c r="AY114" i="13"/>
  <c r="AY115" i="13"/>
  <c r="AY116" i="13"/>
  <c r="AY117" i="13"/>
  <c r="AY118" i="13"/>
  <c r="AY119" i="13"/>
  <c r="AY120" i="13"/>
  <c r="AY121" i="13"/>
  <c r="AY122" i="13"/>
  <c r="AY123" i="13"/>
  <c r="AY124" i="13"/>
  <c r="AY125" i="13"/>
  <c r="AY126" i="13"/>
  <c r="AY127" i="13"/>
  <c r="AY128" i="13"/>
  <c r="AY129" i="13"/>
  <c r="AY130" i="13"/>
  <c r="AY131" i="13"/>
  <c r="AY132" i="13"/>
  <c r="AY133" i="13"/>
  <c r="AY134" i="13"/>
  <c r="AY135" i="13"/>
  <c r="AY136" i="13"/>
  <c r="AY137" i="13"/>
  <c r="AY138" i="13"/>
  <c r="AY139" i="13"/>
  <c r="AY140" i="13"/>
  <c r="AY141" i="13"/>
  <c r="AY142" i="13"/>
  <c r="AY143" i="13"/>
  <c r="AY144" i="13"/>
  <c r="AY145" i="13"/>
  <c r="AY146" i="13"/>
  <c r="AY147" i="13"/>
  <c r="AY148" i="13"/>
  <c r="AY149" i="13"/>
  <c r="AY150" i="13"/>
  <c r="AY151" i="13"/>
  <c r="AY152" i="13"/>
  <c r="AY153" i="13"/>
  <c r="AY154" i="13"/>
  <c r="AY155" i="13"/>
  <c r="AY156" i="13"/>
  <c r="AY157" i="13"/>
  <c r="AY158" i="13"/>
  <c r="AY159" i="13"/>
  <c r="AY160" i="13"/>
  <c r="AY161" i="13"/>
  <c r="AY162" i="13"/>
  <c r="AY163" i="13"/>
  <c r="AY164" i="13"/>
  <c r="AY165" i="13"/>
  <c r="AY166" i="13"/>
  <c r="AY167" i="13"/>
  <c r="AY168" i="13"/>
  <c r="AY169" i="13"/>
  <c r="AY170" i="13"/>
  <c r="AY171" i="13"/>
  <c r="AY172" i="13"/>
  <c r="AY173" i="13"/>
  <c r="AY174" i="13"/>
  <c r="AY175" i="13"/>
  <c r="AY176" i="13"/>
  <c r="AY177" i="13"/>
  <c r="AY178" i="13"/>
  <c r="AY179" i="13"/>
  <c r="AY180" i="13"/>
  <c r="AY181" i="13"/>
  <c r="AY182" i="13"/>
  <c r="AY183" i="13"/>
  <c r="AY184" i="13"/>
  <c r="AY185" i="13"/>
  <c r="AY186" i="13"/>
  <c r="AY187" i="13"/>
  <c r="AY188" i="13"/>
  <c r="AY189" i="13"/>
  <c r="AY190" i="13"/>
  <c r="AY191" i="13"/>
  <c r="AY192" i="13"/>
  <c r="AY193" i="13"/>
  <c r="AY194" i="13"/>
  <c r="AY195" i="13"/>
  <c r="AY196" i="13"/>
  <c r="AY197" i="13"/>
  <c r="AY198" i="13"/>
  <c r="AY199" i="13"/>
  <c r="AY200" i="13"/>
  <c r="AY201" i="13"/>
  <c r="AY202" i="13"/>
  <c r="AY203" i="13"/>
  <c r="AY204" i="13"/>
  <c r="AY205" i="13"/>
  <c r="AY206" i="13"/>
  <c r="AY207" i="13"/>
  <c r="AY208" i="13"/>
  <c r="AY209" i="13"/>
  <c r="AY210" i="13"/>
  <c r="AY211" i="13"/>
  <c r="AY212" i="13"/>
  <c r="AY213" i="13"/>
  <c r="AY214" i="13"/>
  <c r="AY215" i="13"/>
  <c r="AY216" i="13"/>
  <c r="AY217" i="13"/>
  <c r="AY218" i="13"/>
  <c r="AY219" i="13"/>
  <c r="AY220" i="13"/>
  <c r="AY221" i="13"/>
  <c r="AY222" i="13"/>
  <c r="AY223" i="13"/>
  <c r="AY224" i="13"/>
  <c r="AY225" i="13"/>
  <c r="AY226" i="13"/>
  <c r="AY227" i="13"/>
  <c r="AY228" i="13"/>
  <c r="AY229" i="13"/>
  <c r="AY230" i="13"/>
  <c r="AY231" i="13"/>
  <c r="AY232" i="13"/>
  <c r="AY233" i="13"/>
  <c r="AY234" i="13"/>
  <c r="AY235" i="13"/>
  <c r="AY236" i="13"/>
  <c r="AY237" i="13"/>
  <c r="AY238" i="13"/>
  <c r="AY239" i="13"/>
  <c r="AY240" i="13"/>
  <c r="AY241" i="13"/>
  <c r="AY242" i="13"/>
  <c r="AY243" i="13"/>
  <c r="AY244" i="13"/>
  <c r="AY245" i="13"/>
  <c r="AY246" i="13"/>
  <c r="AY247" i="13"/>
  <c r="AY248" i="13"/>
  <c r="AY249" i="13"/>
  <c r="AY250" i="13"/>
  <c r="AY251" i="13"/>
  <c r="AY252" i="13"/>
  <c r="AY253" i="13"/>
  <c r="AY254" i="13"/>
  <c r="AY255" i="13"/>
  <c r="AY256" i="13"/>
  <c r="AY257" i="13"/>
  <c r="AY258" i="13"/>
  <c r="AY259" i="13"/>
  <c r="AY260" i="13"/>
  <c r="AY261" i="13"/>
  <c r="AY262" i="13"/>
  <c r="AY263" i="13"/>
  <c r="AY264" i="13"/>
  <c r="AY265" i="13"/>
  <c r="AY266" i="13"/>
  <c r="AY267" i="13"/>
  <c r="AY268" i="13"/>
  <c r="AY269" i="13"/>
  <c r="AY270" i="13"/>
  <c r="AY271" i="13"/>
  <c r="AY272" i="13"/>
  <c r="AY273" i="13"/>
  <c r="AY274" i="13"/>
  <c r="AY275" i="13"/>
  <c r="AY276" i="13"/>
  <c r="AY277" i="13"/>
  <c r="AY278" i="13"/>
  <c r="AY279" i="13"/>
  <c r="AY280" i="13"/>
  <c r="AY281" i="13"/>
  <c r="AY282" i="13"/>
  <c r="AY283" i="13"/>
  <c r="AY284" i="13"/>
  <c r="AY285" i="13"/>
  <c r="AY286" i="13"/>
  <c r="AY287" i="13"/>
  <c r="AY288" i="13"/>
  <c r="AY289" i="13"/>
  <c r="AY290" i="13"/>
  <c r="AY291" i="13"/>
  <c r="AY292" i="13"/>
  <c r="AY293" i="13"/>
  <c r="AY294" i="13"/>
  <c r="AY295" i="13"/>
  <c r="AY296" i="13"/>
  <c r="AY297" i="13"/>
  <c r="AY298" i="13"/>
  <c r="AY299" i="13"/>
  <c r="AY300" i="13"/>
  <c r="AY301" i="13"/>
  <c r="AY302" i="13"/>
  <c r="AY303" i="13"/>
  <c r="AY304" i="13"/>
  <c r="AY305" i="13"/>
  <c r="AY306" i="13"/>
  <c r="AY307" i="13"/>
  <c r="AY308" i="13"/>
  <c r="AY309" i="13"/>
  <c r="AY310" i="13"/>
  <c r="AY311" i="13"/>
  <c r="AY312" i="13"/>
  <c r="AY313" i="13"/>
  <c r="AY314" i="13"/>
  <c r="AY315" i="13"/>
  <c r="AY316" i="13"/>
  <c r="AY317" i="13"/>
  <c r="AY318" i="13"/>
  <c r="AY319" i="13"/>
  <c r="AY320" i="13"/>
  <c r="AY321" i="13"/>
  <c r="AY322" i="13"/>
  <c r="AY323" i="13"/>
  <c r="AY324" i="13"/>
  <c r="AY325" i="13"/>
  <c r="AY326" i="13"/>
  <c r="AY327" i="13"/>
  <c r="AY328" i="13"/>
  <c r="AY329" i="13"/>
  <c r="AY330" i="13"/>
  <c r="AY331" i="13"/>
  <c r="AY332" i="13"/>
  <c r="AY333" i="13"/>
  <c r="AY334" i="13"/>
  <c r="AY335" i="13"/>
  <c r="AY336" i="13"/>
  <c r="AY337" i="13"/>
  <c r="AY338" i="13"/>
  <c r="AY339" i="13"/>
  <c r="AY340" i="13"/>
  <c r="AY341" i="13"/>
  <c r="AY342" i="13"/>
  <c r="AY343" i="13"/>
  <c r="AY344" i="13"/>
  <c r="AY345" i="13"/>
  <c r="AY346" i="13"/>
  <c r="AY347" i="13"/>
  <c r="AY348" i="13"/>
  <c r="AY349" i="13"/>
  <c r="AY350" i="13"/>
  <c r="AY351" i="13"/>
  <c r="AY352" i="13"/>
  <c r="AY353" i="13"/>
  <c r="AY354" i="13"/>
  <c r="AY355" i="13"/>
  <c r="AY356" i="13"/>
  <c r="AY357" i="13"/>
  <c r="AY358" i="13"/>
  <c r="AY359" i="13"/>
  <c r="AY360" i="13"/>
  <c r="AV3" i="13"/>
  <c r="AV4" i="13"/>
  <c r="AV5" i="13"/>
  <c r="AV6" i="13"/>
  <c r="AV7" i="13"/>
  <c r="AV8" i="13"/>
  <c r="AV9" i="13"/>
  <c r="AV10" i="13"/>
  <c r="AV11" i="13"/>
  <c r="AV12" i="13"/>
  <c r="AV13" i="13"/>
  <c r="AV14" i="13"/>
  <c r="AV15" i="13"/>
  <c r="AV16" i="13"/>
  <c r="AV17" i="13"/>
  <c r="AV18" i="13"/>
  <c r="AV19" i="13"/>
  <c r="AV20" i="13"/>
  <c r="AV21" i="13"/>
  <c r="AV22" i="13"/>
  <c r="AV23" i="13"/>
  <c r="AV24" i="13"/>
  <c r="AV25" i="13"/>
  <c r="AV26" i="13"/>
  <c r="AV27" i="13"/>
  <c r="AV28" i="13"/>
  <c r="AV29" i="13"/>
  <c r="AV30" i="13"/>
  <c r="AV31" i="13"/>
  <c r="AV32" i="13"/>
  <c r="AV33" i="13"/>
  <c r="AV34" i="13"/>
  <c r="AV35" i="13"/>
  <c r="AV36" i="13"/>
  <c r="AV37" i="13"/>
  <c r="AV38" i="13"/>
  <c r="AV39" i="13"/>
  <c r="AV40" i="13"/>
  <c r="AV41" i="13"/>
  <c r="AV42" i="13"/>
  <c r="AV43" i="13"/>
  <c r="AV44" i="13"/>
  <c r="AV45" i="13"/>
  <c r="AV46" i="13"/>
  <c r="AV47" i="13"/>
  <c r="AV48" i="13"/>
  <c r="AV49" i="13"/>
  <c r="AV50" i="13"/>
  <c r="AV51" i="13"/>
  <c r="AV52" i="13"/>
  <c r="AV53" i="13"/>
  <c r="AV54" i="13"/>
  <c r="AV55" i="13"/>
  <c r="AV56" i="13"/>
  <c r="AV57" i="13"/>
  <c r="AV58" i="13"/>
  <c r="AV59" i="13"/>
  <c r="AV60" i="13"/>
  <c r="AV61" i="13"/>
  <c r="AV62" i="13"/>
  <c r="AV63" i="13"/>
  <c r="AV64" i="13"/>
  <c r="AV65" i="13"/>
  <c r="AV66" i="13"/>
  <c r="AV67" i="13"/>
  <c r="AV68" i="13"/>
  <c r="AV69" i="13"/>
  <c r="AV70" i="13"/>
  <c r="AV71" i="13"/>
  <c r="AV72" i="13"/>
  <c r="AV73" i="13"/>
  <c r="AV74" i="13"/>
  <c r="AV75" i="13"/>
  <c r="AV76" i="13"/>
  <c r="AV77" i="13"/>
  <c r="AV78" i="13"/>
  <c r="AV79" i="13"/>
  <c r="AV80" i="13"/>
  <c r="AV81" i="13"/>
  <c r="AV82" i="13"/>
  <c r="AV83" i="13"/>
  <c r="AV84" i="13"/>
  <c r="AV85" i="13"/>
  <c r="AV86" i="13"/>
  <c r="AV87" i="13"/>
  <c r="AV88" i="13"/>
  <c r="AV89" i="13"/>
  <c r="AV90" i="13"/>
  <c r="AV91" i="13"/>
  <c r="AV92" i="13"/>
  <c r="AV93" i="13"/>
  <c r="AV94" i="13"/>
  <c r="AV95" i="13"/>
  <c r="AV96" i="13"/>
  <c r="AV97" i="13"/>
  <c r="AV98" i="13"/>
  <c r="AV99" i="13"/>
  <c r="AV100" i="13"/>
  <c r="AV101" i="13"/>
  <c r="AV102" i="13"/>
  <c r="AV103" i="13"/>
  <c r="AV104" i="13"/>
  <c r="AV105" i="13"/>
  <c r="AV106" i="13"/>
  <c r="AV107" i="13"/>
  <c r="AV108" i="13"/>
  <c r="AV109" i="13"/>
  <c r="AV110" i="13"/>
  <c r="AV111" i="13"/>
  <c r="AV112" i="13"/>
  <c r="AV113" i="13"/>
  <c r="AV114" i="13"/>
  <c r="AV115" i="13"/>
  <c r="AV116" i="13"/>
  <c r="AV117" i="13"/>
  <c r="AV118" i="13"/>
  <c r="AV119" i="13"/>
  <c r="AV120" i="13"/>
  <c r="AV121" i="13"/>
  <c r="AV122" i="13"/>
  <c r="AV123" i="13"/>
  <c r="AV124" i="13"/>
  <c r="AV125" i="13"/>
  <c r="AV126" i="13"/>
  <c r="AV127" i="13"/>
  <c r="AV128" i="13"/>
  <c r="AV129" i="13"/>
  <c r="AV130" i="13"/>
  <c r="AV131" i="13"/>
  <c r="AV132" i="13"/>
  <c r="AV133" i="13"/>
  <c r="AV134" i="13"/>
  <c r="AV135" i="13"/>
  <c r="AV136" i="13"/>
  <c r="AV137" i="13"/>
  <c r="AV138" i="13"/>
  <c r="AV139" i="13"/>
  <c r="AV140" i="13"/>
  <c r="AV141" i="13"/>
  <c r="AV142" i="13"/>
  <c r="AV143" i="13"/>
  <c r="AV144" i="13"/>
  <c r="AV145" i="13"/>
  <c r="AV146" i="13"/>
  <c r="AV147" i="13"/>
  <c r="AV148" i="13"/>
  <c r="AV149" i="13"/>
  <c r="AV150" i="13"/>
  <c r="AV151" i="13"/>
  <c r="AV152" i="13"/>
  <c r="AV153" i="13"/>
  <c r="AV154" i="13"/>
  <c r="AV155" i="13"/>
  <c r="AV156" i="13"/>
  <c r="AV157" i="13"/>
  <c r="AV158" i="13"/>
  <c r="AV159" i="13"/>
  <c r="AV160" i="13"/>
  <c r="AV161" i="13"/>
  <c r="AV162" i="13"/>
  <c r="AV163" i="13"/>
  <c r="AV164" i="13"/>
  <c r="AV165" i="13"/>
  <c r="AV166" i="13"/>
  <c r="AV167" i="13"/>
  <c r="AV168" i="13"/>
  <c r="AV169" i="13"/>
  <c r="AV170" i="13"/>
  <c r="AV171" i="13"/>
  <c r="AV172" i="13"/>
  <c r="AV173" i="13"/>
  <c r="AV174" i="13"/>
  <c r="AV175" i="13"/>
  <c r="AV176" i="13"/>
  <c r="AV177" i="13"/>
  <c r="AV178" i="13"/>
  <c r="AV179" i="13"/>
  <c r="AV180" i="13"/>
  <c r="AV181" i="13"/>
  <c r="AV182" i="13"/>
  <c r="AV183" i="13"/>
  <c r="AV184" i="13"/>
  <c r="AV185" i="13"/>
  <c r="AV186" i="13"/>
  <c r="AV187" i="13"/>
  <c r="AV188" i="13"/>
  <c r="AV189" i="13"/>
  <c r="AV190" i="13"/>
  <c r="AV191" i="13"/>
  <c r="AV192" i="13"/>
  <c r="AV193" i="13"/>
  <c r="AV194" i="13"/>
  <c r="AV195" i="13"/>
  <c r="AV196" i="13"/>
  <c r="AV197" i="13"/>
  <c r="AV198" i="13"/>
  <c r="AV199" i="13"/>
  <c r="AV200" i="13"/>
  <c r="AV201" i="13"/>
  <c r="AV202" i="13"/>
  <c r="AV203" i="13"/>
  <c r="AV204" i="13"/>
  <c r="AV205" i="13"/>
  <c r="AV206" i="13"/>
  <c r="AV207" i="13"/>
  <c r="AV208" i="13"/>
  <c r="AV209" i="13"/>
  <c r="AV210" i="13"/>
  <c r="AV211" i="13"/>
  <c r="AV212" i="13"/>
  <c r="AV213" i="13"/>
  <c r="AV214" i="13"/>
  <c r="AV215" i="13"/>
  <c r="AV216" i="13"/>
  <c r="AV217" i="13"/>
  <c r="AV218" i="13"/>
  <c r="AV219" i="13"/>
  <c r="AV220" i="13"/>
  <c r="AV221" i="13"/>
  <c r="AV222" i="13"/>
  <c r="AV223" i="13"/>
  <c r="AV224" i="13"/>
  <c r="AV225" i="13"/>
  <c r="AV226" i="13"/>
  <c r="AV227" i="13"/>
  <c r="AV228" i="13"/>
  <c r="AV229" i="13"/>
  <c r="AV230" i="13"/>
  <c r="AV231" i="13"/>
  <c r="AV232" i="13"/>
  <c r="AV233" i="13"/>
  <c r="AV234" i="13"/>
  <c r="AV235" i="13"/>
  <c r="AV236" i="13"/>
  <c r="AV237" i="13"/>
  <c r="AV238" i="13"/>
  <c r="AV239" i="13"/>
  <c r="AV240" i="13"/>
  <c r="AV241" i="13"/>
  <c r="AV242" i="13"/>
  <c r="AV243" i="13"/>
  <c r="AV244" i="13"/>
  <c r="AV245" i="13"/>
  <c r="AV246" i="13"/>
  <c r="AV247" i="13"/>
  <c r="AV248" i="13"/>
  <c r="AV249" i="13"/>
  <c r="AV250" i="13"/>
  <c r="AV251" i="13"/>
  <c r="AV252" i="13"/>
  <c r="AV253" i="13"/>
  <c r="AV254" i="13"/>
  <c r="AV255" i="13"/>
  <c r="AV256" i="13"/>
  <c r="AV257" i="13"/>
  <c r="AV258" i="13"/>
  <c r="AV259" i="13"/>
  <c r="AV260" i="13"/>
  <c r="AV261" i="13"/>
  <c r="AV262" i="13"/>
  <c r="AV263" i="13"/>
  <c r="AV264" i="13"/>
  <c r="AV265" i="13"/>
  <c r="AV266" i="13"/>
  <c r="AV267" i="13"/>
  <c r="AV268" i="13"/>
  <c r="AV269" i="13"/>
  <c r="AV270" i="13"/>
  <c r="AV271" i="13"/>
  <c r="AV272" i="13"/>
  <c r="AV273" i="13"/>
  <c r="AV274" i="13"/>
  <c r="AV275" i="13"/>
  <c r="AV276" i="13"/>
  <c r="AV277" i="13"/>
  <c r="AV278" i="13"/>
  <c r="AV279" i="13"/>
  <c r="AV280" i="13"/>
  <c r="AV281" i="13"/>
  <c r="AV282" i="13"/>
  <c r="AV283" i="13"/>
  <c r="AV284" i="13"/>
  <c r="AV285" i="13"/>
  <c r="AV286" i="13"/>
  <c r="AV287" i="13"/>
  <c r="AV288" i="13"/>
  <c r="AV289" i="13"/>
  <c r="AV290" i="13"/>
  <c r="AV291" i="13"/>
  <c r="AV292" i="13"/>
  <c r="AV293" i="13"/>
  <c r="AV294" i="13"/>
  <c r="AV295" i="13"/>
  <c r="AV296" i="13"/>
  <c r="AV297" i="13"/>
  <c r="AV298" i="13"/>
  <c r="AV299" i="13"/>
  <c r="AV300" i="13"/>
  <c r="AV301" i="13"/>
  <c r="AV302" i="13"/>
  <c r="AV303" i="13"/>
  <c r="AV304" i="13"/>
  <c r="AV305" i="13"/>
  <c r="AV306" i="13"/>
  <c r="AV307" i="13"/>
  <c r="AV308" i="13"/>
  <c r="AV309" i="13"/>
  <c r="AV310" i="13"/>
  <c r="AV311" i="13"/>
  <c r="AV312" i="13"/>
  <c r="AV313" i="13"/>
  <c r="AV314" i="13"/>
  <c r="AV315" i="13"/>
  <c r="AV316" i="13"/>
  <c r="AV317" i="13"/>
  <c r="AV318" i="13"/>
  <c r="AV319" i="13"/>
  <c r="AV320" i="13"/>
  <c r="AV321" i="13"/>
  <c r="AV322" i="13"/>
  <c r="AV323" i="13"/>
  <c r="AV324" i="13"/>
  <c r="AV325" i="13"/>
  <c r="AV326" i="13"/>
  <c r="AV327" i="13"/>
  <c r="AV328" i="13"/>
  <c r="AV329" i="13"/>
  <c r="AV330" i="13"/>
  <c r="AV331" i="13"/>
  <c r="AV332" i="13"/>
  <c r="AV333" i="13"/>
  <c r="AV334" i="13"/>
  <c r="AV335" i="13"/>
  <c r="AV336" i="13"/>
  <c r="AV337" i="13"/>
  <c r="AV338" i="13"/>
  <c r="AV339" i="13"/>
  <c r="AV340" i="13"/>
  <c r="AV341" i="13"/>
  <c r="AV342" i="13"/>
  <c r="AV343" i="13"/>
  <c r="AV344" i="13"/>
  <c r="AV345" i="13"/>
  <c r="AV346" i="13"/>
  <c r="AV347" i="13"/>
  <c r="AV348" i="13"/>
  <c r="AV349" i="13"/>
  <c r="AV350" i="13"/>
  <c r="AV351" i="13"/>
  <c r="AV352" i="13"/>
  <c r="AV353" i="13"/>
  <c r="AV354" i="13"/>
  <c r="AV355" i="13"/>
  <c r="AV356" i="13"/>
  <c r="AV357" i="13"/>
  <c r="AV358" i="13"/>
  <c r="AV359" i="13"/>
  <c r="AV360" i="13"/>
  <c r="AY2" i="13"/>
  <c r="AV2" i="13"/>
  <c r="AM3" i="13"/>
  <c r="AM4" i="13"/>
  <c r="AM5" i="13"/>
  <c r="AM6" i="13"/>
  <c r="AM7" i="13"/>
  <c r="AM8" i="13"/>
  <c r="AM9" i="13"/>
  <c r="AN9" i="13" s="1"/>
  <c r="AO9" i="13" s="1"/>
  <c r="AP9" i="13" s="1"/>
  <c r="AQ9" i="13" s="1"/>
  <c r="AM10" i="13"/>
  <c r="AQ10" i="13" s="1"/>
  <c r="AM11" i="13"/>
  <c r="AQ11" i="13" s="1"/>
  <c r="AM12" i="13"/>
  <c r="AN12" i="13" s="1"/>
  <c r="AM13" i="13"/>
  <c r="AQ13" i="13" s="1"/>
  <c r="AM14" i="13"/>
  <c r="AN14" i="13" s="1"/>
  <c r="AM15" i="13"/>
  <c r="AQ15" i="13" s="1"/>
  <c r="AM16" i="13"/>
  <c r="AN16" i="13" s="1"/>
  <c r="AM17" i="13"/>
  <c r="AQ17" i="13" s="1"/>
  <c r="AM18" i="13"/>
  <c r="AN18" i="13" s="1"/>
  <c r="AM19" i="13"/>
  <c r="AQ19" i="13" s="1"/>
  <c r="AM20" i="13"/>
  <c r="AN20" i="13" s="1"/>
  <c r="AM21" i="13"/>
  <c r="AQ21" i="13" s="1"/>
  <c r="AM22" i="13"/>
  <c r="AN22" i="13" s="1"/>
  <c r="AM23" i="13"/>
  <c r="AQ23" i="13" s="1"/>
  <c r="AM24" i="13"/>
  <c r="AN24" i="13" s="1"/>
  <c r="AM25" i="13"/>
  <c r="AQ25" i="13" s="1"/>
  <c r="AM26" i="13"/>
  <c r="AN26" i="13" s="1"/>
  <c r="AM27" i="13"/>
  <c r="AQ27" i="13" s="1"/>
  <c r="AM28" i="13"/>
  <c r="AN28" i="13" s="1"/>
  <c r="AM29" i="13"/>
  <c r="AQ29" i="13" s="1"/>
  <c r="AM30" i="13"/>
  <c r="AN30" i="13" s="1"/>
  <c r="AM31" i="13"/>
  <c r="AQ31" i="13" s="1"/>
  <c r="AM32" i="13"/>
  <c r="AN32" i="13" s="1"/>
  <c r="AM33" i="13"/>
  <c r="AQ33" i="13" s="1"/>
  <c r="AM34" i="13"/>
  <c r="AN34" i="13" s="1"/>
  <c r="AM35" i="13"/>
  <c r="AQ35" i="13" s="1"/>
  <c r="AM36" i="13"/>
  <c r="AN36" i="13" s="1"/>
  <c r="AM37" i="13"/>
  <c r="AQ37" i="13" s="1"/>
  <c r="AM38" i="13"/>
  <c r="AN38" i="13" s="1"/>
  <c r="AM39" i="13"/>
  <c r="AQ39" i="13" s="1"/>
  <c r="AM40" i="13"/>
  <c r="AN40" i="13" s="1"/>
  <c r="AM41" i="13"/>
  <c r="AQ41" i="13" s="1"/>
  <c r="AM42" i="13"/>
  <c r="AN42" i="13" s="1"/>
  <c r="AM43" i="13"/>
  <c r="AQ43" i="13" s="1"/>
  <c r="AM44" i="13"/>
  <c r="AN44" i="13" s="1"/>
  <c r="AM45" i="13"/>
  <c r="AQ45" i="13" s="1"/>
  <c r="AM46" i="13"/>
  <c r="AN46" i="13" s="1"/>
  <c r="AO46" i="13" s="1"/>
  <c r="AP46" i="13" s="1"/>
  <c r="AQ46" i="13" s="1"/>
  <c r="AM47" i="13"/>
  <c r="AQ47" i="13" s="1"/>
  <c r="AM48" i="13"/>
  <c r="AN48" i="13" s="1"/>
  <c r="AM49" i="13"/>
  <c r="AQ49" i="13" s="1"/>
  <c r="AM50" i="13"/>
  <c r="AM51" i="13"/>
  <c r="AM52" i="13"/>
  <c r="AM53" i="13"/>
  <c r="AN53" i="13" s="1"/>
  <c r="AO53" i="13" s="1"/>
  <c r="AP53" i="13" s="1"/>
  <c r="AQ53" i="13" s="1"/>
  <c r="AM54" i="13"/>
  <c r="AM55" i="13"/>
  <c r="AN55" i="13"/>
  <c r="AO55" i="13"/>
  <c r="AP55" i="13" s="1"/>
  <c r="AQ55" i="13" s="1"/>
  <c r="AM56" i="13"/>
  <c r="AM57" i="13"/>
  <c r="AN57" i="13" s="1"/>
  <c r="AM58" i="13"/>
  <c r="AQ58" i="13" s="1"/>
  <c r="AM59" i="13"/>
  <c r="AN59" i="13" s="1"/>
  <c r="AM60" i="13"/>
  <c r="AQ60" i="13" s="1"/>
  <c r="AM61" i="13"/>
  <c r="AN61" i="13" s="1"/>
  <c r="AM62" i="13"/>
  <c r="AQ62" i="13" s="1"/>
  <c r="AM63" i="13"/>
  <c r="AN63" i="13" s="1"/>
  <c r="AM64" i="13"/>
  <c r="AQ64" i="13" s="1"/>
  <c r="AM65" i="13"/>
  <c r="AN65" i="13" s="1"/>
  <c r="AM66" i="13"/>
  <c r="AQ66" i="13" s="1"/>
  <c r="AM67" i="13"/>
  <c r="AN67" i="13" s="1"/>
  <c r="AM68" i="13"/>
  <c r="AQ68" i="13" s="1"/>
  <c r="AM69" i="13"/>
  <c r="AN69" i="13" s="1"/>
  <c r="AM70" i="13"/>
  <c r="AQ70" i="13" s="1"/>
  <c r="AM71" i="13"/>
  <c r="AN71" i="13" s="1"/>
  <c r="AM72" i="13"/>
  <c r="AQ72" i="13" s="1"/>
  <c r="AM73" i="13"/>
  <c r="AN73" i="13" s="1"/>
  <c r="AM74" i="13"/>
  <c r="AQ74" i="13" s="1"/>
  <c r="AM75" i="13"/>
  <c r="AN75" i="13" s="1"/>
  <c r="AM76" i="13"/>
  <c r="AQ76" i="13" s="1"/>
  <c r="AM77" i="13"/>
  <c r="AN77" i="13" s="1"/>
  <c r="AM78" i="13"/>
  <c r="AQ78" i="13" s="1"/>
  <c r="AM79" i="13"/>
  <c r="AN79" i="13"/>
  <c r="AO79" i="13"/>
  <c r="AP79" i="13" s="1"/>
  <c r="AQ79" i="13" s="1"/>
  <c r="AM80" i="13"/>
  <c r="AN80" i="13" s="1"/>
  <c r="AM81" i="13"/>
  <c r="AQ81" i="13" s="1"/>
  <c r="AM82" i="13"/>
  <c r="AM83" i="13"/>
  <c r="AM84" i="13"/>
  <c r="AM85" i="13"/>
  <c r="AM86" i="13"/>
  <c r="AM87" i="13"/>
  <c r="AQ87" i="13" s="1"/>
  <c r="AM88" i="13"/>
  <c r="AM89" i="13"/>
  <c r="AM90" i="13"/>
  <c r="AM91" i="13"/>
  <c r="AQ91" i="13" s="1"/>
  <c r="AM92" i="13"/>
  <c r="AM93" i="13"/>
  <c r="AN93" i="13" s="1"/>
  <c r="AO93" i="13" s="1"/>
  <c r="AP93" i="13" s="1"/>
  <c r="AQ93" i="13" s="1"/>
  <c r="AM94" i="13"/>
  <c r="AM95" i="13"/>
  <c r="AM96" i="13"/>
  <c r="AM97" i="13"/>
  <c r="AN97" i="13" s="1"/>
  <c r="AO97" i="13" s="1"/>
  <c r="AP97" i="13" s="1"/>
  <c r="AQ97" i="13" s="1"/>
  <c r="AM98" i="13"/>
  <c r="AN98" i="13" s="1"/>
  <c r="AO98" i="13" s="1"/>
  <c r="AP98" i="13" s="1"/>
  <c r="AQ98" i="13" s="1"/>
  <c r="AM99" i="13"/>
  <c r="AM100" i="13"/>
  <c r="AQ100" i="13" s="1"/>
  <c r="AM101" i="13"/>
  <c r="AM102" i="13"/>
  <c r="AM103" i="13"/>
  <c r="AM104" i="13"/>
  <c r="AQ104" i="13" s="1"/>
  <c r="AM105" i="13"/>
  <c r="AM106" i="13"/>
  <c r="AM107" i="13"/>
  <c r="AM108" i="13"/>
  <c r="AM109" i="13"/>
  <c r="AM110" i="13"/>
  <c r="AM111" i="13"/>
  <c r="AM112" i="13"/>
  <c r="AM113" i="13"/>
  <c r="AM114" i="13"/>
  <c r="AQ114" i="13" s="1"/>
  <c r="AM115" i="13"/>
  <c r="AM116" i="13"/>
  <c r="AQ116" i="13" s="1"/>
  <c r="AM117" i="13"/>
  <c r="AM118" i="13"/>
  <c r="AM119" i="13"/>
  <c r="AM120" i="13"/>
  <c r="AQ120" i="13" s="1"/>
  <c r="AM121" i="13"/>
  <c r="AM122" i="13"/>
  <c r="AM123" i="13"/>
  <c r="AM124" i="13"/>
  <c r="AM125" i="13"/>
  <c r="AM126" i="13"/>
  <c r="AM127" i="13"/>
  <c r="AM128" i="13"/>
  <c r="AM129" i="13"/>
  <c r="AM130" i="13"/>
  <c r="AQ130" i="13" s="1"/>
  <c r="AM131" i="13"/>
  <c r="AM132" i="13"/>
  <c r="AQ132" i="13" s="1"/>
  <c r="AM133" i="13"/>
  <c r="AM134" i="13"/>
  <c r="AM135" i="13"/>
  <c r="AM136" i="13"/>
  <c r="AQ136" i="13" s="1"/>
  <c r="AM137" i="13"/>
  <c r="AM138" i="13"/>
  <c r="AM139" i="13"/>
  <c r="AM140" i="13"/>
  <c r="AM141" i="13"/>
  <c r="AM142" i="13"/>
  <c r="AM143" i="13"/>
  <c r="AN143" i="13"/>
  <c r="AO143" i="13"/>
  <c r="AP143" i="13" s="1"/>
  <c r="AQ143" i="13" s="1"/>
  <c r="AM144" i="13"/>
  <c r="AM145" i="13"/>
  <c r="AN145" i="13" s="1"/>
  <c r="AO145" i="13" s="1"/>
  <c r="AP145" i="13" s="1"/>
  <c r="AQ145" i="13" s="1"/>
  <c r="AM146" i="13"/>
  <c r="AN146" i="13" s="1"/>
  <c r="AO146" i="13" s="1"/>
  <c r="AP146" i="13" s="1"/>
  <c r="AQ146" i="13" s="1"/>
  <c r="AM147" i="13"/>
  <c r="AM148" i="13"/>
  <c r="AM149" i="13"/>
  <c r="AM150" i="13"/>
  <c r="AM151" i="13"/>
  <c r="AM152" i="13"/>
  <c r="AM153" i="13"/>
  <c r="AO153" i="13" s="1"/>
  <c r="AM154" i="13"/>
  <c r="AM155" i="13"/>
  <c r="AQ155" i="13" s="1"/>
  <c r="AM156" i="13"/>
  <c r="AM157" i="13"/>
  <c r="AM158" i="13"/>
  <c r="AM159" i="13"/>
  <c r="AM160" i="13"/>
  <c r="AM161" i="13"/>
  <c r="AO161" i="13" s="1"/>
  <c r="AM162" i="13"/>
  <c r="AM163" i="13"/>
  <c r="AM164" i="13"/>
  <c r="AM165" i="13"/>
  <c r="AM166" i="13"/>
  <c r="AM167" i="13"/>
  <c r="AM168" i="13"/>
  <c r="AM169" i="13"/>
  <c r="AM170" i="13"/>
  <c r="AM171" i="13"/>
  <c r="AQ171" i="13" s="1"/>
  <c r="AM172" i="13"/>
  <c r="AM173" i="13"/>
  <c r="AN173" i="13" s="1"/>
  <c r="AO173" i="13" s="1"/>
  <c r="AP173" i="13" s="1"/>
  <c r="AQ173" i="13" s="1"/>
  <c r="AM174" i="13"/>
  <c r="AM175" i="13"/>
  <c r="AM176" i="13"/>
  <c r="AO176" i="13" s="1"/>
  <c r="AM177" i="13"/>
  <c r="AM178" i="13"/>
  <c r="AM179" i="13"/>
  <c r="AO179" i="13" s="1"/>
  <c r="AM180" i="13"/>
  <c r="AM181" i="13"/>
  <c r="AM182" i="13"/>
  <c r="AM183" i="13"/>
  <c r="AM184" i="13"/>
  <c r="AO184" i="13" s="1"/>
  <c r="AM185" i="13"/>
  <c r="AM186" i="13"/>
  <c r="AM187" i="13"/>
  <c r="AM188" i="13"/>
  <c r="AM189" i="13"/>
  <c r="AM190" i="13"/>
  <c r="AM191" i="13"/>
  <c r="AM192" i="13"/>
  <c r="AM193" i="13"/>
  <c r="AM194" i="13"/>
  <c r="AM195" i="13"/>
  <c r="AP195" i="13" s="1"/>
  <c r="AM196" i="13"/>
  <c r="AM197" i="13"/>
  <c r="AN197" i="13" s="1"/>
  <c r="AO197" i="13" s="1"/>
  <c r="AP197" i="13" s="1"/>
  <c r="AQ197" i="13" s="1"/>
  <c r="AM198" i="13"/>
  <c r="AM199" i="13"/>
  <c r="AN199" i="13"/>
  <c r="AO199" i="13"/>
  <c r="AP199" i="13" s="1"/>
  <c r="AQ199" i="13" s="1"/>
  <c r="AM200" i="13"/>
  <c r="AM201" i="13"/>
  <c r="AN201" i="13" s="1"/>
  <c r="AO201" i="13" s="1"/>
  <c r="AP201" i="13" s="1"/>
  <c r="AQ201" i="13" s="1"/>
  <c r="AM202" i="13"/>
  <c r="AN202" i="13" s="1"/>
  <c r="AO202" i="13" s="1"/>
  <c r="AP202" i="13" s="1"/>
  <c r="AQ202" i="13" s="1"/>
  <c r="AM203" i="13"/>
  <c r="AM204" i="13"/>
  <c r="AM205" i="13"/>
  <c r="AN205" i="13" s="1"/>
  <c r="AO205" i="13" s="1"/>
  <c r="AP205" i="13" s="1"/>
  <c r="AQ205" i="13" s="1"/>
  <c r="AM206" i="13"/>
  <c r="AM207" i="13"/>
  <c r="AN207" i="13"/>
  <c r="AO207" i="13"/>
  <c r="AP207" i="13" s="1"/>
  <c r="AQ207" i="13" s="1"/>
  <c r="AM208" i="13"/>
  <c r="AO208" i="13" s="1"/>
  <c r="AM209" i="13"/>
  <c r="AM210" i="13"/>
  <c r="AM211" i="13"/>
  <c r="AQ211" i="13" s="1"/>
  <c r="AM212" i="13"/>
  <c r="AM213" i="13"/>
  <c r="AM214" i="13"/>
  <c r="AM215" i="13"/>
  <c r="AM216" i="13"/>
  <c r="AM217" i="13"/>
  <c r="AM218" i="13"/>
  <c r="AM219" i="13"/>
  <c r="AM220" i="13"/>
  <c r="AM221" i="13"/>
  <c r="AM222" i="13"/>
  <c r="AM223" i="13"/>
  <c r="AM224" i="13"/>
  <c r="AM225" i="13"/>
  <c r="AM226" i="13"/>
  <c r="AM227" i="13"/>
  <c r="AM228" i="13"/>
  <c r="AM229" i="13"/>
  <c r="AM230" i="13"/>
  <c r="AM231" i="13"/>
  <c r="AO231" i="13" s="1"/>
  <c r="AM232" i="13"/>
  <c r="AM233" i="13"/>
  <c r="AM234" i="13"/>
  <c r="AM235" i="13"/>
  <c r="AM236" i="13"/>
  <c r="AM237" i="13"/>
  <c r="AP237" i="13" s="1"/>
  <c r="AM238" i="13"/>
  <c r="AM239" i="13"/>
  <c r="AM240" i="13"/>
  <c r="AM241" i="13"/>
  <c r="AM242" i="13"/>
  <c r="AM243" i="13"/>
  <c r="AQ243" i="13" s="1"/>
  <c r="AM244" i="13"/>
  <c r="AM245" i="13"/>
  <c r="AM246" i="13"/>
  <c r="AM247" i="13"/>
  <c r="AM248" i="13"/>
  <c r="AM249" i="13"/>
  <c r="AM250" i="13"/>
  <c r="AM251" i="13"/>
  <c r="AM252" i="13"/>
  <c r="AM253" i="13"/>
  <c r="AN253" i="13" s="1"/>
  <c r="AO253" i="13" s="1"/>
  <c r="AP253" i="13" s="1"/>
  <c r="AQ253" i="13" s="1"/>
  <c r="AM254" i="13"/>
  <c r="AM255" i="13"/>
  <c r="AN255" i="13"/>
  <c r="AO255" i="13"/>
  <c r="AP255" i="13" s="1"/>
  <c r="AQ255" i="13" s="1"/>
  <c r="AM256" i="13"/>
  <c r="AM257" i="13"/>
  <c r="AM258" i="13"/>
  <c r="AM259" i="13"/>
  <c r="AM260" i="13"/>
  <c r="AM261" i="13"/>
  <c r="AM262" i="13"/>
  <c r="AM263" i="13"/>
  <c r="AO263" i="13" s="1"/>
  <c r="AM264" i="13"/>
  <c r="AM265" i="13"/>
  <c r="AM266" i="13"/>
  <c r="AQ266" i="13" s="1"/>
  <c r="AM267" i="13"/>
  <c r="AM268" i="13"/>
  <c r="AM269" i="13"/>
  <c r="AM270" i="13"/>
  <c r="AM271" i="13"/>
  <c r="AM272" i="13"/>
  <c r="AM273" i="13"/>
  <c r="AN273" i="13" s="1"/>
  <c r="AM274" i="13"/>
  <c r="AM275" i="13"/>
  <c r="AM276" i="13"/>
  <c r="AM277" i="13"/>
  <c r="AM278" i="13"/>
  <c r="AM279" i="13"/>
  <c r="AO279" i="13" s="1"/>
  <c r="AM280" i="13"/>
  <c r="AM281" i="13"/>
  <c r="AM282" i="13"/>
  <c r="AM283" i="13"/>
  <c r="AM284" i="13"/>
  <c r="AM285" i="13"/>
  <c r="AM286" i="13"/>
  <c r="AM287" i="13"/>
  <c r="AN287" i="13"/>
  <c r="AO287" i="13"/>
  <c r="AP287" i="13" s="1"/>
  <c r="AQ287" i="13" s="1"/>
  <c r="AM288" i="13"/>
  <c r="AM289" i="13"/>
  <c r="AN289" i="13" s="1"/>
  <c r="AO289" i="13" s="1"/>
  <c r="AP289" i="13" s="1"/>
  <c r="AQ289" i="13" s="1"/>
  <c r="AM290" i="13"/>
  <c r="AM291" i="13"/>
  <c r="AM292" i="13"/>
  <c r="AN292" i="13" s="1"/>
  <c r="AM293" i="13"/>
  <c r="AM294" i="13"/>
  <c r="AM295" i="13"/>
  <c r="AP295" i="13" s="1"/>
  <c r="AM296" i="13"/>
  <c r="AM297" i="13"/>
  <c r="AM298" i="13"/>
  <c r="AO298" i="13" s="1"/>
  <c r="AM299" i="13"/>
  <c r="AM300" i="13"/>
  <c r="AM301" i="13"/>
  <c r="AN301" i="13" s="1"/>
  <c r="AO301" i="13" s="1"/>
  <c r="AP301" i="13" s="1"/>
  <c r="AQ301" i="13" s="1"/>
  <c r="AM302" i="13"/>
  <c r="AM303" i="13"/>
  <c r="AN303" i="13"/>
  <c r="AO303" i="13"/>
  <c r="AP303" i="13" s="1"/>
  <c r="AQ303" i="13" s="1"/>
  <c r="AM304" i="13"/>
  <c r="AN304" i="13" s="1"/>
  <c r="AO304" i="13" s="1"/>
  <c r="AP304" i="13" s="1"/>
  <c r="AQ304" i="13" s="1"/>
  <c r="AM305" i="13"/>
  <c r="AN305" i="13" s="1"/>
  <c r="AO305" i="13" s="1"/>
  <c r="AP305" i="13" s="1"/>
  <c r="AQ305" i="13" s="1"/>
  <c r="AM306" i="13"/>
  <c r="AM307" i="13"/>
  <c r="AM308" i="13"/>
  <c r="AM309" i="13"/>
  <c r="AM310" i="13"/>
  <c r="AM311" i="13"/>
  <c r="AM312" i="13"/>
  <c r="AO312" i="13" s="1"/>
  <c r="AM313" i="13"/>
  <c r="AM314" i="13"/>
  <c r="AM315" i="13"/>
  <c r="AM316" i="13"/>
  <c r="AM317" i="13"/>
  <c r="AM318" i="13"/>
  <c r="AM319" i="13"/>
  <c r="AM320" i="13"/>
  <c r="AM321" i="13"/>
  <c r="AM322" i="13"/>
  <c r="AM323" i="13"/>
  <c r="AM324" i="13"/>
  <c r="AQ324" i="13" s="1"/>
  <c r="AM325" i="13"/>
  <c r="AM326" i="13"/>
  <c r="AM327" i="13"/>
  <c r="AM328" i="13"/>
  <c r="AN328" i="13" s="1"/>
  <c r="AO328" i="13" s="1"/>
  <c r="AP328" i="13" s="1"/>
  <c r="AQ328" i="13" s="1"/>
  <c r="AM329" i="13"/>
  <c r="AN329" i="13" s="1"/>
  <c r="AO329" i="13" s="1"/>
  <c r="AP329" i="13" s="1"/>
  <c r="AQ329" i="13" s="1"/>
  <c r="AM330" i="13"/>
  <c r="AN330" i="13" s="1"/>
  <c r="AO330" i="13" s="1"/>
  <c r="AP330" i="13" s="1"/>
  <c r="AQ330" i="13" s="1"/>
  <c r="AM331" i="13"/>
  <c r="AM332" i="13"/>
  <c r="AN332" i="13" s="1"/>
  <c r="AO332" i="13" s="1"/>
  <c r="AP332" i="13" s="1"/>
  <c r="AQ332" i="13" s="1"/>
  <c r="AM333" i="13"/>
  <c r="AN333" i="13" s="1"/>
  <c r="AO333" i="13" s="1"/>
  <c r="AP333" i="13" s="1"/>
  <c r="AQ333" i="13" s="1"/>
  <c r="AM334" i="13"/>
  <c r="AN334" i="13" s="1"/>
  <c r="AO334" i="13" s="1"/>
  <c r="AP334" i="13" s="1"/>
  <c r="AQ334" i="13" s="1"/>
  <c r="AM335" i="13"/>
  <c r="AM336" i="13"/>
  <c r="AO336" i="13" s="1"/>
  <c r="AM337" i="13"/>
  <c r="AM338" i="13"/>
  <c r="AM339" i="13"/>
  <c r="AN339" i="13" s="1"/>
  <c r="AM340" i="13"/>
  <c r="AM341" i="13"/>
  <c r="AM342" i="13"/>
  <c r="AP342" i="13" s="1"/>
  <c r="AM343" i="13"/>
  <c r="AM344" i="13"/>
  <c r="AM345" i="13"/>
  <c r="AM346" i="13"/>
  <c r="AM347" i="13"/>
  <c r="AM348" i="13"/>
  <c r="AQ348" i="13" s="1"/>
  <c r="AM349" i="13"/>
  <c r="AM350" i="13"/>
  <c r="AM351" i="13"/>
  <c r="AM352" i="13"/>
  <c r="AM353" i="13"/>
  <c r="AN353" i="13" s="1"/>
  <c r="AO353" i="13" s="1"/>
  <c r="AP353" i="13" s="1"/>
  <c r="AQ353" i="13" s="1"/>
  <c r="AM354" i="13"/>
  <c r="AN354" i="13" s="1"/>
  <c r="AO354" i="13" s="1"/>
  <c r="AP354" i="13" s="1"/>
  <c r="AQ354" i="13" s="1"/>
  <c r="AM355" i="13"/>
  <c r="AM356" i="13"/>
  <c r="AM357" i="13"/>
  <c r="AM358" i="13"/>
  <c r="AM359" i="13"/>
  <c r="AM360" i="13"/>
  <c r="AM2" i="13"/>
  <c r="AN2" i="13" s="1"/>
  <c r="AO2" i="13" s="1"/>
  <c r="AP2" i="13" s="1"/>
  <c r="AQ2" i="13" s="1"/>
  <c r="AN3" i="13"/>
  <c r="AO3" i="13"/>
  <c r="AP3" i="13"/>
  <c r="AQ3" i="13"/>
  <c r="AN4" i="13"/>
  <c r="AO4" i="13" s="1"/>
  <c r="AP4" i="13" s="1"/>
  <c r="AQ4" i="13" s="1"/>
  <c r="AN5" i="13"/>
  <c r="AO5" i="13"/>
  <c r="AP5" i="13"/>
  <c r="AQ5" i="13"/>
  <c r="AN6" i="13"/>
  <c r="AO6" i="13" s="1"/>
  <c r="AP6" i="13" s="1"/>
  <c r="AQ6" i="13" s="1"/>
  <c r="AN7" i="13"/>
  <c r="AO7" i="13"/>
  <c r="AP7" i="13"/>
  <c r="AQ7" i="13"/>
  <c r="AN8" i="13"/>
  <c r="AO8" i="13" s="1"/>
  <c r="AP8" i="13" s="1"/>
  <c r="AQ8" i="13" s="1"/>
  <c r="AN50" i="13"/>
  <c r="AO50" i="13" s="1"/>
  <c r="AP50" i="13" s="1"/>
  <c r="AQ50" i="13" s="1"/>
  <c r="AN51" i="13"/>
  <c r="AO51" i="13"/>
  <c r="AP51" i="13"/>
  <c r="AQ51" i="13"/>
  <c r="AN52" i="13"/>
  <c r="AO52" i="13" s="1"/>
  <c r="AP52" i="13" s="1"/>
  <c r="AQ52" i="13" s="1"/>
  <c r="AN54" i="13"/>
  <c r="AO54" i="13" s="1"/>
  <c r="AP54" i="13" s="1"/>
  <c r="AQ54" i="13" s="1"/>
  <c r="AN56" i="13"/>
  <c r="AO56" i="13" s="1"/>
  <c r="AP56" i="13" s="1"/>
  <c r="AQ56" i="13" s="1"/>
  <c r="AN92" i="13"/>
  <c r="AO92" i="13" s="1"/>
  <c r="AP92" i="13" s="1"/>
  <c r="AQ92" i="13" s="1"/>
  <c r="AN94" i="13"/>
  <c r="AO94" i="13" s="1"/>
  <c r="AP94" i="13" s="1"/>
  <c r="AQ94" i="13" s="1"/>
  <c r="AN95" i="13"/>
  <c r="AO95" i="13" s="1"/>
  <c r="AP95" i="13" s="1"/>
  <c r="AQ95" i="13" s="1"/>
  <c r="AN96" i="13"/>
  <c r="AO96" i="13" s="1"/>
  <c r="AP96" i="13" s="1"/>
  <c r="AQ96" i="13" s="1"/>
  <c r="AN147" i="13"/>
  <c r="AO147" i="13" s="1"/>
  <c r="AP147" i="13" s="1"/>
  <c r="AQ147" i="13" s="1"/>
  <c r="AN172" i="13"/>
  <c r="AO172" i="13" s="1"/>
  <c r="AP172" i="13" s="1"/>
  <c r="AQ172" i="13" s="1"/>
  <c r="AN200" i="13"/>
  <c r="AO200" i="13" s="1"/>
  <c r="AP200" i="13" s="1"/>
  <c r="AQ200" i="13" s="1"/>
  <c r="AN203" i="13"/>
  <c r="AO203" i="13" s="1"/>
  <c r="AP203" i="13" s="1"/>
  <c r="AQ203" i="13" s="1"/>
  <c r="AN204" i="13"/>
  <c r="AO204" i="13" s="1"/>
  <c r="AP204" i="13" s="1"/>
  <c r="AQ204" i="13" s="1"/>
  <c r="AN206" i="13"/>
  <c r="AO206" i="13" s="1"/>
  <c r="AP206" i="13" s="1"/>
  <c r="AQ206" i="13" s="1"/>
  <c r="AN247" i="13"/>
  <c r="AO247" i="13" s="1"/>
  <c r="AP247" i="13" s="1"/>
  <c r="AQ247" i="13" s="1"/>
  <c r="AN251" i="13"/>
  <c r="AO251" i="13" s="1"/>
  <c r="AP251" i="13" s="1"/>
  <c r="AQ251" i="13" s="1"/>
  <c r="AN252" i="13"/>
  <c r="AO252" i="13" s="1"/>
  <c r="AP252" i="13" s="1"/>
  <c r="AQ252" i="13" s="1"/>
  <c r="AN254" i="13"/>
  <c r="AO254" i="13" s="1"/>
  <c r="AP254" i="13" s="1"/>
  <c r="AQ254" i="13" s="1"/>
  <c r="AN256" i="13"/>
  <c r="AO256" i="13" s="1"/>
  <c r="AP256" i="13" s="1"/>
  <c r="AQ256" i="13" s="1"/>
  <c r="AN288" i="13"/>
  <c r="AO288" i="13" s="1"/>
  <c r="AP288" i="13" s="1"/>
  <c r="AQ288" i="13" s="1"/>
  <c r="AN302" i="13"/>
  <c r="AO302" i="13" s="1"/>
  <c r="AP302" i="13" s="1"/>
  <c r="AQ302" i="13" s="1"/>
  <c r="AN306" i="13"/>
  <c r="AO306" i="13" s="1"/>
  <c r="AP306" i="13" s="1"/>
  <c r="AQ306" i="13" s="1"/>
  <c r="AN307" i="13"/>
  <c r="AO307" i="13" s="1"/>
  <c r="AP307" i="13" s="1"/>
  <c r="AQ307" i="13" s="1"/>
  <c r="AN326" i="13"/>
  <c r="AO326" i="13" s="1"/>
  <c r="AP326" i="13" s="1"/>
  <c r="AQ326" i="13" s="1"/>
  <c r="AN331" i="13"/>
  <c r="AO331" i="13" s="1"/>
  <c r="AP331" i="13" s="1"/>
  <c r="AQ331" i="13" s="1"/>
  <c r="AN355" i="13"/>
  <c r="AO355" i="13" s="1"/>
  <c r="AP355" i="13" s="1"/>
  <c r="AQ355" i="13" s="1"/>
  <c r="AF10" i="13"/>
  <c r="AF11" i="13"/>
  <c r="AF12" i="13"/>
  <c r="AF13" i="13"/>
  <c r="AF14" i="13"/>
  <c r="AF15" i="13"/>
  <c r="AF16" i="13"/>
  <c r="AF17" i="13"/>
  <c r="AF18" i="13"/>
  <c r="AF19" i="13"/>
  <c r="AF20" i="13"/>
  <c r="AF21" i="13"/>
  <c r="AF22" i="13"/>
  <c r="AF23" i="13"/>
  <c r="AF24" i="13"/>
  <c r="AF25" i="13"/>
  <c r="AF26" i="13"/>
  <c r="AF27" i="13"/>
  <c r="AF28" i="13"/>
  <c r="AF29" i="13"/>
  <c r="AF30" i="13"/>
  <c r="AF31" i="13"/>
  <c r="AF32" i="13"/>
  <c r="AF33" i="13"/>
  <c r="AF34" i="13"/>
  <c r="AF35" i="13"/>
  <c r="AF36" i="13"/>
  <c r="AF37" i="13"/>
  <c r="AF38" i="13"/>
  <c r="AF39" i="13"/>
  <c r="AF40" i="13"/>
  <c r="AF41" i="13"/>
  <c r="AF42" i="13"/>
  <c r="AF43" i="13"/>
  <c r="AF44" i="13"/>
  <c r="AF45" i="13"/>
  <c r="AF46" i="13"/>
  <c r="AF47" i="13"/>
  <c r="AF48" i="13"/>
  <c r="AF49" i="13"/>
  <c r="AF50" i="13"/>
  <c r="AF51" i="13"/>
  <c r="AF52" i="13"/>
  <c r="AF53" i="13"/>
  <c r="AF54" i="13"/>
  <c r="AF55" i="13"/>
  <c r="AF56" i="13"/>
  <c r="AF57" i="13"/>
  <c r="AF58" i="13"/>
  <c r="AF59" i="13"/>
  <c r="AF60" i="13"/>
  <c r="AF61" i="13"/>
  <c r="AF62" i="13"/>
  <c r="AF63" i="13"/>
  <c r="AF64" i="13"/>
  <c r="AF65" i="13"/>
  <c r="AF66" i="13"/>
  <c r="AF67" i="13"/>
  <c r="AF68" i="13"/>
  <c r="AF69" i="13"/>
  <c r="AF70" i="13"/>
  <c r="AF71" i="13"/>
  <c r="AF72" i="13"/>
  <c r="AF73" i="13"/>
  <c r="AF74" i="13"/>
  <c r="AF75" i="13"/>
  <c r="AF76" i="13"/>
  <c r="AF77" i="13"/>
  <c r="AF78" i="13"/>
  <c r="AF79" i="13"/>
  <c r="AF80" i="13"/>
  <c r="AF81" i="13"/>
  <c r="AF82" i="13"/>
  <c r="AF83" i="13"/>
  <c r="AF84" i="13"/>
  <c r="AF85" i="13"/>
  <c r="AF86" i="13"/>
  <c r="AF87" i="13"/>
  <c r="AF88" i="13"/>
  <c r="AF89" i="13"/>
  <c r="AF90" i="13"/>
  <c r="AF91" i="13"/>
  <c r="AF92" i="13"/>
  <c r="AF93" i="13"/>
  <c r="AF94" i="13"/>
  <c r="AF95" i="13"/>
  <c r="AF96" i="13"/>
  <c r="AF97" i="13"/>
  <c r="AF98" i="13"/>
  <c r="AF99" i="13"/>
  <c r="AF100" i="13"/>
  <c r="AF101" i="13"/>
  <c r="AF102" i="13"/>
  <c r="AF103" i="13"/>
  <c r="AF104" i="13"/>
  <c r="AF105" i="13"/>
  <c r="AF106" i="13"/>
  <c r="AF107" i="13"/>
  <c r="AF108" i="13"/>
  <c r="AF109" i="13"/>
  <c r="AF110" i="13"/>
  <c r="AF111" i="13"/>
  <c r="AF112" i="13"/>
  <c r="AF113" i="13"/>
  <c r="AF114" i="13"/>
  <c r="AF115" i="13"/>
  <c r="AF116" i="13"/>
  <c r="AF117" i="13"/>
  <c r="AF118" i="13"/>
  <c r="AF119" i="13"/>
  <c r="AF120" i="13"/>
  <c r="AF121" i="13"/>
  <c r="AF122" i="13"/>
  <c r="AF123" i="13"/>
  <c r="AF124" i="13"/>
  <c r="AF125" i="13"/>
  <c r="AF126" i="13"/>
  <c r="AF127" i="13"/>
  <c r="AF128" i="13"/>
  <c r="AF129" i="13"/>
  <c r="AF130" i="13"/>
  <c r="AF131" i="13"/>
  <c r="AF132" i="13"/>
  <c r="AF133" i="13"/>
  <c r="AF134" i="13"/>
  <c r="AF135" i="13"/>
  <c r="AF136" i="13"/>
  <c r="AF137" i="13"/>
  <c r="AF138" i="13"/>
  <c r="AF139" i="13"/>
  <c r="AF140" i="13"/>
  <c r="AF141" i="13"/>
  <c r="AF142" i="13"/>
  <c r="AF143" i="13"/>
  <c r="AF144" i="13"/>
  <c r="AF145" i="13"/>
  <c r="AF146" i="13"/>
  <c r="AF147" i="13"/>
  <c r="AF148" i="13"/>
  <c r="AF149" i="13"/>
  <c r="AF150" i="13"/>
  <c r="AF151" i="13"/>
  <c r="AF152" i="13"/>
  <c r="AF153" i="13"/>
  <c r="AF154" i="13"/>
  <c r="AF155" i="13"/>
  <c r="AF156" i="13"/>
  <c r="AF157" i="13"/>
  <c r="AF158" i="13"/>
  <c r="AF159" i="13"/>
  <c r="AF160" i="13"/>
  <c r="AF161" i="13"/>
  <c r="AF162" i="13"/>
  <c r="AF163" i="13"/>
  <c r="AF164" i="13"/>
  <c r="AF165" i="13"/>
  <c r="AF166" i="13"/>
  <c r="AF167" i="13"/>
  <c r="AF168" i="13"/>
  <c r="AF169" i="13"/>
  <c r="AF170" i="13"/>
  <c r="AF171" i="13"/>
  <c r="AF172" i="13"/>
  <c r="AF173" i="13"/>
  <c r="AF174" i="13"/>
  <c r="AF175" i="13"/>
  <c r="AF176" i="13"/>
  <c r="AF177" i="13"/>
  <c r="AF178" i="13"/>
  <c r="AF179" i="13"/>
  <c r="AF180" i="13"/>
  <c r="AF181" i="13"/>
  <c r="AF182" i="13"/>
  <c r="AF183" i="13"/>
  <c r="AF184" i="13"/>
  <c r="AF185" i="13"/>
  <c r="AF186" i="13"/>
  <c r="AF187" i="13"/>
  <c r="AF188" i="13"/>
  <c r="AF189" i="13"/>
  <c r="AF190" i="13"/>
  <c r="AF191" i="13"/>
  <c r="AF192" i="13"/>
  <c r="AF193" i="13"/>
  <c r="AF194" i="13"/>
  <c r="AF195" i="13"/>
  <c r="AF196" i="13"/>
  <c r="AF197" i="13"/>
  <c r="AF198" i="13"/>
  <c r="AF199" i="13"/>
  <c r="AF200" i="13"/>
  <c r="AF201" i="13"/>
  <c r="AF202" i="13"/>
  <c r="AF203" i="13"/>
  <c r="AF204" i="13"/>
  <c r="AF205" i="13"/>
  <c r="AF206" i="13"/>
  <c r="AF207" i="13"/>
  <c r="AF208" i="13"/>
  <c r="AF209" i="13"/>
  <c r="AF210" i="13"/>
  <c r="AF211" i="13"/>
  <c r="AF212" i="13"/>
  <c r="AF213" i="13"/>
  <c r="AF214" i="13"/>
  <c r="AF215" i="13"/>
  <c r="AF216" i="13"/>
  <c r="AF217" i="13"/>
  <c r="AF218" i="13"/>
  <c r="AF219" i="13"/>
  <c r="AF220" i="13"/>
  <c r="AF221" i="13"/>
  <c r="AF222" i="13"/>
  <c r="AF223" i="13"/>
  <c r="AF224" i="13"/>
  <c r="AF225" i="13"/>
  <c r="AF226" i="13"/>
  <c r="AF227" i="13"/>
  <c r="AF228" i="13"/>
  <c r="AF229" i="13"/>
  <c r="AF230" i="13"/>
  <c r="AF231" i="13"/>
  <c r="AF232" i="13"/>
  <c r="AF233" i="13"/>
  <c r="AF234" i="13"/>
  <c r="AF235" i="13"/>
  <c r="AF236" i="13"/>
  <c r="AF237" i="13"/>
  <c r="AF238" i="13"/>
  <c r="AF239" i="13"/>
  <c r="AF240" i="13"/>
  <c r="AF241" i="13"/>
  <c r="AF242" i="13"/>
  <c r="AF243" i="13"/>
  <c r="AF244" i="13"/>
  <c r="AF245" i="13"/>
  <c r="AF246" i="13"/>
  <c r="AF247" i="13"/>
  <c r="AF248" i="13"/>
  <c r="AF249" i="13"/>
  <c r="AF250" i="13"/>
  <c r="AF251" i="13"/>
  <c r="AF252" i="13"/>
  <c r="AF253" i="13"/>
  <c r="AF254" i="13"/>
  <c r="AF255" i="13"/>
  <c r="AF256" i="13"/>
  <c r="AF257" i="13"/>
  <c r="AF258" i="13"/>
  <c r="AF259" i="13"/>
  <c r="AF260" i="13"/>
  <c r="AF261" i="13"/>
  <c r="AF262" i="13"/>
  <c r="AF263" i="13"/>
  <c r="AF264" i="13"/>
  <c r="AF265" i="13"/>
  <c r="AF266" i="13"/>
  <c r="AF267" i="13"/>
  <c r="AF268" i="13"/>
  <c r="AF269" i="13"/>
  <c r="AF270" i="13"/>
  <c r="AF271" i="13"/>
  <c r="AF272" i="13"/>
  <c r="AF273" i="13"/>
  <c r="AF274" i="13"/>
  <c r="AF275" i="13"/>
  <c r="AF276" i="13"/>
  <c r="AF277" i="13"/>
  <c r="AF278" i="13"/>
  <c r="AF279" i="13"/>
  <c r="AF280" i="13"/>
  <c r="AF281" i="13"/>
  <c r="AF282" i="13"/>
  <c r="AF283" i="13"/>
  <c r="AF284" i="13"/>
  <c r="AF285" i="13"/>
  <c r="AF286" i="13"/>
  <c r="AF287" i="13"/>
  <c r="AF288" i="13"/>
  <c r="AF289" i="13"/>
  <c r="AF290" i="13"/>
  <c r="AF291" i="13"/>
  <c r="AF292" i="13"/>
  <c r="AF293" i="13"/>
  <c r="AF294" i="13"/>
  <c r="AF295" i="13"/>
  <c r="AF296" i="13"/>
  <c r="AF297" i="13"/>
  <c r="AF298" i="13"/>
  <c r="AF299" i="13"/>
  <c r="AF300" i="13"/>
  <c r="AF301" i="13"/>
  <c r="AF302" i="13"/>
  <c r="AF303" i="13"/>
  <c r="AF304" i="13"/>
  <c r="AF305" i="13"/>
  <c r="AF306" i="13"/>
  <c r="AF307" i="13"/>
  <c r="AF308" i="13"/>
  <c r="AF309" i="13"/>
  <c r="AF310" i="13"/>
  <c r="AF311" i="13"/>
  <c r="AF312" i="13"/>
  <c r="AF313" i="13"/>
  <c r="AF314" i="13"/>
  <c r="AF315" i="13"/>
  <c r="AF316" i="13"/>
  <c r="AF317" i="13"/>
  <c r="AF318" i="13"/>
  <c r="AF319" i="13"/>
  <c r="AF320" i="13"/>
  <c r="AF321" i="13"/>
  <c r="AF322" i="13"/>
  <c r="AF323" i="13"/>
  <c r="AF324" i="13"/>
  <c r="AF325" i="13"/>
  <c r="AF326" i="13"/>
  <c r="AF327" i="13"/>
  <c r="AF328" i="13"/>
  <c r="AF329" i="13"/>
  <c r="AF330" i="13"/>
  <c r="AF331" i="13"/>
  <c r="AF332" i="13"/>
  <c r="AF333" i="13"/>
  <c r="AF334" i="13"/>
  <c r="AF335" i="13"/>
  <c r="AF336" i="13"/>
  <c r="AF337" i="13"/>
  <c r="AF338" i="13"/>
  <c r="AF339" i="13"/>
  <c r="AF340" i="13"/>
  <c r="AF341" i="13"/>
  <c r="AF342" i="13"/>
  <c r="AF343" i="13"/>
  <c r="AF344" i="13"/>
  <c r="AF345" i="13"/>
  <c r="AF346" i="13"/>
  <c r="AF347" i="13"/>
  <c r="AF348" i="13"/>
  <c r="AF349" i="13"/>
  <c r="AF350" i="13"/>
  <c r="AF351" i="13"/>
  <c r="AF352" i="13"/>
  <c r="AF353" i="13"/>
  <c r="AF354" i="13"/>
  <c r="AF355" i="13"/>
  <c r="AF356" i="13"/>
  <c r="AF357" i="13"/>
  <c r="AF358" i="13"/>
  <c r="AF359" i="13"/>
  <c r="AF360" i="13"/>
  <c r="AH3" i="13"/>
  <c r="AH4" i="13"/>
  <c r="AH5" i="13"/>
  <c r="AH6" i="13"/>
  <c r="AH7" i="13"/>
  <c r="AH8" i="13"/>
  <c r="AH9" i="13"/>
  <c r="AH10" i="13"/>
  <c r="AH11" i="13"/>
  <c r="AH12" i="13"/>
  <c r="AH13" i="13"/>
  <c r="AH14" i="13"/>
  <c r="AH15" i="13"/>
  <c r="AH16" i="13"/>
  <c r="AH17" i="13"/>
  <c r="AH18" i="13"/>
  <c r="AH19" i="13"/>
  <c r="AH20" i="13"/>
  <c r="AH21" i="13"/>
  <c r="AH22" i="13"/>
  <c r="AH23" i="13"/>
  <c r="AH24" i="13"/>
  <c r="AH25" i="13"/>
  <c r="AH26" i="13"/>
  <c r="AH27" i="13"/>
  <c r="AH28" i="13"/>
  <c r="AH29" i="13"/>
  <c r="AH30" i="13"/>
  <c r="AH31" i="13"/>
  <c r="AH32" i="13"/>
  <c r="AH33" i="13"/>
  <c r="AH34" i="13"/>
  <c r="AH35" i="13"/>
  <c r="AH36" i="13"/>
  <c r="AH37" i="13"/>
  <c r="AH38" i="13"/>
  <c r="AH39" i="13"/>
  <c r="AH40" i="13"/>
  <c r="AH41" i="13"/>
  <c r="AH42" i="13"/>
  <c r="AH43" i="13"/>
  <c r="AH44" i="13"/>
  <c r="AH45" i="13"/>
  <c r="AH46" i="13"/>
  <c r="AH47" i="13"/>
  <c r="AH48" i="13"/>
  <c r="AH49" i="13"/>
  <c r="AH50" i="13"/>
  <c r="AH51" i="13"/>
  <c r="AH52" i="13"/>
  <c r="AH53" i="13"/>
  <c r="AH54" i="13"/>
  <c r="AH55" i="13"/>
  <c r="AH56" i="13"/>
  <c r="AH57" i="13"/>
  <c r="AH58" i="13"/>
  <c r="AH59" i="13"/>
  <c r="AH60" i="13"/>
  <c r="AH61" i="13"/>
  <c r="AH62" i="13"/>
  <c r="AH63" i="13"/>
  <c r="AH64" i="13"/>
  <c r="AH65" i="13"/>
  <c r="AH66" i="13"/>
  <c r="AH67" i="13"/>
  <c r="AH68" i="13"/>
  <c r="AH69" i="13"/>
  <c r="AH70" i="13"/>
  <c r="AH71" i="13"/>
  <c r="AH72" i="13"/>
  <c r="AH73" i="13"/>
  <c r="AH74" i="13"/>
  <c r="AH75" i="13"/>
  <c r="AH76" i="13"/>
  <c r="AH77" i="13"/>
  <c r="AH78" i="13"/>
  <c r="AH79" i="13"/>
  <c r="AH80" i="13"/>
  <c r="AH81" i="13"/>
  <c r="AH82" i="13"/>
  <c r="AH83" i="13"/>
  <c r="AH84" i="13"/>
  <c r="AH85" i="13"/>
  <c r="AH86" i="13"/>
  <c r="AH87" i="13"/>
  <c r="AH88" i="13"/>
  <c r="AH89" i="13"/>
  <c r="AH90" i="13"/>
  <c r="AH91" i="13"/>
  <c r="AH92" i="13"/>
  <c r="AH93" i="13"/>
  <c r="AH94" i="13"/>
  <c r="AH95" i="13"/>
  <c r="AH96" i="13"/>
  <c r="AH97" i="13"/>
  <c r="AH98" i="13"/>
  <c r="AH99" i="13"/>
  <c r="AH100" i="13"/>
  <c r="AH101" i="13"/>
  <c r="AH102" i="13"/>
  <c r="AH103" i="13"/>
  <c r="AH104" i="13"/>
  <c r="AH105" i="13"/>
  <c r="AH106" i="13"/>
  <c r="AH107" i="13"/>
  <c r="AH108" i="13"/>
  <c r="AH109" i="13"/>
  <c r="AH110" i="13"/>
  <c r="AH111" i="13"/>
  <c r="AH112" i="13"/>
  <c r="AH113" i="13"/>
  <c r="AH114" i="13"/>
  <c r="AH115" i="13"/>
  <c r="AH116" i="13"/>
  <c r="AH117" i="13"/>
  <c r="AH118" i="13"/>
  <c r="AH119" i="13"/>
  <c r="AH120" i="13"/>
  <c r="AH121" i="13"/>
  <c r="AH122" i="13"/>
  <c r="AH123" i="13"/>
  <c r="AH124" i="13"/>
  <c r="AH125" i="13"/>
  <c r="AH126" i="13"/>
  <c r="AH127" i="13"/>
  <c r="AH128" i="13"/>
  <c r="AH129" i="13"/>
  <c r="AH130" i="13"/>
  <c r="AH131" i="13"/>
  <c r="AH132" i="13"/>
  <c r="AH133" i="13"/>
  <c r="AH134" i="13"/>
  <c r="AH135" i="13"/>
  <c r="AH136" i="13"/>
  <c r="AH137" i="13"/>
  <c r="AH138" i="13"/>
  <c r="AH139" i="13"/>
  <c r="AH140" i="13"/>
  <c r="AH141" i="13"/>
  <c r="AH142" i="13"/>
  <c r="AH143" i="13"/>
  <c r="AH144" i="13"/>
  <c r="AH145" i="13"/>
  <c r="AH146" i="13"/>
  <c r="AH147" i="13"/>
  <c r="AH148" i="13"/>
  <c r="AH149" i="13"/>
  <c r="AH150" i="13"/>
  <c r="AH151" i="13"/>
  <c r="AH152" i="13"/>
  <c r="AH153" i="13"/>
  <c r="AH154" i="13"/>
  <c r="AH155" i="13"/>
  <c r="AH156" i="13"/>
  <c r="AH157" i="13"/>
  <c r="AH158" i="13"/>
  <c r="AH159" i="13"/>
  <c r="AH160" i="13"/>
  <c r="AH161" i="13"/>
  <c r="AH162" i="13"/>
  <c r="AH163" i="13"/>
  <c r="AH164" i="13"/>
  <c r="AH165" i="13"/>
  <c r="AH166" i="13"/>
  <c r="AH167" i="13"/>
  <c r="AH168" i="13"/>
  <c r="AH169" i="13"/>
  <c r="AH170" i="13"/>
  <c r="AH171" i="13"/>
  <c r="AH172" i="13"/>
  <c r="AH173" i="13"/>
  <c r="AH174" i="13"/>
  <c r="AH175" i="13"/>
  <c r="AH176" i="13"/>
  <c r="AH177" i="13"/>
  <c r="AH178" i="13"/>
  <c r="AH179" i="13"/>
  <c r="AH180" i="13"/>
  <c r="AH181" i="13"/>
  <c r="AH182" i="13"/>
  <c r="AH183" i="13"/>
  <c r="AH184" i="13"/>
  <c r="AH185" i="13"/>
  <c r="AH186" i="13"/>
  <c r="AH187" i="13"/>
  <c r="AH188" i="13"/>
  <c r="AH189" i="13"/>
  <c r="AH190" i="13"/>
  <c r="AH191" i="13"/>
  <c r="AH192" i="13"/>
  <c r="AH193" i="13"/>
  <c r="AH194" i="13"/>
  <c r="AH195" i="13"/>
  <c r="AH196" i="13"/>
  <c r="AH197" i="13"/>
  <c r="AH198" i="13"/>
  <c r="AH199" i="13"/>
  <c r="AH200" i="13"/>
  <c r="AH201" i="13"/>
  <c r="AH202" i="13"/>
  <c r="AH203" i="13"/>
  <c r="AH204" i="13"/>
  <c r="AH205" i="13"/>
  <c r="AH206" i="13"/>
  <c r="AH207" i="13"/>
  <c r="AH208" i="13"/>
  <c r="AH209" i="13"/>
  <c r="AH210" i="13"/>
  <c r="AH211" i="13"/>
  <c r="AH212" i="13"/>
  <c r="AH213" i="13"/>
  <c r="AH214" i="13"/>
  <c r="AH215" i="13"/>
  <c r="AH216" i="13"/>
  <c r="AH217" i="13"/>
  <c r="AH218" i="13"/>
  <c r="AH219" i="13"/>
  <c r="AH220" i="13"/>
  <c r="AH221" i="13"/>
  <c r="AH222" i="13"/>
  <c r="AH223" i="13"/>
  <c r="AH224" i="13"/>
  <c r="AH225" i="13"/>
  <c r="AH226" i="13"/>
  <c r="AH227" i="13"/>
  <c r="AH228" i="13"/>
  <c r="AH229" i="13"/>
  <c r="AH230" i="13"/>
  <c r="AH231" i="13"/>
  <c r="AH232" i="13"/>
  <c r="AH233" i="13"/>
  <c r="AH234" i="13"/>
  <c r="AH235" i="13"/>
  <c r="AH236" i="13"/>
  <c r="AH237" i="13"/>
  <c r="AH238" i="13"/>
  <c r="AH239" i="13"/>
  <c r="AH240" i="13"/>
  <c r="AH241" i="13"/>
  <c r="AH242" i="13"/>
  <c r="AH243" i="13"/>
  <c r="AH244" i="13"/>
  <c r="AH245" i="13"/>
  <c r="AH246" i="13"/>
  <c r="AH247" i="13"/>
  <c r="AH248" i="13"/>
  <c r="AH249" i="13"/>
  <c r="AH250" i="13"/>
  <c r="AH251" i="13"/>
  <c r="AH252" i="13"/>
  <c r="AH253" i="13"/>
  <c r="AH254" i="13"/>
  <c r="AH255" i="13"/>
  <c r="AH256" i="13"/>
  <c r="AH257" i="13"/>
  <c r="AH258" i="13"/>
  <c r="AH259" i="13"/>
  <c r="AH260" i="13"/>
  <c r="AH261" i="13"/>
  <c r="AH262" i="13"/>
  <c r="AH263" i="13"/>
  <c r="AH264" i="13"/>
  <c r="AH265" i="13"/>
  <c r="AH266" i="13"/>
  <c r="AH267" i="13"/>
  <c r="AH268" i="13"/>
  <c r="AH269" i="13"/>
  <c r="AH270" i="13"/>
  <c r="AH271" i="13"/>
  <c r="AH272" i="13"/>
  <c r="AH273" i="13"/>
  <c r="AH274" i="13"/>
  <c r="AH275" i="13"/>
  <c r="AH276" i="13"/>
  <c r="AH277" i="13"/>
  <c r="AH278" i="13"/>
  <c r="AH279" i="13"/>
  <c r="AH280" i="13"/>
  <c r="AH281" i="13"/>
  <c r="AH282" i="13"/>
  <c r="AH283" i="13"/>
  <c r="AH284" i="13"/>
  <c r="AH285" i="13"/>
  <c r="AH286" i="13"/>
  <c r="AH287" i="13"/>
  <c r="AH288" i="13"/>
  <c r="AH289" i="13"/>
  <c r="AH290" i="13"/>
  <c r="AH291" i="13"/>
  <c r="AH292" i="13"/>
  <c r="AH293" i="13"/>
  <c r="AH294" i="13"/>
  <c r="AH295" i="13"/>
  <c r="AH296" i="13"/>
  <c r="AH297" i="13"/>
  <c r="AH298" i="13"/>
  <c r="AH299" i="13"/>
  <c r="AH300" i="13"/>
  <c r="AH301" i="13"/>
  <c r="AH302" i="13"/>
  <c r="AH303" i="13"/>
  <c r="AH304" i="13"/>
  <c r="AH305" i="13"/>
  <c r="AH306" i="13"/>
  <c r="AH307" i="13"/>
  <c r="AH308" i="13"/>
  <c r="AH309" i="13"/>
  <c r="AH310" i="13"/>
  <c r="AH311" i="13"/>
  <c r="AH312" i="13"/>
  <c r="AH313" i="13"/>
  <c r="AH314" i="13"/>
  <c r="AH315" i="13"/>
  <c r="AH316" i="13"/>
  <c r="AH317" i="13"/>
  <c r="AH318" i="13"/>
  <c r="AH319" i="13"/>
  <c r="AH320" i="13"/>
  <c r="AH321" i="13"/>
  <c r="AH322" i="13"/>
  <c r="AH323" i="13"/>
  <c r="AH324" i="13"/>
  <c r="AH325" i="13"/>
  <c r="AH326" i="13"/>
  <c r="AH327" i="13"/>
  <c r="AH328" i="13"/>
  <c r="AH329" i="13"/>
  <c r="AH330" i="13"/>
  <c r="AH331" i="13"/>
  <c r="AH332" i="13"/>
  <c r="AH333" i="13"/>
  <c r="AH334" i="13"/>
  <c r="AH335" i="13"/>
  <c r="AH336" i="13"/>
  <c r="AH337" i="13"/>
  <c r="AH338" i="13"/>
  <c r="AH339" i="13"/>
  <c r="AH340" i="13"/>
  <c r="AH341" i="13"/>
  <c r="AH342" i="13"/>
  <c r="AH343" i="13"/>
  <c r="AH344" i="13"/>
  <c r="AH345" i="13"/>
  <c r="AH346" i="13"/>
  <c r="AH347" i="13"/>
  <c r="AH348" i="13"/>
  <c r="AH349" i="13"/>
  <c r="AH350" i="13"/>
  <c r="AH351" i="13"/>
  <c r="AH352" i="13"/>
  <c r="AH353" i="13"/>
  <c r="AH354" i="13"/>
  <c r="AH355" i="13"/>
  <c r="AH356" i="13"/>
  <c r="AH357" i="13"/>
  <c r="AH358" i="13"/>
  <c r="AH359" i="13"/>
  <c r="AH360" i="13"/>
  <c r="AH2" i="13"/>
  <c r="AF3" i="13"/>
  <c r="AF4" i="13"/>
  <c r="AF5" i="13"/>
  <c r="AF6" i="13"/>
  <c r="AF7" i="13"/>
  <c r="AF8" i="13"/>
  <c r="AF9" i="13"/>
  <c r="AF2"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Z50" i="13"/>
  <c r="Z51" i="13"/>
  <c r="Z52" i="13"/>
  <c r="Z53" i="13"/>
  <c r="Z54" i="13"/>
  <c r="Z55" i="13"/>
  <c r="Z56" i="13"/>
  <c r="Z57" i="13"/>
  <c r="Z58" i="13"/>
  <c r="Z59" i="13"/>
  <c r="Z60" i="13"/>
  <c r="Z61" i="13"/>
  <c r="Z62" i="13"/>
  <c r="Z63" i="13"/>
  <c r="Z64" i="13"/>
  <c r="Z65" i="13"/>
  <c r="Z66" i="13"/>
  <c r="Z67" i="13"/>
  <c r="Z68" i="13"/>
  <c r="Z69" i="13"/>
  <c r="Z70" i="13"/>
  <c r="Z71" i="13"/>
  <c r="Z72" i="13"/>
  <c r="Z73" i="13"/>
  <c r="Z74" i="13"/>
  <c r="Z75" i="13"/>
  <c r="Z76" i="13"/>
  <c r="Z77" i="13"/>
  <c r="Z78" i="13"/>
  <c r="Z79" i="13"/>
  <c r="Z80" i="13"/>
  <c r="Z81" i="13"/>
  <c r="Z82" i="13"/>
  <c r="Z83" i="13"/>
  <c r="Z84" i="13"/>
  <c r="Z85" i="13"/>
  <c r="Z86" i="13"/>
  <c r="Z87" i="13"/>
  <c r="Z88" i="13"/>
  <c r="Z89" i="13"/>
  <c r="Z90" i="13"/>
  <c r="Z91" i="13"/>
  <c r="Z92" i="13"/>
  <c r="Z93" i="13"/>
  <c r="Z94" i="13"/>
  <c r="Z95" i="13"/>
  <c r="Z96" i="13"/>
  <c r="Z97" i="13"/>
  <c r="Z98" i="13"/>
  <c r="Z99" i="13"/>
  <c r="Z100" i="13"/>
  <c r="Z101" i="13"/>
  <c r="Z102" i="13"/>
  <c r="Z103" i="13"/>
  <c r="Z104" i="13"/>
  <c r="Z105" i="13"/>
  <c r="Z106" i="13"/>
  <c r="Z107" i="13"/>
  <c r="Z108" i="13"/>
  <c r="Z109" i="13"/>
  <c r="Z110" i="13"/>
  <c r="Z111" i="13"/>
  <c r="Z112" i="13"/>
  <c r="Z113" i="13"/>
  <c r="Z114" i="13"/>
  <c r="Z115" i="13"/>
  <c r="Z116" i="13"/>
  <c r="Z117" i="13"/>
  <c r="Z118" i="13"/>
  <c r="Z119" i="13"/>
  <c r="Z120" i="13"/>
  <c r="Z121" i="13"/>
  <c r="Z122" i="13"/>
  <c r="Z123" i="13"/>
  <c r="Z124" i="13"/>
  <c r="Z125" i="13"/>
  <c r="Z126" i="13"/>
  <c r="Z127" i="13"/>
  <c r="Z128" i="13"/>
  <c r="Z129" i="13"/>
  <c r="Z130" i="13"/>
  <c r="Z131" i="13"/>
  <c r="Z132" i="13"/>
  <c r="Z133" i="13"/>
  <c r="Z134" i="13"/>
  <c r="Z135" i="13"/>
  <c r="Z136" i="13"/>
  <c r="Z137" i="13"/>
  <c r="Z138" i="13"/>
  <c r="Z139" i="13"/>
  <c r="Z140" i="13"/>
  <c r="Z141" i="13"/>
  <c r="Z142" i="13"/>
  <c r="Z143" i="13"/>
  <c r="Z144" i="13"/>
  <c r="Z145" i="13"/>
  <c r="Z146" i="13"/>
  <c r="Z147" i="13"/>
  <c r="Z148" i="13"/>
  <c r="Z149" i="13"/>
  <c r="Z150" i="13"/>
  <c r="Z151" i="13"/>
  <c r="Z152" i="13"/>
  <c r="Z153" i="13"/>
  <c r="Z154" i="13"/>
  <c r="Z155" i="13"/>
  <c r="Z156" i="13"/>
  <c r="Z157" i="13"/>
  <c r="Z158" i="13"/>
  <c r="Z159" i="13"/>
  <c r="Z160" i="13"/>
  <c r="Z161" i="13"/>
  <c r="Z162" i="13"/>
  <c r="Z163" i="13"/>
  <c r="Z164" i="13"/>
  <c r="Z165" i="13"/>
  <c r="Z166" i="13"/>
  <c r="Z167" i="13"/>
  <c r="Z168" i="13"/>
  <c r="Z169" i="13"/>
  <c r="Z170" i="13"/>
  <c r="Z171" i="13"/>
  <c r="Z172" i="13"/>
  <c r="Z173" i="13"/>
  <c r="Z174" i="13"/>
  <c r="Z175" i="13"/>
  <c r="Z176" i="13"/>
  <c r="Z177" i="13"/>
  <c r="Z178" i="13"/>
  <c r="Z179" i="13"/>
  <c r="Z180" i="13"/>
  <c r="Z181" i="13"/>
  <c r="Z182" i="13"/>
  <c r="Z183" i="13"/>
  <c r="Z184" i="13"/>
  <c r="Z185" i="13"/>
  <c r="Z186" i="13"/>
  <c r="Z187" i="13"/>
  <c r="Z188" i="13"/>
  <c r="Z189" i="13"/>
  <c r="Z190" i="13"/>
  <c r="Z191" i="13"/>
  <c r="Z192" i="13"/>
  <c r="Z193" i="13"/>
  <c r="Z194" i="13"/>
  <c r="Z195" i="13"/>
  <c r="Z196" i="13"/>
  <c r="Z197" i="13"/>
  <c r="Z198" i="13"/>
  <c r="Z199" i="13"/>
  <c r="Z200" i="13"/>
  <c r="Z201" i="13"/>
  <c r="Z202" i="13"/>
  <c r="Z203" i="13"/>
  <c r="Z204" i="13"/>
  <c r="Z205" i="13"/>
  <c r="Z206" i="13"/>
  <c r="Z207" i="13"/>
  <c r="Z208" i="13"/>
  <c r="Z209" i="13"/>
  <c r="Z210" i="13"/>
  <c r="Z211" i="13"/>
  <c r="Z212" i="13"/>
  <c r="Z213" i="13"/>
  <c r="Z214" i="13"/>
  <c r="Z215" i="13"/>
  <c r="Z216" i="13"/>
  <c r="Z217" i="13"/>
  <c r="Z218" i="13"/>
  <c r="Z219" i="13"/>
  <c r="Z220" i="13"/>
  <c r="Z221" i="13"/>
  <c r="Z222" i="13"/>
  <c r="Z223" i="13"/>
  <c r="Z224" i="13"/>
  <c r="Z225" i="13"/>
  <c r="Z226" i="13"/>
  <c r="Z227" i="13"/>
  <c r="Z228" i="13"/>
  <c r="Z229" i="13"/>
  <c r="Z230" i="13"/>
  <c r="Z231" i="13"/>
  <c r="Z232" i="13"/>
  <c r="Z233" i="13"/>
  <c r="Z234" i="13"/>
  <c r="Z235" i="13"/>
  <c r="Z236" i="13"/>
  <c r="Z237" i="13"/>
  <c r="Z238" i="13"/>
  <c r="Z239" i="13"/>
  <c r="Z240" i="13"/>
  <c r="Z241" i="13"/>
  <c r="Z242" i="13"/>
  <c r="Z243" i="13"/>
  <c r="Z244" i="13"/>
  <c r="Z245" i="13"/>
  <c r="Z246" i="13"/>
  <c r="Z247" i="13"/>
  <c r="Z248" i="13"/>
  <c r="Z249" i="13"/>
  <c r="Z250" i="13"/>
  <c r="Z251" i="13"/>
  <c r="Z252" i="13"/>
  <c r="Z253" i="13"/>
  <c r="Z254" i="13"/>
  <c r="Z255" i="13"/>
  <c r="Z256" i="13"/>
  <c r="Z257" i="13"/>
  <c r="Z258" i="13"/>
  <c r="Z259" i="13"/>
  <c r="Z260" i="13"/>
  <c r="Z261" i="13"/>
  <c r="Z262" i="13"/>
  <c r="Z263" i="13"/>
  <c r="Z264" i="13"/>
  <c r="Z265" i="13"/>
  <c r="Z266" i="13"/>
  <c r="Z267" i="13"/>
  <c r="Z268" i="13"/>
  <c r="Z269" i="13"/>
  <c r="Z270" i="13"/>
  <c r="Z271" i="13"/>
  <c r="Z272" i="13"/>
  <c r="Z273" i="13"/>
  <c r="Z274" i="13"/>
  <c r="Z275" i="13"/>
  <c r="Z276" i="13"/>
  <c r="Z277" i="13"/>
  <c r="Z278" i="13"/>
  <c r="Z279" i="13"/>
  <c r="Z280" i="13"/>
  <c r="Z281" i="13"/>
  <c r="Z282" i="13"/>
  <c r="Z283" i="13"/>
  <c r="Z284" i="13"/>
  <c r="Z285" i="13"/>
  <c r="Z286" i="13"/>
  <c r="Z287" i="13"/>
  <c r="Z288" i="13"/>
  <c r="Z289" i="13"/>
  <c r="Z290" i="13"/>
  <c r="Z291" i="13"/>
  <c r="Z292" i="13"/>
  <c r="Z293" i="13"/>
  <c r="Z294" i="13"/>
  <c r="Z295" i="13"/>
  <c r="Z296" i="13"/>
  <c r="Z297" i="13"/>
  <c r="Z298" i="13"/>
  <c r="Z299" i="13"/>
  <c r="Z300" i="13"/>
  <c r="Z301" i="13"/>
  <c r="Z302" i="13"/>
  <c r="Z303" i="13"/>
  <c r="Z304" i="13"/>
  <c r="Z305" i="13"/>
  <c r="Z306" i="13"/>
  <c r="Z307" i="13"/>
  <c r="Z308" i="13"/>
  <c r="Z309" i="13"/>
  <c r="Z310" i="13"/>
  <c r="Z311" i="13"/>
  <c r="Z312" i="13"/>
  <c r="Z313" i="13"/>
  <c r="Z314" i="13"/>
  <c r="Z315" i="13"/>
  <c r="Z316" i="13"/>
  <c r="Z317" i="13"/>
  <c r="Z318" i="13"/>
  <c r="Z319" i="13"/>
  <c r="Z320" i="13"/>
  <c r="Z321" i="13"/>
  <c r="Z322" i="13"/>
  <c r="Z323" i="13"/>
  <c r="Z324" i="13"/>
  <c r="Z325" i="13"/>
  <c r="Z326" i="13"/>
  <c r="Z327" i="13"/>
  <c r="Z328" i="13"/>
  <c r="Z329" i="13"/>
  <c r="Z330" i="13"/>
  <c r="Z331" i="13"/>
  <c r="Z332" i="13"/>
  <c r="Z333" i="13"/>
  <c r="Z334" i="13"/>
  <c r="Z335" i="13"/>
  <c r="Z336" i="13"/>
  <c r="Z337" i="13"/>
  <c r="Z338" i="13"/>
  <c r="Z339" i="13"/>
  <c r="Z340" i="13"/>
  <c r="Z341" i="13"/>
  <c r="Z342" i="13"/>
  <c r="Z343" i="13"/>
  <c r="Z344" i="13"/>
  <c r="Z345" i="13"/>
  <c r="Z346" i="13"/>
  <c r="Z347" i="13"/>
  <c r="Z348" i="13"/>
  <c r="Z349" i="13"/>
  <c r="Z350" i="13"/>
  <c r="Z351" i="13"/>
  <c r="Z352" i="13"/>
  <c r="Z353" i="13"/>
  <c r="Z354" i="13"/>
  <c r="Z355" i="13"/>
  <c r="Z356" i="13"/>
  <c r="Z357" i="13"/>
  <c r="Z358" i="13"/>
  <c r="Z359" i="13"/>
  <c r="Z360" i="13"/>
  <c r="Z3" i="13"/>
  <c r="Z4" i="13"/>
  <c r="Z5" i="13"/>
  <c r="Z6" i="13"/>
  <c r="Z7" i="13"/>
  <c r="Z8" i="13"/>
  <c r="Z9" i="13"/>
  <c r="Z10" i="13"/>
  <c r="Z2" i="13"/>
  <c r="H11" i="13"/>
  <c r="I11" i="13"/>
  <c r="J11" i="13"/>
  <c r="K11" i="13"/>
  <c r="H12" i="13"/>
  <c r="I12" i="13"/>
  <c r="J12" i="13"/>
  <c r="K12" i="13"/>
  <c r="H13" i="13"/>
  <c r="I13" i="13"/>
  <c r="J13" i="13"/>
  <c r="K13" i="13"/>
  <c r="H14" i="13"/>
  <c r="I14" i="13"/>
  <c r="J14" i="13"/>
  <c r="K14" i="13"/>
  <c r="H15" i="13"/>
  <c r="I15" i="13"/>
  <c r="J15" i="13"/>
  <c r="K15" i="13"/>
  <c r="H16" i="13"/>
  <c r="I16" i="13"/>
  <c r="J16" i="13"/>
  <c r="K16" i="13"/>
  <c r="H17" i="13"/>
  <c r="I17" i="13"/>
  <c r="J17" i="13"/>
  <c r="K17" i="13"/>
  <c r="H18" i="13"/>
  <c r="I18" i="13"/>
  <c r="J18" i="13"/>
  <c r="K18" i="13"/>
  <c r="H19" i="13"/>
  <c r="I19" i="13"/>
  <c r="J19" i="13"/>
  <c r="K19" i="13"/>
  <c r="H20" i="13"/>
  <c r="I20" i="13"/>
  <c r="J20" i="13"/>
  <c r="K20" i="13"/>
  <c r="H21" i="13"/>
  <c r="I21" i="13"/>
  <c r="J21" i="13"/>
  <c r="K21" i="13"/>
  <c r="H22" i="13"/>
  <c r="I22" i="13"/>
  <c r="J22" i="13"/>
  <c r="K22" i="13"/>
  <c r="H23" i="13"/>
  <c r="I23" i="13"/>
  <c r="J23" i="13"/>
  <c r="K23" i="13"/>
  <c r="H24" i="13"/>
  <c r="I24" i="13"/>
  <c r="J24" i="13"/>
  <c r="K24" i="13"/>
  <c r="H25" i="13"/>
  <c r="I25" i="13"/>
  <c r="J25" i="13"/>
  <c r="K25" i="13"/>
  <c r="H26" i="13"/>
  <c r="I26" i="13"/>
  <c r="J26" i="13"/>
  <c r="K26" i="13"/>
  <c r="H27" i="13"/>
  <c r="I27" i="13"/>
  <c r="J27" i="13"/>
  <c r="K27" i="13"/>
  <c r="H28" i="13"/>
  <c r="I28" i="13"/>
  <c r="J28" i="13"/>
  <c r="K28" i="13"/>
  <c r="H29" i="13"/>
  <c r="I29" i="13"/>
  <c r="J29" i="13"/>
  <c r="K29" i="13"/>
  <c r="H30" i="13"/>
  <c r="I30" i="13"/>
  <c r="J30" i="13"/>
  <c r="K30" i="13"/>
  <c r="H31" i="13"/>
  <c r="I31" i="13"/>
  <c r="J31" i="13"/>
  <c r="K31" i="13"/>
  <c r="H32" i="13"/>
  <c r="I32" i="13"/>
  <c r="J32" i="13"/>
  <c r="K32" i="13"/>
  <c r="H33" i="13"/>
  <c r="I33" i="13"/>
  <c r="J33" i="13"/>
  <c r="K33" i="13"/>
  <c r="H34" i="13"/>
  <c r="I34" i="13"/>
  <c r="J34" i="13"/>
  <c r="K34" i="13"/>
  <c r="H35" i="13"/>
  <c r="I35" i="13"/>
  <c r="J35" i="13"/>
  <c r="K35" i="13"/>
  <c r="H36" i="13"/>
  <c r="I36" i="13"/>
  <c r="J36" i="13"/>
  <c r="K36" i="13"/>
  <c r="H37" i="13"/>
  <c r="I37" i="13"/>
  <c r="J37" i="13"/>
  <c r="K37" i="13"/>
  <c r="H38" i="13"/>
  <c r="I38" i="13"/>
  <c r="J38" i="13"/>
  <c r="K38" i="13"/>
  <c r="H39" i="13"/>
  <c r="I39" i="13"/>
  <c r="J39" i="13"/>
  <c r="K39" i="13"/>
  <c r="H40" i="13"/>
  <c r="I40" i="13"/>
  <c r="J40" i="13"/>
  <c r="K40" i="13"/>
  <c r="H41" i="13"/>
  <c r="I41" i="13"/>
  <c r="J41" i="13"/>
  <c r="K41" i="13"/>
  <c r="H42" i="13"/>
  <c r="I42" i="13"/>
  <c r="J42" i="13"/>
  <c r="K42" i="13"/>
  <c r="H43" i="13"/>
  <c r="I43" i="13"/>
  <c r="J43" i="13"/>
  <c r="K43" i="13"/>
  <c r="H44" i="13"/>
  <c r="I44" i="13"/>
  <c r="J44" i="13"/>
  <c r="K44" i="13"/>
  <c r="H45" i="13"/>
  <c r="I45" i="13"/>
  <c r="J45" i="13"/>
  <c r="K45" i="13"/>
  <c r="H46" i="13"/>
  <c r="I46" i="13"/>
  <c r="J46" i="13"/>
  <c r="K46" i="13"/>
  <c r="H47" i="13"/>
  <c r="I47" i="13"/>
  <c r="J47" i="13"/>
  <c r="K47" i="13"/>
  <c r="H48" i="13"/>
  <c r="I48" i="13"/>
  <c r="J48" i="13"/>
  <c r="K48" i="13"/>
  <c r="H49" i="13"/>
  <c r="I49" i="13"/>
  <c r="J49" i="13"/>
  <c r="K49" i="13"/>
  <c r="H50" i="13"/>
  <c r="I50" i="13"/>
  <c r="J50" i="13"/>
  <c r="K50" i="13"/>
  <c r="H51" i="13"/>
  <c r="I51" i="13"/>
  <c r="J51" i="13"/>
  <c r="K51" i="13"/>
  <c r="H52" i="13"/>
  <c r="I52" i="13"/>
  <c r="J52" i="13"/>
  <c r="K52" i="13"/>
  <c r="H53" i="13"/>
  <c r="I53" i="13"/>
  <c r="J53" i="13"/>
  <c r="K53" i="13"/>
  <c r="H54" i="13"/>
  <c r="I54" i="13"/>
  <c r="J54" i="13"/>
  <c r="K54" i="13"/>
  <c r="H55" i="13"/>
  <c r="I55" i="13"/>
  <c r="J55" i="13"/>
  <c r="K55" i="13"/>
  <c r="H56" i="13"/>
  <c r="I56" i="13"/>
  <c r="J56" i="13"/>
  <c r="K56" i="13"/>
  <c r="H57" i="13"/>
  <c r="I57" i="13"/>
  <c r="J57" i="13"/>
  <c r="K57" i="13"/>
  <c r="H58" i="13"/>
  <c r="I58" i="13"/>
  <c r="J58" i="13"/>
  <c r="K58" i="13"/>
  <c r="H59" i="13"/>
  <c r="I59" i="13"/>
  <c r="J59" i="13"/>
  <c r="K59" i="13"/>
  <c r="H60" i="13"/>
  <c r="I60" i="13"/>
  <c r="J60" i="13"/>
  <c r="K60" i="13"/>
  <c r="H61" i="13"/>
  <c r="I61" i="13"/>
  <c r="J61" i="13"/>
  <c r="K61" i="13"/>
  <c r="H62" i="13"/>
  <c r="I62" i="13"/>
  <c r="J62" i="13"/>
  <c r="K62" i="13"/>
  <c r="H63" i="13"/>
  <c r="I63" i="13"/>
  <c r="J63" i="13"/>
  <c r="K63" i="13"/>
  <c r="H64" i="13"/>
  <c r="I64" i="13"/>
  <c r="J64" i="13"/>
  <c r="K64" i="13"/>
  <c r="H65" i="13"/>
  <c r="I65" i="13"/>
  <c r="J65" i="13"/>
  <c r="K65" i="13"/>
  <c r="H66" i="13"/>
  <c r="I66" i="13"/>
  <c r="J66" i="13"/>
  <c r="K66" i="13"/>
  <c r="H67" i="13"/>
  <c r="I67" i="13"/>
  <c r="J67" i="13"/>
  <c r="K67" i="13"/>
  <c r="H68" i="13"/>
  <c r="I68" i="13"/>
  <c r="J68" i="13"/>
  <c r="K68" i="13"/>
  <c r="H69" i="13"/>
  <c r="I69" i="13"/>
  <c r="J69" i="13"/>
  <c r="K69" i="13"/>
  <c r="H70" i="13"/>
  <c r="I70" i="13"/>
  <c r="J70" i="13"/>
  <c r="K70" i="13"/>
  <c r="H71" i="13"/>
  <c r="I71" i="13"/>
  <c r="J71" i="13"/>
  <c r="K71" i="13"/>
  <c r="H72" i="13"/>
  <c r="I72" i="13"/>
  <c r="J72" i="13"/>
  <c r="K72" i="13"/>
  <c r="H73" i="13"/>
  <c r="I73" i="13"/>
  <c r="J73" i="13"/>
  <c r="K73" i="13"/>
  <c r="H74" i="13"/>
  <c r="I74" i="13"/>
  <c r="J74" i="13"/>
  <c r="K74" i="13"/>
  <c r="H75" i="13"/>
  <c r="I75" i="13"/>
  <c r="J75" i="13"/>
  <c r="K75" i="13"/>
  <c r="H76" i="13"/>
  <c r="I76" i="13"/>
  <c r="J76" i="13"/>
  <c r="K76" i="13"/>
  <c r="H77" i="13"/>
  <c r="I77" i="13"/>
  <c r="J77" i="13"/>
  <c r="K77" i="13"/>
  <c r="H78" i="13"/>
  <c r="I78" i="13"/>
  <c r="J78" i="13"/>
  <c r="K78" i="13"/>
  <c r="H79" i="13"/>
  <c r="I79" i="13"/>
  <c r="J79" i="13"/>
  <c r="K79" i="13"/>
  <c r="H80" i="13"/>
  <c r="I80" i="13"/>
  <c r="J80" i="13"/>
  <c r="K80" i="13"/>
  <c r="H81" i="13"/>
  <c r="I81" i="13"/>
  <c r="J81" i="13"/>
  <c r="K81" i="13"/>
  <c r="H82" i="13"/>
  <c r="I82" i="13"/>
  <c r="J82" i="13"/>
  <c r="K82" i="13"/>
  <c r="H83" i="13"/>
  <c r="I83" i="13"/>
  <c r="J83" i="13"/>
  <c r="K83" i="13"/>
  <c r="H84" i="13"/>
  <c r="I84" i="13"/>
  <c r="J84" i="13"/>
  <c r="K84" i="13"/>
  <c r="H85" i="13"/>
  <c r="I85" i="13"/>
  <c r="J85" i="13"/>
  <c r="K85" i="13"/>
  <c r="H86" i="13"/>
  <c r="I86" i="13"/>
  <c r="J86" i="13"/>
  <c r="K86" i="13"/>
  <c r="H87" i="13"/>
  <c r="I87" i="13"/>
  <c r="J87" i="13"/>
  <c r="K87" i="13"/>
  <c r="H88" i="13"/>
  <c r="I88" i="13"/>
  <c r="J88" i="13"/>
  <c r="K88" i="13"/>
  <c r="H89" i="13"/>
  <c r="I89" i="13"/>
  <c r="J89" i="13"/>
  <c r="K89" i="13"/>
  <c r="H90" i="13"/>
  <c r="I90" i="13"/>
  <c r="J90" i="13"/>
  <c r="K90" i="13"/>
  <c r="H91" i="13"/>
  <c r="I91" i="13"/>
  <c r="J91" i="13"/>
  <c r="K91" i="13"/>
  <c r="H92" i="13"/>
  <c r="I92" i="13"/>
  <c r="J92" i="13"/>
  <c r="K92" i="13"/>
  <c r="H93" i="13"/>
  <c r="I93" i="13"/>
  <c r="J93" i="13"/>
  <c r="K93" i="13"/>
  <c r="H94" i="13"/>
  <c r="I94" i="13"/>
  <c r="J94" i="13"/>
  <c r="K94" i="13"/>
  <c r="H95" i="13"/>
  <c r="I95" i="13"/>
  <c r="J95" i="13"/>
  <c r="K95" i="13"/>
  <c r="H96" i="13"/>
  <c r="I96" i="13"/>
  <c r="J96" i="13"/>
  <c r="K96" i="13"/>
  <c r="H97" i="13"/>
  <c r="I97" i="13"/>
  <c r="J97" i="13"/>
  <c r="K97" i="13"/>
  <c r="H98" i="13"/>
  <c r="I98" i="13"/>
  <c r="J98" i="13"/>
  <c r="K98" i="13"/>
  <c r="H99" i="13"/>
  <c r="I99" i="13"/>
  <c r="J99" i="13"/>
  <c r="K99" i="13"/>
  <c r="H100" i="13"/>
  <c r="I100" i="13"/>
  <c r="J100" i="13"/>
  <c r="K100" i="13"/>
  <c r="H101" i="13"/>
  <c r="I101" i="13"/>
  <c r="J101" i="13"/>
  <c r="K101" i="13"/>
  <c r="H102" i="13"/>
  <c r="I102" i="13"/>
  <c r="J102" i="13"/>
  <c r="K102" i="13"/>
  <c r="H103" i="13"/>
  <c r="I103" i="13"/>
  <c r="J103" i="13"/>
  <c r="K103" i="13"/>
  <c r="H104" i="13"/>
  <c r="I104" i="13"/>
  <c r="J104" i="13"/>
  <c r="K104" i="13"/>
  <c r="H105" i="13"/>
  <c r="I105" i="13"/>
  <c r="J105" i="13"/>
  <c r="K105" i="13"/>
  <c r="H106" i="13"/>
  <c r="I106" i="13"/>
  <c r="J106" i="13"/>
  <c r="K106" i="13"/>
  <c r="H107" i="13"/>
  <c r="I107" i="13"/>
  <c r="J107" i="13"/>
  <c r="K107" i="13"/>
  <c r="H108" i="13"/>
  <c r="I108" i="13"/>
  <c r="J108" i="13"/>
  <c r="K108" i="13"/>
  <c r="H109" i="13"/>
  <c r="I109" i="13"/>
  <c r="J109" i="13"/>
  <c r="K109" i="13"/>
  <c r="H110" i="13"/>
  <c r="I110" i="13"/>
  <c r="J110" i="13"/>
  <c r="K110" i="13"/>
  <c r="H111" i="13"/>
  <c r="I111" i="13"/>
  <c r="J111" i="13"/>
  <c r="K111" i="13"/>
  <c r="H112" i="13"/>
  <c r="I112" i="13"/>
  <c r="J112" i="13"/>
  <c r="K112" i="13"/>
  <c r="H113" i="13"/>
  <c r="I113" i="13"/>
  <c r="J113" i="13"/>
  <c r="K113" i="13"/>
  <c r="H114" i="13"/>
  <c r="I114" i="13"/>
  <c r="J114" i="13"/>
  <c r="K114" i="13"/>
  <c r="H115" i="13"/>
  <c r="I115" i="13"/>
  <c r="J115" i="13"/>
  <c r="K115" i="13"/>
  <c r="H116" i="13"/>
  <c r="I116" i="13"/>
  <c r="J116" i="13"/>
  <c r="K116" i="13"/>
  <c r="H117" i="13"/>
  <c r="I117" i="13"/>
  <c r="J117" i="13"/>
  <c r="K117" i="13"/>
  <c r="H118" i="13"/>
  <c r="I118" i="13"/>
  <c r="J118" i="13"/>
  <c r="K118" i="13"/>
  <c r="H119" i="13"/>
  <c r="I119" i="13"/>
  <c r="J119" i="13"/>
  <c r="K119" i="13"/>
  <c r="H120" i="13"/>
  <c r="I120" i="13"/>
  <c r="J120" i="13"/>
  <c r="K120" i="13"/>
  <c r="H121" i="13"/>
  <c r="I121" i="13"/>
  <c r="J121" i="13"/>
  <c r="K121" i="13"/>
  <c r="H122" i="13"/>
  <c r="I122" i="13"/>
  <c r="J122" i="13"/>
  <c r="K122" i="13"/>
  <c r="H123" i="13"/>
  <c r="I123" i="13"/>
  <c r="J123" i="13"/>
  <c r="K123" i="13"/>
  <c r="H124" i="13"/>
  <c r="I124" i="13"/>
  <c r="J124" i="13"/>
  <c r="K124" i="13"/>
  <c r="H125" i="13"/>
  <c r="I125" i="13"/>
  <c r="J125" i="13"/>
  <c r="K125" i="13"/>
  <c r="H126" i="13"/>
  <c r="I126" i="13"/>
  <c r="J126" i="13"/>
  <c r="K126" i="13"/>
  <c r="H127" i="13"/>
  <c r="I127" i="13"/>
  <c r="J127" i="13"/>
  <c r="K127" i="13"/>
  <c r="H128" i="13"/>
  <c r="I128" i="13"/>
  <c r="J128" i="13"/>
  <c r="K128" i="13"/>
  <c r="H129" i="13"/>
  <c r="I129" i="13"/>
  <c r="J129" i="13"/>
  <c r="K129" i="13"/>
  <c r="H130" i="13"/>
  <c r="I130" i="13"/>
  <c r="J130" i="13"/>
  <c r="K130" i="13"/>
  <c r="H131" i="13"/>
  <c r="I131" i="13"/>
  <c r="J131" i="13"/>
  <c r="K131" i="13"/>
  <c r="H132" i="13"/>
  <c r="I132" i="13"/>
  <c r="J132" i="13"/>
  <c r="K132" i="13"/>
  <c r="H133" i="13"/>
  <c r="I133" i="13"/>
  <c r="J133" i="13"/>
  <c r="K133" i="13"/>
  <c r="H134" i="13"/>
  <c r="I134" i="13"/>
  <c r="J134" i="13"/>
  <c r="K134" i="13"/>
  <c r="H135" i="13"/>
  <c r="I135" i="13"/>
  <c r="J135" i="13"/>
  <c r="K135" i="13"/>
  <c r="H136" i="13"/>
  <c r="I136" i="13"/>
  <c r="J136" i="13"/>
  <c r="K136" i="13"/>
  <c r="H137" i="13"/>
  <c r="I137" i="13"/>
  <c r="J137" i="13"/>
  <c r="K137" i="13"/>
  <c r="H138" i="13"/>
  <c r="I138" i="13"/>
  <c r="J138" i="13"/>
  <c r="K138" i="13"/>
  <c r="H139" i="13"/>
  <c r="I139" i="13"/>
  <c r="J139" i="13"/>
  <c r="K139" i="13"/>
  <c r="H140" i="13"/>
  <c r="I140" i="13"/>
  <c r="J140" i="13"/>
  <c r="K140" i="13"/>
  <c r="H141" i="13"/>
  <c r="I141" i="13"/>
  <c r="J141" i="13"/>
  <c r="K141" i="13"/>
  <c r="H142" i="13"/>
  <c r="I142" i="13"/>
  <c r="J142" i="13"/>
  <c r="K142" i="13"/>
  <c r="H143" i="13"/>
  <c r="I143" i="13"/>
  <c r="J143" i="13"/>
  <c r="K143" i="13"/>
  <c r="H144" i="13"/>
  <c r="I144" i="13"/>
  <c r="J144" i="13"/>
  <c r="K144" i="13"/>
  <c r="H145" i="13"/>
  <c r="I145" i="13"/>
  <c r="J145" i="13"/>
  <c r="K145" i="13"/>
  <c r="H146" i="13"/>
  <c r="I146" i="13"/>
  <c r="J146" i="13"/>
  <c r="K146" i="13"/>
  <c r="H147" i="13"/>
  <c r="I147" i="13"/>
  <c r="J147" i="13"/>
  <c r="K147" i="13"/>
  <c r="H148" i="13"/>
  <c r="I148" i="13"/>
  <c r="J148" i="13"/>
  <c r="K148" i="13"/>
  <c r="H149" i="13"/>
  <c r="I149" i="13"/>
  <c r="J149" i="13"/>
  <c r="K149" i="13"/>
  <c r="H150" i="13"/>
  <c r="I150" i="13"/>
  <c r="J150" i="13"/>
  <c r="K150" i="13"/>
  <c r="H151" i="13"/>
  <c r="I151" i="13"/>
  <c r="J151" i="13"/>
  <c r="K151" i="13"/>
  <c r="H152" i="13"/>
  <c r="I152" i="13"/>
  <c r="J152" i="13"/>
  <c r="K152" i="13"/>
  <c r="H153" i="13"/>
  <c r="I153" i="13"/>
  <c r="J153" i="13"/>
  <c r="K153" i="13"/>
  <c r="H154" i="13"/>
  <c r="I154" i="13"/>
  <c r="J154" i="13"/>
  <c r="K154" i="13"/>
  <c r="H155" i="13"/>
  <c r="I155" i="13"/>
  <c r="J155" i="13"/>
  <c r="K155" i="13"/>
  <c r="H156" i="13"/>
  <c r="I156" i="13"/>
  <c r="J156" i="13"/>
  <c r="K156" i="13"/>
  <c r="H157" i="13"/>
  <c r="I157" i="13"/>
  <c r="J157" i="13"/>
  <c r="K157" i="13"/>
  <c r="H158" i="13"/>
  <c r="I158" i="13"/>
  <c r="J158" i="13"/>
  <c r="K158" i="13"/>
  <c r="H159" i="13"/>
  <c r="I159" i="13"/>
  <c r="J159" i="13"/>
  <c r="K159" i="13"/>
  <c r="H160" i="13"/>
  <c r="I160" i="13"/>
  <c r="J160" i="13"/>
  <c r="K160" i="13"/>
  <c r="H161" i="13"/>
  <c r="I161" i="13"/>
  <c r="J161" i="13"/>
  <c r="K161" i="13"/>
  <c r="H162" i="13"/>
  <c r="I162" i="13"/>
  <c r="J162" i="13"/>
  <c r="K162" i="13"/>
  <c r="H163" i="13"/>
  <c r="I163" i="13"/>
  <c r="J163" i="13"/>
  <c r="K163" i="13"/>
  <c r="H164" i="13"/>
  <c r="I164" i="13"/>
  <c r="J164" i="13"/>
  <c r="K164" i="13"/>
  <c r="H165" i="13"/>
  <c r="I165" i="13"/>
  <c r="J165" i="13"/>
  <c r="K165" i="13"/>
  <c r="H166" i="13"/>
  <c r="I166" i="13"/>
  <c r="J166" i="13"/>
  <c r="K166" i="13"/>
  <c r="H167" i="13"/>
  <c r="I167" i="13"/>
  <c r="J167" i="13"/>
  <c r="K167" i="13"/>
  <c r="H168" i="13"/>
  <c r="I168" i="13"/>
  <c r="J168" i="13"/>
  <c r="K168" i="13"/>
  <c r="H169" i="13"/>
  <c r="I169" i="13"/>
  <c r="J169" i="13"/>
  <c r="K169" i="13"/>
  <c r="H170" i="13"/>
  <c r="I170" i="13"/>
  <c r="J170" i="13"/>
  <c r="K170" i="13"/>
  <c r="H171" i="13"/>
  <c r="I171" i="13"/>
  <c r="J171" i="13"/>
  <c r="K171" i="13"/>
  <c r="H172" i="13"/>
  <c r="I172" i="13"/>
  <c r="J172" i="13"/>
  <c r="K172" i="13"/>
  <c r="H173" i="13"/>
  <c r="I173" i="13"/>
  <c r="J173" i="13"/>
  <c r="K173" i="13"/>
  <c r="H174" i="13"/>
  <c r="I174" i="13"/>
  <c r="J174" i="13"/>
  <c r="K174" i="13"/>
  <c r="H175" i="13"/>
  <c r="I175" i="13"/>
  <c r="J175" i="13"/>
  <c r="K175" i="13"/>
  <c r="H176" i="13"/>
  <c r="I176" i="13"/>
  <c r="J176" i="13"/>
  <c r="K176" i="13"/>
  <c r="H177" i="13"/>
  <c r="I177" i="13"/>
  <c r="J177" i="13"/>
  <c r="K177" i="13"/>
  <c r="H178" i="13"/>
  <c r="I178" i="13"/>
  <c r="J178" i="13"/>
  <c r="K178" i="13"/>
  <c r="H179" i="13"/>
  <c r="I179" i="13"/>
  <c r="J179" i="13"/>
  <c r="K179" i="13"/>
  <c r="H180" i="13"/>
  <c r="I180" i="13"/>
  <c r="J180" i="13"/>
  <c r="K180" i="13"/>
  <c r="H181" i="13"/>
  <c r="I181" i="13"/>
  <c r="J181" i="13"/>
  <c r="K181" i="13"/>
  <c r="H182" i="13"/>
  <c r="I182" i="13"/>
  <c r="J182" i="13"/>
  <c r="K182" i="13"/>
  <c r="H183" i="13"/>
  <c r="I183" i="13"/>
  <c r="J183" i="13"/>
  <c r="K183" i="13"/>
  <c r="H184" i="13"/>
  <c r="I184" i="13"/>
  <c r="J184" i="13"/>
  <c r="K184" i="13"/>
  <c r="H185" i="13"/>
  <c r="I185" i="13"/>
  <c r="J185" i="13"/>
  <c r="K185" i="13"/>
  <c r="H186" i="13"/>
  <c r="I186" i="13"/>
  <c r="J186" i="13"/>
  <c r="K186" i="13"/>
  <c r="H187" i="13"/>
  <c r="I187" i="13"/>
  <c r="J187" i="13"/>
  <c r="K187" i="13"/>
  <c r="H188" i="13"/>
  <c r="I188" i="13"/>
  <c r="J188" i="13"/>
  <c r="K188" i="13"/>
  <c r="H189" i="13"/>
  <c r="I189" i="13"/>
  <c r="J189" i="13"/>
  <c r="K189" i="13"/>
  <c r="H190" i="13"/>
  <c r="I190" i="13"/>
  <c r="J190" i="13"/>
  <c r="K190" i="13"/>
  <c r="H191" i="13"/>
  <c r="I191" i="13"/>
  <c r="J191" i="13"/>
  <c r="K191" i="13"/>
  <c r="H192" i="13"/>
  <c r="I192" i="13"/>
  <c r="J192" i="13"/>
  <c r="K192" i="13"/>
  <c r="H193" i="13"/>
  <c r="I193" i="13"/>
  <c r="J193" i="13"/>
  <c r="K193" i="13"/>
  <c r="H194" i="13"/>
  <c r="I194" i="13"/>
  <c r="J194" i="13"/>
  <c r="K194" i="13"/>
  <c r="H195" i="13"/>
  <c r="I195" i="13"/>
  <c r="J195" i="13"/>
  <c r="K195" i="13"/>
  <c r="H196" i="13"/>
  <c r="I196" i="13"/>
  <c r="J196" i="13"/>
  <c r="K196" i="13"/>
  <c r="H197" i="13"/>
  <c r="I197" i="13"/>
  <c r="J197" i="13"/>
  <c r="K197" i="13"/>
  <c r="H198" i="13"/>
  <c r="I198" i="13"/>
  <c r="J198" i="13"/>
  <c r="K198" i="13"/>
  <c r="H199" i="13"/>
  <c r="I199" i="13"/>
  <c r="J199" i="13"/>
  <c r="K199" i="13"/>
  <c r="H200" i="13"/>
  <c r="I200" i="13"/>
  <c r="J200" i="13"/>
  <c r="K200" i="13"/>
  <c r="H201" i="13"/>
  <c r="I201" i="13"/>
  <c r="J201" i="13"/>
  <c r="K201" i="13"/>
  <c r="H202" i="13"/>
  <c r="I202" i="13"/>
  <c r="J202" i="13"/>
  <c r="K202" i="13"/>
  <c r="H203" i="13"/>
  <c r="I203" i="13"/>
  <c r="J203" i="13"/>
  <c r="K203" i="13"/>
  <c r="H204" i="13"/>
  <c r="I204" i="13"/>
  <c r="J204" i="13"/>
  <c r="K204" i="13"/>
  <c r="H205" i="13"/>
  <c r="I205" i="13"/>
  <c r="J205" i="13"/>
  <c r="K205" i="13"/>
  <c r="H206" i="13"/>
  <c r="I206" i="13"/>
  <c r="J206" i="13"/>
  <c r="K206" i="13"/>
  <c r="H207" i="13"/>
  <c r="I207" i="13"/>
  <c r="J207" i="13"/>
  <c r="K207" i="13"/>
  <c r="H208" i="13"/>
  <c r="I208" i="13"/>
  <c r="J208" i="13"/>
  <c r="K208" i="13"/>
  <c r="H209" i="13"/>
  <c r="I209" i="13"/>
  <c r="J209" i="13"/>
  <c r="K209" i="13"/>
  <c r="H210" i="13"/>
  <c r="I210" i="13"/>
  <c r="J210" i="13"/>
  <c r="K210" i="13"/>
  <c r="H211" i="13"/>
  <c r="I211" i="13"/>
  <c r="J211" i="13"/>
  <c r="K211" i="13"/>
  <c r="H212" i="13"/>
  <c r="I212" i="13"/>
  <c r="J212" i="13"/>
  <c r="K212" i="13"/>
  <c r="H213" i="13"/>
  <c r="I213" i="13"/>
  <c r="J213" i="13"/>
  <c r="K213" i="13"/>
  <c r="H214" i="13"/>
  <c r="I214" i="13"/>
  <c r="J214" i="13"/>
  <c r="K214" i="13"/>
  <c r="H215" i="13"/>
  <c r="I215" i="13"/>
  <c r="J215" i="13"/>
  <c r="K215" i="13"/>
  <c r="H216" i="13"/>
  <c r="I216" i="13"/>
  <c r="J216" i="13"/>
  <c r="K216" i="13"/>
  <c r="H217" i="13"/>
  <c r="I217" i="13"/>
  <c r="J217" i="13"/>
  <c r="K217" i="13"/>
  <c r="H218" i="13"/>
  <c r="I218" i="13"/>
  <c r="J218" i="13"/>
  <c r="K218" i="13"/>
  <c r="H219" i="13"/>
  <c r="I219" i="13"/>
  <c r="J219" i="13"/>
  <c r="K219" i="13"/>
  <c r="H220" i="13"/>
  <c r="I220" i="13"/>
  <c r="J220" i="13"/>
  <c r="K220" i="13"/>
  <c r="H221" i="13"/>
  <c r="I221" i="13"/>
  <c r="J221" i="13"/>
  <c r="K221" i="13"/>
  <c r="H222" i="13"/>
  <c r="I222" i="13"/>
  <c r="J222" i="13"/>
  <c r="K222" i="13"/>
  <c r="H223" i="13"/>
  <c r="I223" i="13"/>
  <c r="J223" i="13"/>
  <c r="K223" i="13"/>
  <c r="H224" i="13"/>
  <c r="I224" i="13"/>
  <c r="J224" i="13"/>
  <c r="K224" i="13"/>
  <c r="H225" i="13"/>
  <c r="I225" i="13"/>
  <c r="J225" i="13"/>
  <c r="K225" i="13"/>
  <c r="H226" i="13"/>
  <c r="I226" i="13"/>
  <c r="J226" i="13"/>
  <c r="K226" i="13"/>
  <c r="H227" i="13"/>
  <c r="I227" i="13"/>
  <c r="J227" i="13"/>
  <c r="K227" i="13"/>
  <c r="H228" i="13"/>
  <c r="I228" i="13"/>
  <c r="J228" i="13"/>
  <c r="K228" i="13"/>
  <c r="H229" i="13"/>
  <c r="I229" i="13"/>
  <c r="J229" i="13"/>
  <c r="K229" i="13"/>
  <c r="H230" i="13"/>
  <c r="I230" i="13"/>
  <c r="J230" i="13"/>
  <c r="K230" i="13"/>
  <c r="H231" i="13"/>
  <c r="I231" i="13"/>
  <c r="J231" i="13"/>
  <c r="K231" i="13"/>
  <c r="H232" i="13"/>
  <c r="I232" i="13"/>
  <c r="J232" i="13"/>
  <c r="K232" i="13"/>
  <c r="H233" i="13"/>
  <c r="I233" i="13"/>
  <c r="J233" i="13"/>
  <c r="K233" i="13"/>
  <c r="H234" i="13"/>
  <c r="I234" i="13"/>
  <c r="J234" i="13"/>
  <c r="K234" i="13"/>
  <c r="H235" i="13"/>
  <c r="I235" i="13"/>
  <c r="J235" i="13"/>
  <c r="K235" i="13"/>
  <c r="H236" i="13"/>
  <c r="I236" i="13"/>
  <c r="J236" i="13"/>
  <c r="K236" i="13"/>
  <c r="H237" i="13"/>
  <c r="I237" i="13"/>
  <c r="J237" i="13"/>
  <c r="K237" i="13"/>
  <c r="H238" i="13"/>
  <c r="I238" i="13"/>
  <c r="J238" i="13"/>
  <c r="K238" i="13"/>
  <c r="H239" i="13"/>
  <c r="I239" i="13"/>
  <c r="J239" i="13"/>
  <c r="K239" i="13"/>
  <c r="H240" i="13"/>
  <c r="I240" i="13"/>
  <c r="J240" i="13"/>
  <c r="K240" i="13"/>
  <c r="H241" i="13"/>
  <c r="I241" i="13"/>
  <c r="J241" i="13"/>
  <c r="K241" i="13"/>
  <c r="H242" i="13"/>
  <c r="I242" i="13"/>
  <c r="J242" i="13"/>
  <c r="K242" i="13"/>
  <c r="H243" i="13"/>
  <c r="I243" i="13"/>
  <c r="J243" i="13"/>
  <c r="K243" i="13"/>
  <c r="H244" i="13"/>
  <c r="I244" i="13"/>
  <c r="J244" i="13"/>
  <c r="K244" i="13"/>
  <c r="H245" i="13"/>
  <c r="I245" i="13"/>
  <c r="J245" i="13"/>
  <c r="K245" i="13"/>
  <c r="H246" i="13"/>
  <c r="I246" i="13"/>
  <c r="J246" i="13"/>
  <c r="K246" i="13"/>
  <c r="H247" i="13"/>
  <c r="I247" i="13"/>
  <c r="J247" i="13"/>
  <c r="K247" i="13"/>
  <c r="H248" i="13"/>
  <c r="I248" i="13"/>
  <c r="J248" i="13"/>
  <c r="K248" i="13"/>
  <c r="H249" i="13"/>
  <c r="I249" i="13"/>
  <c r="J249" i="13"/>
  <c r="K249" i="13"/>
  <c r="H250" i="13"/>
  <c r="I250" i="13"/>
  <c r="J250" i="13"/>
  <c r="K250" i="13"/>
  <c r="H251" i="13"/>
  <c r="I251" i="13"/>
  <c r="J251" i="13"/>
  <c r="K251" i="13"/>
  <c r="H252" i="13"/>
  <c r="I252" i="13"/>
  <c r="J252" i="13"/>
  <c r="K252" i="13"/>
  <c r="H253" i="13"/>
  <c r="I253" i="13"/>
  <c r="J253" i="13"/>
  <c r="K253" i="13"/>
  <c r="H254" i="13"/>
  <c r="I254" i="13"/>
  <c r="J254" i="13"/>
  <c r="K254" i="13"/>
  <c r="H255" i="13"/>
  <c r="I255" i="13"/>
  <c r="J255" i="13"/>
  <c r="K255" i="13"/>
  <c r="H256" i="13"/>
  <c r="I256" i="13"/>
  <c r="J256" i="13"/>
  <c r="K256" i="13"/>
  <c r="H257" i="13"/>
  <c r="I257" i="13"/>
  <c r="J257" i="13"/>
  <c r="K257" i="13"/>
  <c r="H258" i="13"/>
  <c r="I258" i="13"/>
  <c r="J258" i="13"/>
  <c r="K258" i="13"/>
  <c r="H259" i="13"/>
  <c r="I259" i="13"/>
  <c r="J259" i="13"/>
  <c r="K259" i="13"/>
  <c r="H260" i="13"/>
  <c r="I260" i="13"/>
  <c r="J260" i="13"/>
  <c r="K260" i="13"/>
  <c r="H261" i="13"/>
  <c r="I261" i="13"/>
  <c r="J261" i="13"/>
  <c r="K261" i="13"/>
  <c r="H262" i="13"/>
  <c r="I262" i="13"/>
  <c r="J262" i="13"/>
  <c r="K262" i="13"/>
  <c r="H263" i="13"/>
  <c r="I263" i="13"/>
  <c r="J263" i="13"/>
  <c r="K263" i="13"/>
  <c r="H264" i="13"/>
  <c r="I264" i="13"/>
  <c r="J264" i="13"/>
  <c r="K264" i="13"/>
  <c r="H265" i="13"/>
  <c r="I265" i="13"/>
  <c r="J265" i="13"/>
  <c r="K265" i="13"/>
  <c r="H266" i="13"/>
  <c r="I266" i="13"/>
  <c r="J266" i="13"/>
  <c r="K266" i="13"/>
  <c r="H267" i="13"/>
  <c r="I267" i="13"/>
  <c r="J267" i="13"/>
  <c r="K267" i="13"/>
  <c r="H268" i="13"/>
  <c r="I268" i="13"/>
  <c r="J268" i="13"/>
  <c r="K268" i="13"/>
  <c r="H269" i="13"/>
  <c r="I269" i="13"/>
  <c r="J269" i="13"/>
  <c r="K269" i="13"/>
  <c r="H270" i="13"/>
  <c r="I270" i="13"/>
  <c r="J270" i="13"/>
  <c r="K270" i="13"/>
  <c r="H271" i="13"/>
  <c r="I271" i="13"/>
  <c r="J271" i="13"/>
  <c r="K271" i="13"/>
  <c r="H272" i="13"/>
  <c r="I272" i="13"/>
  <c r="J272" i="13"/>
  <c r="K272" i="13"/>
  <c r="H273" i="13"/>
  <c r="I273" i="13"/>
  <c r="J273" i="13"/>
  <c r="K273" i="13"/>
  <c r="H274" i="13"/>
  <c r="I274" i="13"/>
  <c r="J274" i="13"/>
  <c r="K274" i="13"/>
  <c r="H275" i="13"/>
  <c r="I275" i="13"/>
  <c r="J275" i="13"/>
  <c r="K275" i="13"/>
  <c r="H276" i="13"/>
  <c r="I276" i="13"/>
  <c r="J276" i="13"/>
  <c r="K276" i="13"/>
  <c r="H277" i="13"/>
  <c r="I277" i="13"/>
  <c r="J277" i="13"/>
  <c r="K277" i="13"/>
  <c r="H278" i="13"/>
  <c r="I278" i="13"/>
  <c r="J278" i="13"/>
  <c r="K278" i="13"/>
  <c r="H279" i="13"/>
  <c r="I279" i="13"/>
  <c r="J279" i="13"/>
  <c r="K279" i="13"/>
  <c r="H280" i="13"/>
  <c r="I280" i="13"/>
  <c r="J280" i="13"/>
  <c r="K280" i="13"/>
  <c r="H281" i="13"/>
  <c r="I281" i="13"/>
  <c r="J281" i="13"/>
  <c r="K281" i="13"/>
  <c r="H282" i="13"/>
  <c r="I282" i="13"/>
  <c r="J282" i="13"/>
  <c r="K282" i="13"/>
  <c r="H283" i="13"/>
  <c r="I283" i="13"/>
  <c r="J283" i="13"/>
  <c r="K283" i="13"/>
  <c r="H284" i="13"/>
  <c r="I284" i="13"/>
  <c r="J284" i="13"/>
  <c r="K284" i="13"/>
  <c r="H285" i="13"/>
  <c r="I285" i="13"/>
  <c r="J285" i="13"/>
  <c r="K285" i="13"/>
  <c r="H286" i="13"/>
  <c r="I286" i="13"/>
  <c r="J286" i="13"/>
  <c r="K286" i="13"/>
  <c r="H287" i="13"/>
  <c r="I287" i="13"/>
  <c r="J287" i="13"/>
  <c r="K287" i="13"/>
  <c r="H288" i="13"/>
  <c r="I288" i="13"/>
  <c r="J288" i="13"/>
  <c r="K288" i="13"/>
  <c r="H289" i="13"/>
  <c r="I289" i="13"/>
  <c r="J289" i="13"/>
  <c r="K289" i="13"/>
  <c r="H290" i="13"/>
  <c r="I290" i="13"/>
  <c r="J290" i="13"/>
  <c r="K290" i="13"/>
  <c r="H291" i="13"/>
  <c r="I291" i="13"/>
  <c r="J291" i="13"/>
  <c r="K291" i="13"/>
  <c r="H292" i="13"/>
  <c r="I292" i="13"/>
  <c r="J292" i="13"/>
  <c r="K292" i="13"/>
  <c r="H293" i="13"/>
  <c r="I293" i="13"/>
  <c r="J293" i="13"/>
  <c r="K293" i="13"/>
  <c r="H294" i="13"/>
  <c r="I294" i="13"/>
  <c r="J294" i="13"/>
  <c r="K294" i="13"/>
  <c r="H295" i="13"/>
  <c r="I295" i="13"/>
  <c r="J295" i="13"/>
  <c r="K295" i="13"/>
  <c r="H296" i="13"/>
  <c r="I296" i="13"/>
  <c r="J296" i="13"/>
  <c r="K296" i="13"/>
  <c r="H297" i="13"/>
  <c r="I297" i="13"/>
  <c r="J297" i="13"/>
  <c r="K297" i="13"/>
  <c r="H298" i="13"/>
  <c r="I298" i="13"/>
  <c r="J298" i="13"/>
  <c r="K298" i="13"/>
  <c r="H299" i="13"/>
  <c r="I299" i="13"/>
  <c r="J299" i="13"/>
  <c r="K299" i="13"/>
  <c r="H300" i="13"/>
  <c r="I300" i="13"/>
  <c r="J300" i="13"/>
  <c r="K300" i="13"/>
  <c r="H301" i="13"/>
  <c r="I301" i="13"/>
  <c r="J301" i="13"/>
  <c r="K301" i="13"/>
  <c r="H302" i="13"/>
  <c r="I302" i="13"/>
  <c r="J302" i="13"/>
  <c r="K302" i="13"/>
  <c r="H303" i="13"/>
  <c r="I303" i="13"/>
  <c r="J303" i="13"/>
  <c r="K303" i="13"/>
  <c r="H304" i="13"/>
  <c r="I304" i="13"/>
  <c r="J304" i="13"/>
  <c r="K304" i="13"/>
  <c r="H305" i="13"/>
  <c r="I305" i="13"/>
  <c r="J305" i="13"/>
  <c r="K305" i="13"/>
  <c r="H306" i="13"/>
  <c r="I306" i="13"/>
  <c r="J306" i="13"/>
  <c r="K306" i="13"/>
  <c r="H307" i="13"/>
  <c r="I307" i="13"/>
  <c r="J307" i="13"/>
  <c r="K307" i="13"/>
  <c r="H308" i="13"/>
  <c r="I308" i="13"/>
  <c r="J308" i="13"/>
  <c r="K308" i="13"/>
  <c r="H309" i="13"/>
  <c r="I309" i="13"/>
  <c r="J309" i="13"/>
  <c r="K309" i="13"/>
  <c r="H310" i="13"/>
  <c r="I310" i="13"/>
  <c r="J310" i="13"/>
  <c r="K310" i="13"/>
  <c r="H311" i="13"/>
  <c r="I311" i="13"/>
  <c r="J311" i="13"/>
  <c r="K311" i="13"/>
  <c r="H312" i="13"/>
  <c r="I312" i="13"/>
  <c r="J312" i="13"/>
  <c r="K312" i="13"/>
  <c r="H313" i="13"/>
  <c r="I313" i="13"/>
  <c r="J313" i="13"/>
  <c r="K313" i="13"/>
  <c r="H314" i="13"/>
  <c r="I314" i="13"/>
  <c r="J314" i="13"/>
  <c r="K314" i="13"/>
  <c r="H315" i="13"/>
  <c r="I315" i="13"/>
  <c r="J315" i="13"/>
  <c r="K315" i="13"/>
  <c r="H316" i="13"/>
  <c r="I316" i="13"/>
  <c r="J316" i="13"/>
  <c r="K316" i="13"/>
  <c r="H317" i="13"/>
  <c r="I317" i="13"/>
  <c r="J317" i="13"/>
  <c r="K317" i="13"/>
  <c r="H318" i="13"/>
  <c r="I318" i="13"/>
  <c r="J318" i="13"/>
  <c r="K318" i="13"/>
  <c r="H319" i="13"/>
  <c r="I319" i="13"/>
  <c r="J319" i="13"/>
  <c r="K319" i="13"/>
  <c r="H320" i="13"/>
  <c r="I320" i="13"/>
  <c r="J320" i="13"/>
  <c r="K320" i="13"/>
  <c r="H321" i="13"/>
  <c r="I321" i="13"/>
  <c r="J321" i="13"/>
  <c r="K321" i="13"/>
  <c r="H322" i="13"/>
  <c r="I322" i="13"/>
  <c r="J322" i="13"/>
  <c r="K322" i="13"/>
  <c r="H323" i="13"/>
  <c r="I323" i="13"/>
  <c r="J323" i="13"/>
  <c r="K323" i="13"/>
  <c r="H324" i="13"/>
  <c r="I324" i="13"/>
  <c r="J324" i="13"/>
  <c r="K324" i="13"/>
  <c r="H325" i="13"/>
  <c r="I325" i="13"/>
  <c r="J325" i="13"/>
  <c r="K325" i="13"/>
  <c r="H326" i="13"/>
  <c r="I326" i="13"/>
  <c r="J326" i="13"/>
  <c r="K326" i="13"/>
  <c r="H327" i="13"/>
  <c r="I327" i="13"/>
  <c r="J327" i="13"/>
  <c r="K327" i="13"/>
  <c r="H328" i="13"/>
  <c r="I328" i="13"/>
  <c r="J328" i="13"/>
  <c r="K328" i="13"/>
  <c r="H329" i="13"/>
  <c r="I329" i="13"/>
  <c r="J329" i="13"/>
  <c r="K329" i="13"/>
  <c r="H330" i="13"/>
  <c r="I330" i="13"/>
  <c r="J330" i="13"/>
  <c r="K330" i="13"/>
  <c r="H331" i="13"/>
  <c r="I331" i="13"/>
  <c r="J331" i="13"/>
  <c r="K331" i="13"/>
  <c r="H332" i="13"/>
  <c r="I332" i="13"/>
  <c r="J332" i="13"/>
  <c r="K332" i="13"/>
  <c r="H333" i="13"/>
  <c r="I333" i="13"/>
  <c r="J333" i="13"/>
  <c r="K333" i="13"/>
  <c r="H334" i="13"/>
  <c r="I334" i="13"/>
  <c r="J334" i="13"/>
  <c r="K334" i="13"/>
  <c r="H335" i="13"/>
  <c r="I335" i="13"/>
  <c r="J335" i="13"/>
  <c r="K335" i="13"/>
  <c r="H336" i="13"/>
  <c r="I336" i="13"/>
  <c r="J336" i="13"/>
  <c r="K336" i="13"/>
  <c r="H337" i="13"/>
  <c r="I337" i="13"/>
  <c r="J337" i="13"/>
  <c r="K337" i="13"/>
  <c r="H338" i="13"/>
  <c r="I338" i="13"/>
  <c r="J338" i="13"/>
  <c r="K338" i="13"/>
  <c r="H339" i="13"/>
  <c r="I339" i="13"/>
  <c r="J339" i="13"/>
  <c r="K339" i="13"/>
  <c r="H340" i="13"/>
  <c r="I340" i="13"/>
  <c r="J340" i="13"/>
  <c r="K340" i="13"/>
  <c r="H341" i="13"/>
  <c r="I341" i="13"/>
  <c r="J341" i="13"/>
  <c r="K341" i="13"/>
  <c r="H342" i="13"/>
  <c r="I342" i="13"/>
  <c r="J342" i="13"/>
  <c r="K342" i="13"/>
  <c r="H343" i="13"/>
  <c r="I343" i="13"/>
  <c r="J343" i="13"/>
  <c r="K343" i="13"/>
  <c r="H344" i="13"/>
  <c r="I344" i="13"/>
  <c r="J344" i="13"/>
  <c r="K344" i="13"/>
  <c r="H345" i="13"/>
  <c r="I345" i="13"/>
  <c r="J345" i="13"/>
  <c r="K345" i="13"/>
  <c r="H346" i="13"/>
  <c r="I346" i="13"/>
  <c r="J346" i="13"/>
  <c r="K346" i="13"/>
  <c r="H347" i="13"/>
  <c r="I347" i="13"/>
  <c r="J347" i="13"/>
  <c r="K347" i="13"/>
  <c r="H348" i="13"/>
  <c r="I348" i="13"/>
  <c r="J348" i="13"/>
  <c r="K348" i="13"/>
  <c r="H349" i="13"/>
  <c r="I349" i="13"/>
  <c r="J349" i="13"/>
  <c r="K349" i="13"/>
  <c r="H350" i="13"/>
  <c r="I350" i="13"/>
  <c r="J350" i="13"/>
  <c r="K350" i="13"/>
  <c r="H351" i="13"/>
  <c r="I351" i="13"/>
  <c r="J351" i="13"/>
  <c r="K351" i="13"/>
  <c r="H352" i="13"/>
  <c r="I352" i="13"/>
  <c r="J352" i="13"/>
  <c r="K352" i="13"/>
  <c r="H353" i="13"/>
  <c r="I353" i="13"/>
  <c r="J353" i="13"/>
  <c r="K353" i="13"/>
  <c r="H354" i="13"/>
  <c r="I354" i="13"/>
  <c r="J354" i="13"/>
  <c r="K354" i="13"/>
  <c r="H355" i="13"/>
  <c r="I355" i="13"/>
  <c r="J355" i="13"/>
  <c r="K355" i="13"/>
  <c r="H356" i="13"/>
  <c r="I356" i="13"/>
  <c r="J356" i="13"/>
  <c r="K356" i="13"/>
  <c r="H357" i="13"/>
  <c r="I357" i="13"/>
  <c r="J357" i="13"/>
  <c r="K357" i="13"/>
  <c r="H358" i="13"/>
  <c r="I358" i="13"/>
  <c r="J358" i="13"/>
  <c r="K358" i="13"/>
  <c r="H359" i="13"/>
  <c r="I359" i="13"/>
  <c r="J359" i="13"/>
  <c r="K359" i="13"/>
  <c r="H360" i="13"/>
  <c r="I360" i="13"/>
  <c r="J360" i="13"/>
  <c r="K360" i="13"/>
  <c r="P23" i="13"/>
  <c r="Q23" i="13"/>
  <c r="R23" i="13"/>
  <c r="S23" i="13"/>
  <c r="P24" i="13"/>
  <c r="Q24" i="13"/>
  <c r="R24" i="13"/>
  <c r="S24" i="13"/>
  <c r="P25" i="13"/>
  <c r="Q25" i="13"/>
  <c r="R25" i="13"/>
  <c r="S25" i="13"/>
  <c r="P26" i="13"/>
  <c r="Q26" i="13"/>
  <c r="R26" i="13"/>
  <c r="S26" i="13"/>
  <c r="P27" i="13"/>
  <c r="Q27" i="13"/>
  <c r="R27" i="13"/>
  <c r="S27" i="13"/>
  <c r="P28" i="13"/>
  <c r="Q28" i="13"/>
  <c r="R28" i="13"/>
  <c r="S28" i="13"/>
  <c r="P29" i="13"/>
  <c r="Q29" i="13"/>
  <c r="R29" i="13"/>
  <c r="S29" i="13"/>
  <c r="P30" i="13"/>
  <c r="Q30" i="13"/>
  <c r="R30" i="13"/>
  <c r="S30" i="13"/>
  <c r="P31" i="13"/>
  <c r="Q31" i="13"/>
  <c r="R31" i="13"/>
  <c r="S31" i="13"/>
  <c r="P32" i="13"/>
  <c r="Q32" i="13"/>
  <c r="R32" i="13"/>
  <c r="S32" i="13"/>
  <c r="P33" i="13"/>
  <c r="Q33" i="13"/>
  <c r="R33" i="13"/>
  <c r="S33" i="13"/>
  <c r="P34" i="13"/>
  <c r="Q34" i="13"/>
  <c r="R34" i="13"/>
  <c r="S34" i="13"/>
  <c r="P35" i="13"/>
  <c r="Q35" i="13"/>
  <c r="R35" i="13"/>
  <c r="S35" i="13"/>
  <c r="P36" i="13"/>
  <c r="Q36" i="13"/>
  <c r="R36" i="13"/>
  <c r="S36" i="13"/>
  <c r="P37" i="13"/>
  <c r="Q37" i="13"/>
  <c r="R37" i="13"/>
  <c r="S37" i="13"/>
  <c r="P38" i="13"/>
  <c r="Q38" i="13"/>
  <c r="R38" i="13"/>
  <c r="S38" i="13"/>
  <c r="P39" i="13"/>
  <c r="Q39" i="13"/>
  <c r="R39" i="13"/>
  <c r="S39" i="13"/>
  <c r="P40" i="13"/>
  <c r="Q40" i="13"/>
  <c r="R40" i="13"/>
  <c r="S40" i="13"/>
  <c r="P41" i="13"/>
  <c r="Q41" i="13"/>
  <c r="R41" i="13"/>
  <c r="S41" i="13"/>
  <c r="P42" i="13"/>
  <c r="Q42" i="13"/>
  <c r="R42" i="13"/>
  <c r="S42" i="13"/>
  <c r="P43" i="13"/>
  <c r="Q43" i="13"/>
  <c r="R43" i="13"/>
  <c r="S43" i="13"/>
  <c r="P44" i="13"/>
  <c r="Q44" i="13"/>
  <c r="R44" i="13"/>
  <c r="S44" i="13"/>
  <c r="P45" i="13"/>
  <c r="Q45" i="13"/>
  <c r="R45" i="13"/>
  <c r="S45" i="13"/>
  <c r="P46" i="13"/>
  <c r="Q46" i="13"/>
  <c r="R46" i="13"/>
  <c r="S46" i="13"/>
  <c r="P47" i="13"/>
  <c r="Q47" i="13"/>
  <c r="R47" i="13"/>
  <c r="S47" i="13"/>
  <c r="P48" i="13"/>
  <c r="Q48" i="13"/>
  <c r="R48" i="13"/>
  <c r="S48" i="13"/>
  <c r="P49" i="13"/>
  <c r="Q49" i="13"/>
  <c r="R49" i="13"/>
  <c r="S49" i="13"/>
  <c r="P50" i="13"/>
  <c r="Q50" i="13"/>
  <c r="R50" i="13"/>
  <c r="S50" i="13"/>
  <c r="P51" i="13"/>
  <c r="Q51" i="13"/>
  <c r="R51" i="13"/>
  <c r="S51" i="13"/>
  <c r="P52" i="13"/>
  <c r="Q52" i="13"/>
  <c r="R52" i="13"/>
  <c r="S52" i="13"/>
  <c r="P53" i="13"/>
  <c r="Q53" i="13"/>
  <c r="R53" i="13"/>
  <c r="S53" i="13"/>
  <c r="P54" i="13"/>
  <c r="Q54" i="13"/>
  <c r="R54" i="13"/>
  <c r="S54" i="13"/>
  <c r="P55" i="13"/>
  <c r="Q55" i="13"/>
  <c r="R55" i="13"/>
  <c r="S55" i="13"/>
  <c r="P56" i="13"/>
  <c r="Q56" i="13"/>
  <c r="R56" i="13"/>
  <c r="S56" i="13"/>
  <c r="P57" i="13"/>
  <c r="Q57" i="13"/>
  <c r="R57" i="13"/>
  <c r="S57" i="13"/>
  <c r="P58" i="13"/>
  <c r="Q58" i="13"/>
  <c r="R58" i="13"/>
  <c r="S58" i="13"/>
  <c r="P59" i="13"/>
  <c r="Q59" i="13"/>
  <c r="R59" i="13"/>
  <c r="S59" i="13"/>
  <c r="P60" i="13"/>
  <c r="Q60" i="13"/>
  <c r="R60" i="13"/>
  <c r="S60" i="13"/>
  <c r="P61" i="13"/>
  <c r="Q61" i="13"/>
  <c r="R61" i="13"/>
  <c r="S61" i="13"/>
  <c r="P62" i="13"/>
  <c r="Q62" i="13"/>
  <c r="R62" i="13"/>
  <c r="S62" i="13"/>
  <c r="P63" i="13"/>
  <c r="Q63" i="13"/>
  <c r="R63" i="13"/>
  <c r="S63" i="13"/>
  <c r="P64" i="13"/>
  <c r="Q64" i="13"/>
  <c r="R64" i="13"/>
  <c r="S64" i="13"/>
  <c r="P65" i="13"/>
  <c r="Q65" i="13"/>
  <c r="R65" i="13"/>
  <c r="S65" i="13"/>
  <c r="P66" i="13"/>
  <c r="Q66" i="13"/>
  <c r="R66" i="13"/>
  <c r="S66" i="13"/>
  <c r="P67" i="13"/>
  <c r="Q67" i="13"/>
  <c r="R67" i="13"/>
  <c r="S67" i="13"/>
  <c r="P68" i="13"/>
  <c r="Q68" i="13"/>
  <c r="R68" i="13"/>
  <c r="S68" i="13"/>
  <c r="P69" i="13"/>
  <c r="Q69" i="13"/>
  <c r="R69" i="13"/>
  <c r="S69" i="13"/>
  <c r="P70" i="13"/>
  <c r="Q70" i="13"/>
  <c r="R70" i="13"/>
  <c r="S70" i="13"/>
  <c r="P71" i="13"/>
  <c r="Q71" i="13"/>
  <c r="R71" i="13"/>
  <c r="S71" i="13"/>
  <c r="P72" i="13"/>
  <c r="Q72" i="13"/>
  <c r="R72" i="13"/>
  <c r="S72" i="13"/>
  <c r="P73" i="13"/>
  <c r="Q73" i="13"/>
  <c r="R73" i="13"/>
  <c r="S73" i="13"/>
  <c r="P74" i="13"/>
  <c r="Q74" i="13"/>
  <c r="R74" i="13"/>
  <c r="S74" i="13"/>
  <c r="P75" i="13"/>
  <c r="Q75" i="13"/>
  <c r="R75" i="13"/>
  <c r="S75" i="13"/>
  <c r="P76" i="13"/>
  <c r="Q76" i="13"/>
  <c r="R76" i="13"/>
  <c r="S76" i="13"/>
  <c r="P77" i="13"/>
  <c r="Q77" i="13"/>
  <c r="R77" i="13"/>
  <c r="S77" i="13"/>
  <c r="P78" i="13"/>
  <c r="Q78" i="13"/>
  <c r="R78" i="13"/>
  <c r="S78" i="13"/>
  <c r="P79" i="13"/>
  <c r="Q79" i="13"/>
  <c r="R79" i="13"/>
  <c r="S79" i="13"/>
  <c r="P80" i="13"/>
  <c r="Q80" i="13"/>
  <c r="R80" i="13"/>
  <c r="S80" i="13"/>
  <c r="P81" i="13"/>
  <c r="Q81" i="13"/>
  <c r="R81" i="13"/>
  <c r="S81" i="13"/>
  <c r="P82" i="13"/>
  <c r="Q82" i="13"/>
  <c r="R82" i="13"/>
  <c r="S82" i="13"/>
  <c r="P83" i="13"/>
  <c r="Q83" i="13"/>
  <c r="R83" i="13"/>
  <c r="S83" i="13"/>
  <c r="P84" i="13"/>
  <c r="Q84" i="13"/>
  <c r="R84" i="13"/>
  <c r="S84" i="13"/>
  <c r="P85" i="13"/>
  <c r="Q85" i="13"/>
  <c r="R85" i="13"/>
  <c r="S85" i="13"/>
  <c r="P86" i="13"/>
  <c r="Q86" i="13"/>
  <c r="R86" i="13"/>
  <c r="S86" i="13"/>
  <c r="P87" i="13"/>
  <c r="Q87" i="13"/>
  <c r="R87" i="13"/>
  <c r="S87" i="13"/>
  <c r="P88" i="13"/>
  <c r="Q88" i="13"/>
  <c r="R88" i="13"/>
  <c r="S88" i="13"/>
  <c r="P89" i="13"/>
  <c r="Q89" i="13"/>
  <c r="R89" i="13"/>
  <c r="S89" i="13"/>
  <c r="P90" i="13"/>
  <c r="Q90" i="13"/>
  <c r="R90" i="13"/>
  <c r="S90" i="13"/>
  <c r="P91" i="13"/>
  <c r="Q91" i="13"/>
  <c r="R91" i="13"/>
  <c r="S91" i="13"/>
  <c r="P92" i="13"/>
  <c r="Q92" i="13"/>
  <c r="R92" i="13"/>
  <c r="S92" i="13"/>
  <c r="P93" i="13"/>
  <c r="Q93" i="13"/>
  <c r="R93" i="13"/>
  <c r="S93" i="13"/>
  <c r="P94" i="13"/>
  <c r="Q94" i="13"/>
  <c r="R94" i="13"/>
  <c r="S94" i="13"/>
  <c r="P95" i="13"/>
  <c r="Q95" i="13"/>
  <c r="R95" i="13"/>
  <c r="S95" i="13"/>
  <c r="P96" i="13"/>
  <c r="Q96" i="13"/>
  <c r="R96" i="13"/>
  <c r="S96" i="13"/>
  <c r="P97" i="13"/>
  <c r="Q97" i="13"/>
  <c r="R97" i="13"/>
  <c r="S97" i="13"/>
  <c r="P98" i="13"/>
  <c r="Q98" i="13"/>
  <c r="R98" i="13"/>
  <c r="S98" i="13"/>
  <c r="P99" i="13"/>
  <c r="Q99" i="13"/>
  <c r="R99" i="13"/>
  <c r="S99" i="13"/>
  <c r="P100" i="13"/>
  <c r="Q100" i="13"/>
  <c r="R100" i="13"/>
  <c r="S100" i="13"/>
  <c r="P101" i="13"/>
  <c r="Q101" i="13"/>
  <c r="R101" i="13"/>
  <c r="S101" i="13"/>
  <c r="P102" i="13"/>
  <c r="Q102" i="13"/>
  <c r="R102" i="13"/>
  <c r="S102" i="13"/>
  <c r="P103" i="13"/>
  <c r="Q103" i="13"/>
  <c r="R103" i="13"/>
  <c r="S103" i="13"/>
  <c r="P104" i="13"/>
  <c r="Q104" i="13"/>
  <c r="R104" i="13"/>
  <c r="S104" i="13"/>
  <c r="P105" i="13"/>
  <c r="Q105" i="13"/>
  <c r="R105" i="13"/>
  <c r="S105" i="13"/>
  <c r="P106" i="13"/>
  <c r="Q106" i="13"/>
  <c r="R106" i="13"/>
  <c r="S106" i="13"/>
  <c r="P107" i="13"/>
  <c r="Q107" i="13"/>
  <c r="R107" i="13"/>
  <c r="S107" i="13"/>
  <c r="P108" i="13"/>
  <c r="Q108" i="13"/>
  <c r="R108" i="13"/>
  <c r="S108" i="13"/>
  <c r="P109" i="13"/>
  <c r="Q109" i="13"/>
  <c r="R109" i="13"/>
  <c r="S109" i="13"/>
  <c r="P110" i="13"/>
  <c r="Q110" i="13"/>
  <c r="R110" i="13"/>
  <c r="S110" i="13"/>
  <c r="P111" i="13"/>
  <c r="Q111" i="13"/>
  <c r="R111" i="13"/>
  <c r="S111" i="13"/>
  <c r="P112" i="13"/>
  <c r="Q112" i="13"/>
  <c r="R112" i="13"/>
  <c r="S112" i="13"/>
  <c r="P113" i="13"/>
  <c r="Q113" i="13"/>
  <c r="R113" i="13"/>
  <c r="S113" i="13"/>
  <c r="P114" i="13"/>
  <c r="Q114" i="13"/>
  <c r="R114" i="13"/>
  <c r="S114" i="13"/>
  <c r="P115" i="13"/>
  <c r="Q115" i="13"/>
  <c r="R115" i="13"/>
  <c r="S115" i="13"/>
  <c r="P116" i="13"/>
  <c r="Q116" i="13"/>
  <c r="R116" i="13"/>
  <c r="S116" i="13"/>
  <c r="P117" i="13"/>
  <c r="Q117" i="13"/>
  <c r="R117" i="13"/>
  <c r="S117" i="13"/>
  <c r="P118" i="13"/>
  <c r="Q118" i="13"/>
  <c r="R118" i="13"/>
  <c r="S118" i="13"/>
  <c r="P119" i="13"/>
  <c r="Q119" i="13"/>
  <c r="R119" i="13"/>
  <c r="S119" i="13"/>
  <c r="P120" i="13"/>
  <c r="Q120" i="13"/>
  <c r="R120" i="13"/>
  <c r="S120" i="13"/>
  <c r="P121" i="13"/>
  <c r="Q121" i="13"/>
  <c r="R121" i="13"/>
  <c r="S121" i="13"/>
  <c r="P122" i="13"/>
  <c r="Q122" i="13"/>
  <c r="R122" i="13"/>
  <c r="S122" i="13"/>
  <c r="P123" i="13"/>
  <c r="Q123" i="13"/>
  <c r="R123" i="13"/>
  <c r="S123" i="13"/>
  <c r="P124" i="13"/>
  <c r="Q124" i="13"/>
  <c r="R124" i="13"/>
  <c r="S124" i="13"/>
  <c r="P125" i="13"/>
  <c r="Q125" i="13"/>
  <c r="R125" i="13"/>
  <c r="S125" i="13"/>
  <c r="P126" i="13"/>
  <c r="Q126" i="13"/>
  <c r="R126" i="13"/>
  <c r="S126" i="13"/>
  <c r="P127" i="13"/>
  <c r="Q127" i="13"/>
  <c r="R127" i="13"/>
  <c r="S127" i="13"/>
  <c r="P128" i="13"/>
  <c r="Q128" i="13"/>
  <c r="R128" i="13"/>
  <c r="S128" i="13"/>
  <c r="P129" i="13"/>
  <c r="Q129" i="13"/>
  <c r="R129" i="13"/>
  <c r="S129" i="13"/>
  <c r="P130" i="13"/>
  <c r="Q130" i="13"/>
  <c r="R130" i="13"/>
  <c r="S130" i="13"/>
  <c r="P131" i="13"/>
  <c r="Q131" i="13"/>
  <c r="R131" i="13"/>
  <c r="S131" i="13"/>
  <c r="P132" i="13"/>
  <c r="Q132" i="13"/>
  <c r="R132" i="13"/>
  <c r="S132" i="13"/>
  <c r="P133" i="13"/>
  <c r="Q133" i="13"/>
  <c r="R133" i="13"/>
  <c r="S133" i="13"/>
  <c r="P134" i="13"/>
  <c r="Q134" i="13"/>
  <c r="R134" i="13"/>
  <c r="S134" i="13"/>
  <c r="P135" i="13"/>
  <c r="Q135" i="13"/>
  <c r="R135" i="13"/>
  <c r="S135" i="13"/>
  <c r="P136" i="13"/>
  <c r="Q136" i="13"/>
  <c r="R136" i="13"/>
  <c r="S136" i="13"/>
  <c r="P137" i="13"/>
  <c r="Q137" i="13"/>
  <c r="R137" i="13"/>
  <c r="S137" i="13"/>
  <c r="P138" i="13"/>
  <c r="Q138" i="13"/>
  <c r="R138" i="13"/>
  <c r="S138" i="13"/>
  <c r="P139" i="13"/>
  <c r="Q139" i="13"/>
  <c r="R139" i="13"/>
  <c r="S139" i="13"/>
  <c r="P140" i="13"/>
  <c r="Q140" i="13"/>
  <c r="R140" i="13"/>
  <c r="S140" i="13"/>
  <c r="P141" i="13"/>
  <c r="Q141" i="13"/>
  <c r="R141" i="13"/>
  <c r="S141" i="13"/>
  <c r="P142" i="13"/>
  <c r="Q142" i="13"/>
  <c r="R142" i="13"/>
  <c r="S142" i="13"/>
  <c r="P143" i="13"/>
  <c r="Q143" i="13"/>
  <c r="R143" i="13"/>
  <c r="S143" i="13"/>
  <c r="P144" i="13"/>
  <c r="Q144" i="13"/>
  <c r="R144" i="13"/>
  <c r="S144" i="13"/>
  <c r="P145" i="13"/>
  <c r="Q145" i="13"/>
  <c r="R145" i="13"/>
  <c r="S145" i="13"/>
  <c r="P146" i="13"/>
  <c r="Q146" i="13"/>
  <c r="R146" i="13"/>
  <c r="S146" i="13"/>
  <c r="P147" i="13"/>
  <c r="Q147" i="13"/>
  <c r="R147" i="13"/>
  <c r="S147" i="13"/>
  <c r="P148" i="13"/>
  <c r="Q148" i="13"/>
  <c r="R148" i="13"/>
  <c r="S148" i="13"/>
  <c r="P149" i="13"/>
  <c r="Q149" i="13"/>
  <c r="R149" i="13"/>
  <c r="S149" i="13"/>
  <c r="P150" i="13"/>
  <c r="Q150" i="13"/>
  <c r="R150" i="13"/>
  <c r="S150" i="13"/>
  <c r="P151" i="13"/>
  <c r="Q151" i="13"/>
  <c r="R151" i="13"/>
  <c r="S151" i="13"/>
  <c r="P152" i="13"/>
  <c r="Q152" i="13"/>
  <c r="R152" i="13"/>
  <c r="S152" i="13"/>
  <c r="P153" i="13"/>
  <c r="Q153" i="13"/>
  <c r="R153" i="13"/>
  <c r="S153" i="13"/>
  <c r="P154" i="13"/>
  <c r="Q154" i="13"/>
  <c r="R154" i="13"/>
  <c r="S154" i="13"/>
  <c r="P155" i="13"/>
  <c r="Q155" i="13"/>
  <c r="R155" i="13"/>
  <c r="S155" i="13"/>
  <c r="P156" i="13"/>
  <c r="Q156" i="13"/>
  <c r="R156" i="13"/>
  <c r="S156" i="13"/>
  <c r="P157" i="13"/>
  <c r="Q157" i="13"/>
  <c r="R157" i="13"/>
  <c r="S157" i="13"/>
  <c r="P158" i="13"/>
  <c r="Q158" i="13"/>
  <c r="R158" i="13"/>
  <c r="S158" i="13"/>
  <c r="P159" i="13"/>
  <c r="Q159" i="13"/>
  <c r="R159" i="13"/>
  <c r="S159" i="13"/>
  <c r="P160" i="13"/>
  <c r="Q160" i="13"/>
  <c r="R160" i="13"/>
  <c r="S160" i="13"/>
  <c r="P161" i="13"/>
  <c r="Q161" i="13"/>
  <c r="R161" i="13"/>
  <c r="S161" i="13"/>
  <c r="P162" i="13"/>
  <c r="Q162" i="13"/>
  <c r="R162" i="13"/>
  <c r="S162" i="13"/>
  <c r="P163" i="13"/>
  <c r="Q163" i="13"/>
  <c r="R163" i="13"/>
  <c r="S163" i="13"/>
  <c r="P164" i="13"/>
  <c r="Q164" i="13"/>
  <c r="R164" i="13"/>
  <c r="S164" i="13"/>
  <c r="P165" i="13"/>
  <c r="Q165" i="13"/>
  <c r="R165" i="13"/>
  <c r="S165" i="13"/>
  <c r="P166" i="13"/>
  <c r="Q166" i="13"/>
  <c r="R166" i="13"/>
  <c r="S166" i="13"/>
  <c r="P167" i="13"/>
  <c r="Q167" i="13"/>
  <c r="R167" i="13"/>
  <c r="S167" i="13"/>
  <c r="P168" i="13"/>
  <c r="Q168" i="13"/>
  <c r="R168" i="13"/>
  <c r="S168" i="13"/>
  <c r="P169" i="13"/>
  <c r="Q169" i="13"/>
  <c r="R169" i="13"/>
  <c r="S169" i="13"/>
  <c r="P170" i="13"/>
  <c r="Q170" i="13"/>
  <c r="R170" i="13"/>
  <c r="S170" i="13"/>
  <c r="P171" i="13"/>
  <c r="Q171" i="13"/>
  <c r="R171" i="13"/>
  <c r="S171" i="13"/>
  <c r="P172" i="13"/>
  <c r="Q172" i="13"/>
  <c r="R172" i="13"/>
  <c r="S172" i="13"/>
  <c r="P173" i="13"/>
  <c r="Q173" i="13"/>
  <c r="R173" i="13"/>
  <c r="S173" i="13"/>
  <c r="P174" i="13"/>
  <c r="Q174" i="13"/>
  <c r="R174" i="13"/>
  <c r="S174" i="13"/>
  <c r="P175" i="13"/>
  <c r="Q175" i="13"/>
  <c r="R175" i="13"/>
  <c r="S175" i="13"/>
  <c r="P176" i="13"/>
  <c r="Q176" i="13"/>
  <c r="R176" i="13"/>
  <c r="S176" i="13"/>
  <c r="P177" i="13"/>
  <c r="Q177" i="13"/>
  <c r="R177" i="13"/>
  <c r="S177" i="13"/>
  <c r="P178" i="13"/>
  <c r="Q178" i="13"/>
  <c r="R178" i="13"/>
  <c r="S178" i="13"/>
  <c r="P179" i="13"/>
  <c r="Q179" i="13"/>
  <c r="R179" i="13"/>
  <c r="S179" i="13"/>
  <c r="P180" i="13"/>
  <c r="Q180" i="13"/>
  <c r="R180" i="13"/>
  <c r="S180" i="13"/>
  <c r="P181" i="13"/>
  <c r="Q181" i="13"/>
  <c r="R181" i="13"/>
  <c r="S181" i="13"/>
  <c r="P182" i="13"/>
  <c r="Q182" i="13"/>
  <c r="R182" i="13"/>
  <c r="S182" i="13"/>
  <c r="P183" i="13"/>
  <c r="Q183" i="13"/>
  <c r="R183" i="13"/>
  <c r="S183" i="13"/>
  <c r="P184" i="13"/>
  <c r="Q184" i="13"/>
  <c r="R184" i="13"/>
  <c r="S184" i="13"/>
  <c r="P185" i="13"/>
  <c r="Q185" i="13"/>
  <c r="R185" i="13"/>
  <c r="S185" i="13"/>
  <c r="P186" i="13"/>
  <c r="Q186" i="13"/>
  <c r="R186" i="13"/>
  <c r="S186" i="13"/>
  <c r="P187" i="13"/>
  <c r="Q187" i="13"/>
  <c r="R187" i="13"/>
  <c r="S187" i="13"/>
  <c r="P188" i="13"/>
  <c r="Q188" i="13"/>
  <c r="R188" i="13"/>
  <c r="S188" i="13"/>
  <c r="P189" i="13"/>
  <c r="Q189" i="13"/>
  <c r="R189" i="13"/>
  <c r="S189" i="13"/>
  <c r="P190" i="13"/>
  <c r="Q190" i="13"/>
  <c r="R190" i="13"/>
  <c r="S190" i="13"/>
  <c r="P191" i="13"/>
  <c r="Q191" i="13"/>
  <c r="R191" i="13"/>
  <c r="S191" i="13"/>
  <c r="P192" i="13"/>
  <c r="Q192" i="13"/>
  <c r="R192" i="13"/>
  <c r="S192" i="13"/>
  <c r="P193" i="13"/>
  <c r="Q193" i="13"/>
  <c r="R193" i="13"/>
  <c r="S193" i="13"/>
  <c r="P194" i="13"/>
  <c r="Q194" i="13"/>
  <c r="R194" i="13"/>
  <c r="S194" i="13"/>
  <c r="P195" i="13"/>
  <c r="Q195" i="13"/>
  <c r="R195" i="13"/>
  <c r="S195" i="13"/>
  <c r="P196" i="13"/>
  <c r="Q196" i="13"/>
  <c r="R196" i="13"/>
  <c r="S196" i="13"/>
  <c r="P197" i="13"/>
  <c r="Q197" i="13"/>
  <c r="R197" i="13"/>
  <c r="S197" i="13"/>
  <c r="P198" i="13"/>
  <c r="Q198" i="13"/>
  <c r="R198" i="13"/>
  <c r="S198" i="13"/>
  <c r="P199" i="13"/>
  <c r="Q199" i="13"/>
  <c r="R199" i="13"/>
  <c r="S199" i="13"/>
  <c r="P200" i="13"/>
  <c r="Q200" i="13"/>
  <c r="R200" i="13"/>
  <c r="S200" i="13"/>
  <c r="P201" i="13"/>
  <c r="Q201" i="13"/>
  <c r="R201" i="13"/>
  <c r="S201" i="13"/>
  <c r="P202" i="13"/>
  <c r="Q202" i="13"/>
  <c r="R202" i="13"/>
  <c r="S202" i="13"/>
  <c r="P203" i="13"/>
  <c r="Q203" i="13"/>
  <c r="R203" i="13"/>
  <c r="S203" i="13"/>
  <c r="P204" i="13"/>
  <c r="Q204" i="13"/>
  <c r="R204" i="13"/>
  <c r="S204" i="13"/>
  <c r="P205" i="13"/>
  <c r="Q205" i="13"/>
  <c r="R205" i="13"/>
  <c r="S205" i="13"/>
  <c r="P206" i="13"/>
  <c r="Q206" i="13"/>
  <c r="R206" i="13"/>
  <c r="S206" i="13"/>
  <c r="P207" i="13"/>
  <c r="Q207" i="13"/>
  <c r="R207" i="13"/>
  <c r="S207" i="13"/>
  <c r="P208" i="13"/>
  <c r="Q208" i="13"/>
  <c r="R208" i="13"/>
  <c r="S208" i="13"/>
  <c r="P209" i="13"/>
  <c r="Q209" i="13"/>
  <c r="R209" i="13"/>
  <c r="S209" i="13"/>
  <c r="P210" i="13"/>
  <c r="Q210" i="13"/>
  <c r="R210" i="13"/>
  <c r="S210" i="13"/>
  <c r="P211" i="13"/>
  <c r="Q211" i="13"/>
  <c r="R211" i="13"/>
  <c r="S211" i="13"/>
  <c r="P212" i="13"/>
  <c r="Q212" i="13"/>
  <c r="R212" i="13"/>
  <c r="S212" i="13"/>
  <c r="P213" i="13"/>
  <c r="Q213" i="13"/>
  <c r="R213" i="13"/>
  <c r="S213" i="13"/>
  <c r="P214" i="13"/>
  <c r="Q214" i="13"/>
  <c r="R214" i="13"/>
  <c r="S214" i="13"/>
  <c r="P215" i="13"/>
  <c r="Q215" i="13"/>
  <c r="R215" i="13"/>
  <c r="S215" i="13"/>
  <c r="P216" i="13"/>
  <c r="Q216" i="13"/>
  <c r="R216" i="13"/>
  <c r="S216" i="13"/>
  <c r="P217" i="13"/>
  <c r="Q217" i="13"/>
  <c r="R217" i="13"/>
  <c r="S217" i="13"/>
  <c r="P218" i="13"/>
  <c r="Q218" i="13"/>
  <c r="R218" i="13"/>
  <c r="S218" i="13"/>
  <c r="P219" i="13"/>
  <c r="Q219" i="13"/>
  <c r="R219" i="13"/>
  <c r="S219" i="13"/>
  <c r="P220" i="13"/>
  <c r="Q220" i="13"/>
  <c r="R220" i="13"/>
  <c r="S220" i="13"/>
  <c r="P221" i="13"/>
  <c r="Q221" i="13"/>
  <c r="R221" i="13"/>
  <c r="S221" i="13"/>
  <c r="P222" i="13"/>
  <c r="Q222" i="13"/>
  <c r="R222" i="13"/>
  <c r="S222" i="13"/>
  <c r="P223" i="13"/>
  <c r="Q223" i="13"/>
  <c r="R223" i="13"/>
  <c r="S223" i="13"/>
  <c r="P224" i="13"/>
  <c r="Q224" i="13"/>
  <c r="R224" i="13"/>
  <c r="S224" i="13"/>
  <c r="P225" i="13"/>
  <c r="Q225" i="13"/>
  <c r="R225" i="13"/>
  <c r="S225" i="13"/>
  <c r="P226" i="13"/>
  <c r="Q226" i="13"/>
  <c r="R226" i="13"/>
  <c r="S226" i="13"/>
  <c r="P227" i="13"/>
  <c r="Q227" i="13"/>
  <c r="R227" i="13"/>
  <c r="S227" i="13"/>
  <c r="P228" i="13"/>
  <c r="Q228" i="13"/>
  <c r="R228" i="13"/>
  <c r="S228" i="13"/>
  <c r="P229" i="13"/>
  <c r="Q229" i="13"/>
  <c r="R229" i="13"/>
  <c r="S229" i="13"/>
  <c r="P230" i="13"/>
  <c r="Q230" i="13"/>
  <c r="R230" i="13"/>
  <c r="S230" i="13"/>
  <c r="P231" i="13"/>
  <c r="Q231" i="13"/>
  <c r="R231" i="13"/>
  <c r="S231" i="13"/>
  <c r="P232" i="13"/>
  <c r="Q232" i="13"/>
  <c r="R232" i="13"/>
  <c r="S232" i="13"/>
  <c r="P233" i="13"/>
  <c r="Q233" i="13"/>
  <c r="R233" i="13"/>
  <c r="S233" i="13"/>
  <c r="P234" i="13"/>
  <c r="Q234" i="13"/>
  <c r="R234" i="13"/>
  <c r="S234" i="13"/>
  <c r="P235" i="13"/>
  <c r="Q235" i="13"/>
  <c r="R235" i="13"/>
  <c r="S235" i="13"/>
  <c r="P236" i="13"/>
  <c r="Q236" i="13"/>
  <c r="R236" i="13"/>
  <c r="S236" i="13"/>
  <c r="P237" i="13"/>
  <c r="Q237" i="13"/>
  <c r="R237" i="13"/>
  <c r="S237" i="13"/>
  <c r="P238" i="13"/>
  <c r="Q238" i="13"/>
  <c r="R238" i="13"/>
  <c r="S238" i="13"/>
  <c r="P239" i="13"/>
  <c r="Q239" i="13"/>
  <c r="R239" i="13"/>
  <c r="S239" i="13"/>
  <c r="P240" i="13"/>
  <c r="Q240" i="13"/>
  <c r="R240" i="13"/>
  <c r="S240" i="13"/>
  <c r="P241" i="13"/>
  <c r="Q241" i="13"/>
  <c r="R241" i="13"/>
  <c r="S241" i="13"/>
  <c r="P242" i="13"/>
  <c r="Q242" i="13"/>
  <c r="R242" i="13"/>
  <c r="S242" i="13"/>
  <c r="P243" i="13"/>
  <c r="Q243" i="13"/>
  <c r="R243" i="13"/>
  <c r="S243" i="13"/>
  <c r="P244" i="13"/>
  <c r="Q244" i="13"/>
  <c r="R244" i="13"/>
  <c r="S244" i="13"/>
  <c r="P245" i="13"/>
  <c r="Q245" i="13"/>
  <c r="R245" i="13"/>
  <c r="S245" i="13"/>
  <c r="P246" i="13"/>
  <c r="Q246" i="13"/>
  <c r="R246" i="13"/>
  <c r="S246" i="13"/>
  <c r="P247" i="13"/>
  <c r="Q247" i="13"/>
  <c r="R247" i="13"/>
  <c r="S247" i="13"/>
  <c r="P248" i="13"/>
  <c r="Q248" i="13"/>
  <c r="R248" i="13"/>
  <c r="S248" i="13"/>
  <c r="P249" i="13"/>
  <c r="Q249" i="13"/>
  <c r="R249" i="13"/>
  <c r="S249" i="13"/>
  <c r="P250" i="13"/>
  <c r="Q250" i="13"/>
  <c r="R250" i="13"/>
  <c r="S250" i="13"/>
  <c r="P251" i="13"/>
  <c r="Q251" i="13"/>
  <c r="R251" i="13"/>
  <c r="S251" i="13"/>
  <c r="P252" i="13"/>
  <c r="Q252" i="13"/>
  <c r="R252" i="13"/>
  <c r="S252" i="13"/>
  <c r="P253" i="13"/>
  <c r="Q253" i="13"/>
  <c r="R253" i="13"/>
  <c r="S253" i="13"/>
  <c r="P254" i="13"/>
  <c r="Q254" i="13"/>
  <c r="R254" i="13"/>
  <c r="S254" i="13"/>
  <c r="P255" i="13"/>
  <c r="Q255" i="13"/>
  <c r="R255" i="13"/>
  <c r="S255" i="13"/>
  <c r="P256" i="13"/>
  <c r="Q256" i="13"/>
  <c r="R256" i="13"/>
  <c r="S256" i="13"/>
  <c r="P257" i="13"/>
  <c r="Q257" i="13"/>
  <c r="R257" i="13"/>
  <c r="S257" i="13"/>
  <c r="P258" i="13"/>
  <c r="Q258" i="13"/>
  <c r="R258" i="13"/>
  <c r="S258" i="13"/>
  <c r="P259" i="13"/>
  <c r="Q259" i="13"/>
  <c r="R259" i="13"/>
  <c r="S259" i="13"/>
  <c r="P260" i="13"/>
  <c r="Q260" i="13"/>
  <c r="R260" i="13"/>
  <c r="S260" i="13"/>
  <c r="P261" i="13"/>
  <c r="Q261" i="13"/>
  <c r="R261" i="13"/>
  <c r="S261" i="13"/>
  <c r="P262" i="13"/>
  <c r="Q262" i="13"/>
  <c r="R262" i="13"/>
  <c r="S262" i="13"/>
  <c r="P263" i="13"/>
  <c r="Q263" i="13"/>
  <c r="R263" i="13"/>
  <c r="S263" i="13"/>
  <c r="P264" i="13"/>
  <c r="Q264" i="13"/>
  <c r="R264" i="13"/>
  <c r="S264" i="13"/>
  <c r="P265" i="13"/>
  <c r="Q265" i="13"/>
  <c r="R265" i="13"/>
  <c r="S265" i="13"/>
  <c r="P266" i="13"/>
  <c r="Q266" i="13"/>
  <c r="R266" i="13"/>
  <c r="S266" i="13"/>
  <c r="P267" i="13"/>
  <c r="Q267" i="13"/>
  <c r="R267" i="13"/>
  <c r="S267" i="13"/>
  <c r="P268" i="13"/>
  <c r="Q268" i="13"/>
  <c r="R268" i="13"/>
  <c r="S268" i="13"/>
  <c r="P269" i="13"/>
  <c r="Q269" i="13"/>
  <c r="R269" i="13"/>
  <c r="S269" i="13"/>
  <c r="P270" i="13"/>
  <c r="Q270" i="13"/>
  <c r="R270" i="13"/>
  <c r="S270" i="13"/>
  <c r="P271" i="13"/>
  <c r="Q271" i="13"/>
  <c r="R271" i="13"/>
  <c r="S271" i="13"/>
  <c r="P272" i="13"/>
  <c r="Q272" i="13"/>
  <c r="R272" i="13"/>
  <c r="S272" i="13"/>
  <c r="P273" i="13"/>
  <c r="Q273" i="13"/>
  <c r="R273" i="13"/>
  <c r="S273" i="13"/>
  <c r="P274" i="13"/>
  <c r="Q274" i="13"/>
  <c r="R274" i="13"/>
  <c r="S274" i="13"/>
  <c r="P275" i="13"/>
  <c r="Q275" i="13"/>
  <c r="R275" i="13"/>
  <c r="S275" i="13"/>
  <c r="P276" i="13"/>
  <c r="Q276" i="13"/>
  <c r="R276" i="13"/>
  <c r="S276" i="13"/>
  <c r="P277" i="13"/>
  <c r="Q277" i="13"/>
  <c r="R277" i="13"/>
  <c r="S277" i="13"/>
  <c r="P278" i="13"/>
  <c r="Q278" i="13"/>
  <c r="R278" i="13"/>
  <c r="S278" i="13"/>
  <c r="P279" i="13"/>
  <c r="Q279" i="13"/>
  <c r="R279" i="13"/>
  <c r="S279" i="13"/>
  <c r="P280" i="13"/>
  <c r="Q280" i="13"/>
  <c r="R280" i="13"/>
  <c r="S280" i="13"/>
  <c r="P281" i="13"/>
  <c r="Q281" i="13"/>
  <c r="R281" i="13"/>
  <c r="S281" i="13"/>
  <c r="P282" i="13"/>
  <c r="Q282" i="13"/>
  <c r="R282" i="13"/>
  <c r="S282" i="13"/>
  <c r="P283" i="13"/>
  <c r="Q283" i="13"/>
  <c r="R283" i="13"/>
  <c r="S283" i="13"/>
  <c r="P284" i="13"/>
  <c r="Q284" i="13"/>
  <c r="R284" i="13"/>
  <c r="S284" i="13"/>
  <c r="P285" i="13"/>
  <c r="Q285" i="13"/>
  <c r="R285" i="13"/>
  <c r="S285" i="13"/>
  <c r="P286" i="13"/>
  <c r="Q286" i="13"/>
  <c r="R286" i="13"/>
  <c r="S286" i="13"/>
  <c r="P287" i="13"/>
  <c r="Q287" i="13"/>
  <c r="R287" i="13"/>
  <c r="S287" i="13"/>
  <c r="P288" i="13"/>
  <c r="Q288" i="13"/>
  <c r="R288" i="13"/>
  <c r="S288" i="13"/>
  <c r="P289" i="13"/>
  <c r="Q289" i="13"/>
  <c r="R289" i="13"/>
  <c r="S289" i="13"/>
  <c r="P290" i="13"/>
  <c r="Q290" i="13"/>
  <c r="R290" i="13"/>
  <c r="S290" i="13"/>
  <c r="P291" i="13"/>
  <c r="Q291" i="13"/>
  <c r="R291" i="13"/>
  <c r="S291" i="13"/>
  <c r="P292" i="13"/>
  <c r="Q292" i="13"/>
  <c r="R292" i="13"/>
  <c r="S292" i="13"/>
  <c r="P293" i="13"/>
  <c r="Q293" i="13"/>
  <c r="R293" i="13"/>
  <c r="S293" i="13"/>
  <c r="P294" i="13"/>
  <c r="Q294" i="13"/>
  <c r="R294" i="13"/>
  <c r="S294" i="13"/>
  <c r="P295" i="13"/>
  <c r="Q295" i="13"/>
  <c r="R295" i="13"/>
  <c r="S295" i="13"/>
  <c r="P296" i="13"/>
  <c r="Q296" i="13"/>
  <c r="R296" i="13"/>
  <c r="S296" i="13"/>
  <c r="P297" i="13"/>
  <c r="Q297" i="13"/>
  <c r="R297" i="13"/>
  <c r="S297" i="13"/>
  <c r="P298" i="13"/>
  <c r="Q298" i="13"/>
  <c r="R298" i="13"/>
  <c r="S298" i="13"/>
  <c r="P299" i="13"/>
  <c r="Q299" i="13"/>
  <c r="R299" i="13"/>
  <c r="S299" i="13"/>
  <c r="P300" i="13"/>
  <c r="Q300" i="13"/>
  <c r="R300" i="13"/>
  <c r="S300" i="13"/>
  <c r="P301" i="13"/>
  <c r="Q301" i="13"/>
  <c r="R301" i="13"/>
  <c r="S301" i="13"/>
  <c r="P302" i="13"/>
  <c r="Q302" i="13"/>
  <c r="R302" i="13"/>
  <c r="S302" i="13"/>
  <c r="P303" i="13"/>
  <c r="Q303" i="13"/>
  <c r="R303" i="13"/>
  <c r="S303" i="13"/>
  <c r="P304" i="13"/>
  <c r="Q304" i="13"/>
  <c r="R304" i="13"/>
  <c r="S304" i="13"/>
  <c r="P305" i="13"/>
  <c r="Q305" i="13"/>
  <c r="R305" i="13"/>
  <c r="S305" i="13"/>
  <c r="P306" i="13"/>
  <c r="Q306" i="13"/>
  <c r="R306" i="13"/>
  <c r="S306" i="13"/>
  <c r="P307" i="13"/>
  <c r="Q307" i="13"/>
  <c r="R307" i="13"/>
  <c r="S307" i="13"/>
  <c r="P308" i="13"/>
  <c r="Q308" i="13"/>
  <c r="R308" i="13"/>
  <c r="S308" i="13"/>
  <c r="P309" i="13"/>
  <c r="Q309" i="13"/>
  <c r="R309" i="13"/>
  <c r="S309" i="13"/>
  <c r="P310" i="13"/>
  <c r="Q310" i="13"/>
  <c r="R310" i="13"/>
  <c r="S310" i="13"/>
  <c r="P311" i="13"/>
  <c r="Q311" i="13"/>
  <c r="R311" i="13"/>
  <c r="S311" i="13"/>
  <c r="P312" i="13"/>
  <c r="Q312" i="13"/>
  <c r="R312" i="13"/>
  <c r="S312" i="13"/>
  <c r="P313" i="13"/>
  <c r="Q313" i="13"/>
  <c r="R313" i="13"/>
  <c r="S313" i="13"/>
  <c r="P314" i="13"/>
  <c r="Q314" i="13"/>
  <c r="R314" i="13"/>
  <c r="S314" i="13"/>
  <c r="P315" i="13"/>
  <c r="Q315" i="13"/>
  <c r="R315" i="13"/>
  <c r="S315" i="13"/>
  <c r="P316" i="13"/>
  <c r="Q316" i="13"/>
  <c r="R316" i="13"/>
  <c r="S316" i="13"/>
  <c r="P317" i="13"/>
  <c r="Q317" i="13"/>
  <c r="R317" i="13"/>
  <c r="S317" i="13"/>
  <c r="P318" i="13"/>
  <c r="Q318" i="13"/>
  <c r="R318" i="13"/>
  <c r="S318" i="13"/>
  <c r="P319" i="13"/>
  <c r="Q319" i="13"/>
  <c r="R319" i="13"/>
  <c r="S319" i="13"/>
  <c r="P320" i="13"/>
  <c r="Q320" i="13"/>
  <c r="R320" i="13"/>
  <c r="S320" i="13"/>
  <c r="P321" i="13"/>
  <c r="Q321" i="13"/>
  <c r="R321" i="13"/>
  <c r="S321" i="13"/>
  <c r="P322" i="13"/>
  <c r="Q322" i="13"/>
  <c r="R322" i="13"/>
  <c r="S322" i="13"/>
  <c r="P323" i="13"/>
  <c r="Q323" i="13"/>
  <c r="R323" i="13"/>
  <c r="S323" i="13"/>
  <c r="P324" i="13"/>
  <c r="Q324" i="13"/>
  <c r="R324" i="13"/>
  <c r="S324" i="13"/>
  <c r="P325" i="13"/>
  <c r="Q325" i="13"/>
  <c r="R325" i="13"/>
  <c r="S325" i="13"/>
  <c r="P326" i="13"/>
  <c r="Q326" i="13"/>
  <c r="R326" i="13"/>
  <c r="S326" i="13"/>
  <c r="P327" i="13"/>
  <c r="Q327" i="13"/>
  <c r="R327" i="13"/>
  <c r="S327" i="13"/>
  <c r="P328" i="13"/>
  <c r="Q328" i="13"/>
  <c r="R328" i="13"/>
  <c r="S328" i="13"/>
  <c r="P329" i="13"/>
  <c r="Q329" i="13"/>
  <c r="R329" i="13"/>
  <c r="S329" i="13"/>
  <c r="P330" i="13"/>
  <c r="Q330" i="13"/>
  <c r="R330" i="13"/>
  <c r="S330" i="13"/>
  <c r="P331" i="13"/>
  <c r="Q331" i="13"/>
  <c r="R331" i="13"/>
  <c r="S331" i="13"/>
  <c r="P332" i="13"/>
  <c r="Q332" i="13"/>
  <c r="R332" i="13"/>
  <c r="S332" i="13"/>
  <c r="P333" i="13"/>
  <c r="Q333" i="13"/>
  <c r="R333" i="13"/>
  <c r="S333" i="13"/>
  <c r="P334" i="13"/>
  <c r="Q334" i="13"/>
  <c r="R334" i="13"/>
  <c r="S334" i="13"/>
  <c r="P335" i="13"/>
  <c r="Q335" i="13"/>
  <c r="R335" i="13"/>
  <c r="S335" i="13"/>
  <c r="P336" i="13"/>
  <c r="Q336" i="13"/>
  <c r="R336" i="13"/>
  <c r="S336" i="13"/>
  <c r="P337" i="13"/>
  <c r="Q337" i="13"/>
  <c r="R337" i="13"/>
  <c r="S337" i="13"/>
  <c r="P338" i="13"/>
  <c r="Q338" i="13"/>
  <c r="R338" i="13"/>
  <c r="S338" i="13"/>
  <c r="P339" i="13"/>
  <c r="Q339" i="13"/>
  <c r="R339" i="13"/>
  <c r="S339" i="13"/>
  <c r="P340" i="13"/>
  <c r="Q340" i="13"/>
  <c r="R340" i="13"/>
  <c r="S340" i="13"/>
  <c r="P341" i="13"/>
  <c r="Q341" i="13"/>
  <c r="R341" i="13"/>
  <c r="S341" i="13"/>
  <c r="P342" i="13"/>
  <c r="Q342" i="13"/>
  <c r="R342" i="13"/>
  <c r="S342" i="13"/>
  <c r="P343" i="13"/>
  <c r="Q343" i="13"/>
  <c r="R343" i="13"/>
  <c r="S343" i="13"/>
  <c r="P344" i="13"/>
  <c r="Q344" i="13"/>
  <c r="R344" i="13"/>
  <c r="S344" i="13"/>
  <c r="P345" i="13"/>
  <c r="Q345" i="13"/>
  <c r="R345" i="13"/>
  <c r="S345" i="13"/>
  <c r="P346" i="13"/>
  <c r="Q346" i="13"/>
  <c r="R346" i="13"/>
  <c r="S346" i="13"/>
  <c r="P347" i="13"/>
  <c r="Q347" i="13"/>
  <c r="R347" i="13"/>
  <c r="S347" i="13"/>
  <c r="P348" i="13"/>
  <c r="Q348" i="13"/>
  <c r="R348" i="13"/>
  <c r="S348" i="13"/>
  <c r="P349" i="13"/>
  <c r="Q349" i="13"/>
  <c r="R349" i="13"/>
  <c r="S349" i="13"/>
  <c r="P350" i="13"/>
  <c r="Q350" i="13"/>
  <c r="R350" i="13"/>
  <c r="S350" i="13"/>
  <c r="P351" i="13"/>
  <c r="Q351" i="13"/>
  <c r="R351" i="13"/>
  <c r="S351" i="13"/>
  <c r="P352" i="13"/>
  <c r="Q352" i="13"/>
  <c r="R352" i="13"/>
  <c r="S352" i="13"/>
  <c r="P353" i="13"/>
  <c r="Q353" i="13"/>
  <c r="R353" i="13"/>
  <c r="S353" i="13"/>
  <c r="P354" i="13"/>
  <c r="Q354" i="13"/>
  <c r="R354" i="13"/>
  <c r="S354" i="13"/>
  <c r="P355" i="13"/>
  <c r="Q355" i="13"/>
  <c r="R355" i="13"/>
  <c r="S355" i="13"/>
  <c r="P356" i="13"/>
  <c r="Q356" i="13"/>
  <c r="R356" i="13"/>
  <c r="S356" i="13"/>
  <c r="P357" i="13"/>
  <c r="Q357" i="13"/>
  <c r="R357" i="13"/>
  <c r="S357" i="13"/>
  <c r="P358" i="13"/>
  <c r="Q358" i="13"/>
  <c r="R358" i="13"/>
  <c r="S358" i="13"/>
  <c r="P359" i="13"/>
  <c r="Q359" i="13"/>
  <c r="R359" i="13"/>
  <c r="S359" i="13"/>
  <c r="P360" i="13"/>
  <c r="Q360" i="13"/>
  <c r="R360" i="13"/>
  <c r="S360" i="13"/>
  <c r="P3" i="13"/>
  <c r="Q3" i="13"/>
  <c r="R3" i="13"/>
  <c r="S3" i="13"/>
  <c r="P4" i="13"/>
  <c r="Q4" i="13"/>
  <c r="R4" i="13"/>
  <c r="S4" i="13"/>
  <c r="P5" i="13"/>
  <c r="Q5" i="13"/>
  <c r="R5" i="13"/>
  <c r="S5" i="13"/>
  <c r="P6" i="13"/>
  <c r="Q6" i="13"/>
  <c r="R6" i="13"/>
  <c r="S6" i="13"/>
  <c r="P7" i="13"/>
  <c r="Q7" i="13"/>
  <c r="R7" i="13"/>
  <c r="S7" i="13"/>
  <c r="P8" i="13"/>
  <c r="Q8" i="13"/>
  <c r="R8" i="13"/>
  <c r="S8" i="13"/>
  <c r="P9" i="13"/>
  <c r="Q9" i="13"/>
  <c r="R9" i="13"/>
  <c r="S9" i="13"/>
  <c r="P10" i="13"/>
  <c r="Q10" i="13"/>
  <c r="R10" i="13"/>
  <c r="S10" i="13"/>
  <c r="P11" i="13"/>
  <c r="Q11" i="13"/>
  <c r="R11" i="13"/>
  <c r="S11" i="13"/>
  <c r="P12" i="13"/>
  <c r="Q12" i="13"/>
  <c r="R12" i="13"/>
  <c r="S12" i="13"/>
  <c r="P13" i="13"/>
  <c r="Q13" i="13"/>
  <c r="R13" i="13"/>
  <c r="S13" i="13"/>
  <c r="P14" i="13"/>
  <c r="Q14" i="13"/>
  <c r="R14" i="13"/>
  <c r="S14" i="13"/>
  <c r="P15" i="13"/>
  <c r="Q15" i="13"/>
  <c r="R15" i="13"/>
  <c r="S15" i="13"/>
  <c r="P16" i="13"/>
  <c r="Q16" i="13"/>
  <c r="R16" i="13"/>
  <c r="S16" i="13"/>
  <c r="P17" i="13"/>
  <c r="Q17" i="13"/>
  <c r="R17" i="13"/>
  <c r="S17" i="13"/>
  <c r="P18" i="13"/>
  <c r="Q18" i="13"/>
  <c r="R18" i="13"/>
  <c r="S18" i="13"/>
  <c r="P19" i="13"/>
  <c r="Q19" i="13"/>
  <c r="R19" i="13"/>
  <c r="S19" i="13"/>
  <c r="P20" i="13"/>
  <c r="Q20" i="13"/>
  <c r="R20" i="13"/>
  <c r="S20" i="13"/>
  <c r="P21" i="13"/>
  <c r="Q21" i="13"/>
  <c r="R21" i="13"/>
  <c r="S21" i="13"/>
  <c r="P22" i="13"/>
  <c r="Q22" i="13"/>
  <c r="R22" i="13"/>
  <c r="S22" i="13"/>
  <c r="S2" i="13"/>
  <c r="R2" i="13"/>
  <c r="Q2" i="13"/>
  <c r="P2" i="13"/>
  <c r="H3" i="13"/>
  <c r="I3" i="13"/>
  <c r="J3" i="13"/>
  <c r="K3" i="13"/>
  <c r="H4" i="13"/>
  <c r="I4" i="13"/>
  <c r="J4" i="13"/>
  <c r="K4" i="13"/>
  <c r="H5" i="13"/>
  <c r="I5" i="13"/>
  <c r="J5" i="13"/>
  <c r="K5" i="13"/>
  <c r="H6" i="13"/>
  <c r="I6" i="13"/>
  <c r="J6" i="13"/>
  <c r="K6" i="13"/>
  <c r="H7" i="13"/>
  <c r="I7" i="13"/>
  <c r="J7" i="13"/>
  <c r="K7" i="13"/>
  <c r="H8" i="13"/>
  <c r="I8" i="13"/>
  <c r="J8" i="13"/>
  <c r="K8" i="13"/>
  <c r="H9" i="13"/>
  <c r="I9" i="13"/>
  <c r="J9" i="13"/>
  <c r="K9" i="13"/>
  <c r="H10" i="13"/>
  <c r="I10" i="13"/>
  <c r="J10" i="13"/>
  <c r="K10" i="13"/>
  <c r="K2" i="13"/>
  <c r="J2" i="13"/>
  <c r="I2" i="13"/>
  <c r="H2" i="13"/>
  <c r="AQ358" i="13" l="1"/>
  <c r="AP358" i="13"/>
  <c r="AO358" i="13"/>
  <c r="AN346" i="13"/>
  <c r="AQ346" i="13"/>
  <c r="AP346" i="13"/>
  <c r="AO346" i="13"/>
  <c r="AN338" i="13"/>
  <c r="AP338" i="13"/>
  <c r="AO338" i="13"/>
  <c r="AQ338" i="13"/>
  <c r="AN318" i="13"/>
  <c r="AQ318" i="13"/>
  <c r="AO318" i="13"/>
  <c r="AN310" i="13"/>
  <c r="AQ310" i="13"/>
  <c r="AP310" i="13"/>
  <c r="AO310" i="13"/>
  <c r="AQ294" i="13"/>
  <c r="AP294" i="13"/>
  <c r="AO294" i="13"/>
  <c r="AN294" i="13"/>
  <c r="AN286" i="13"/>
  <c r="AQ286" i="13"/>
  <c r="AP286" i="13"/>
  <c r="AN278" i="13"/>
  <c r="AQ278" i="13"/>
  <c r="AP278" i="13"/>
  <c r="AO278" i="13"/>
  <c r="AN270" i="13"/>
  <c r="AQ270" i="13"/>
  <c r="AP270" i="13"/>
  <c r="AN262" i="13"/>
  <c r="AQ262" i="13"/>
  <c r="AP262" i="13"/>
  <c r="AO262" i="13"/>
  <c r="AN250" i="13"/>
  <c r="AP250" i="13"/>
  <c r="AO250" i="13"/>
  <c r="AQ250" i="13"/>
  <c r="AQ242" i="13"/>
  <c r="AP242" i="13"/>
  <c r="AO242" i="13"/>
  <c r="AN242" i="13"/>
  <c r="AQ234" i="13"/>
  <c r="AP234" i="13"/>
  <c r="AO234" i="13"/>
  <c r="AQ226" i="13"/>
  <c r="AP226" i="13"/>
  <c r="AO226" i="13"/>
  <c r="AN226" i="13"/>
  <c r="AQ218" i="13"/>
  <c r="AP218" i="13"/>
  <c r="AO218" i="13"/>
  <c r="AQ210" i="13"/>
  <c r="AP210" i="13"/>
  <c r="AO210" i="13"/>
  <c r="AN210" i="13"/>
  <c r="AN198" i="13"/>
  <c r="AQ198" i="13"/>
  <c r="AP198" i="13"/>
  <c r="AO198" i="13"/>
  <c r="AQ190" i="13"/>
  <c r="AP190" i="13"/>
  <c r="AO190" i="13"/>
  <c r="AN190" i="13"/>
  <c r="AQ182" i="13"/>
  <c r="AP182" i="13"/>
  <c r="AO182" i="13"/>
  <c r="AN182" i="13"/>
  <c r="AQ174" i="13"/>
  <c r="AP174" i="13"/>
  <c r="AO174" i="13"/>
  <c r="AN174" i="13"/>
  <c r="AQ166" i="13"/>
  <c r="AP166" i="13"/>
  <c r="AN166" i="13"/>
  <c r="AQ158" i="13"/>
  <c r="AP158" i="13"/>
  <c r="AN158" i="13"/>
  <c r="AO150" i="13"/>
  <c r="AN150" i="13"/>
  <c r="AP150" i="13"/>
  <c r="AO142" i="13"/>
  <c r="AN142" i="13"/>
  <c r="AP142" i="13"/>
  <c r="AO134" i="13"/>
  <c r="AN134" i="13"/>
  <c r="AP134" i="13"/>
  <c r="AO126" i="13"/>
  <c r="AN126" i="13"/>
  <c r="AP126" i="13"/>
  <c r="AO118" i="13"/>
  <c r="AN118" i="13"/>
  <c r="AP118" i="13"/>
  <c r="AO110" i="13"/>
  <c r="AN110" i="13"/>
  <c r="AP110" i="13"/>
  <c r="AO102" i="13"/>
  <c r="AN102" i="13"/>
  <c r="AP102" i="13"/>
  <c r="AQ86" i="13"/>
  <c r="AP86" i="13"/>
  <c r="AO86" i="13"/>
  <c r="AN86" i="13"/>
  <c r="AP45" i="13"/>
  <c r="AP43" i="13"/>
  <c r="AP41" i="13"/>
  <c r="AP39" i="13"/>
  <c r="AP37" i="13"/>
  <c r="AP35" i="13"/>
  <c r="AP33" i="13"/>
  <c r="AP31" i="13"/>
  <c r="AP29" i="13"/>
  <c r="AP27" i="13"/>
  <c r="AP25" i="13"/>
  <c r="AP23" i="13"/>
  <c r="AP21" i="13"/>
  <c r="AP19" i="13"/>
  <c r="AP17" i="13"/>
  <c r="AP15" i="13"/>
  <c r="AP13" i="13"/>
  <c r="AP11" i="13"/>
  <c r="AO48" i="13"/>
  <c r="AO57" i="13"/>
  <c r="AO59" i="13"/>
  <c r="AO61" i="13"/>
  <c r="AO63" i="13"/>
  <c r="AO65" i="13"/>
  <c r="AO67" i="13"/>
  <c r="AO69" i="13"/>
  <c r="AO71" i="13"/>
  <c r="AO73" i="13"/>
  <c r="AO75" i="13"/>
  <c r="AO77" i="13"/>
  <c r="AO80" i="13"/>
  <c r="AQ150" i="13"/>
  <c r="AN357" i="13"/>
  <c r="AP357" i="13"/>
  <c r="AO357" i="13"/>
  <c r="AQ357" i="13"/>
  <c r="AQ345" i="13"/>
  <c r="AP345" i="13"/>
  <c r="AN345" i="13"/>
  <c r="AQ337" i="13"/>
  <c r="AP337" i="13"/>
  <c r="AO337" i="13"/>
  <c r="AN337" i="13"/>
  <c r="AQ325" i="13"/>
  <c r="AP325" i="13"/>
  <c r="AO325" i="13"/>
  <c r="AN325" i="13"/>
  <c r="AQ317" i="13"/>
  <c r="AP317" i="13"/>
  <c r="AO317" i="13"/>
  <c r="AN317" i="13"/>
  <c r="AQ309" i="13"/>
  <c r="AP309" i="13"/>
  <c r="AO309" i="13"/>
  <c r="AN309" i="13"/>
  <c r="AN293" i="13"/>
  <c r="AQ293" i="13"/>
  <c r="AP293" i="13"/>
  <c r="AO293" i="13"/>
  <c r="AQ285" i="13"/>
  <c r="AP285" i="13"/>
  <c r="AN285" i="13"/>
  <c r="AO285" i="13"/>
  <c r="AQ277" i="13"/>
  <c r="AP277" i="13"/>
  <c r="AO277" i="13"/>
  <c r="AN277" i="13"/>
  <c r="AQ269" i="13"/>
  <c r="AP269" i="13"/>
  <c r="AN269" i="13"/>
  <c r="AO269" i="13"/>
  <c r="AQ261" i="13"/>
  <c r="AP261" i="13"/>
  <c r="AO261" i="13"/>
  <c r="AN261" i="13"/>
  <c r="AQ249" i="13"/>
  <c r="AP249" i="13"/>
  <c r="AO249" i="13"/>
  <c r="AN249" i="13"/>
  <c r="AN241" i="13"/>
  <c r="AQ241" i="13"/>
  <c r="AP241" i="13"/>
  <c r="AO241" i="13"/>
  <c r="AN233" i="13"/>
  <c r="AP233" i="13"/>
  <c r="AO233" i="13"/>
  <c r="AQ233" i="13"/>
  <c r="AN225" i="13"/>
  <c r="AQ225" i="13"/>
  <c r="AP225" i="13"/>
  <c r="AO225" i="13"/>
  <c r="AN217" i="13"/>
  <c r="AP217" i="13"/>
  <c r="AO217" i="13"/>
  <c r="AQ217" i="13"/>
  <c r="AN209" i="13"/>
  <c r="AQ209" i="13"/>
  <c r="AP209" i="13"/>
  <c r="AO209" i="13"/>
  <c r="AO189" i="13"/>
  <c r="AN189" i="13"/>
  <c r="AP189" i="13"/>
  <c r="AO181" i="13"/>
  <c r="AN181" i="13"/>
  <c r="AP181" i="13"/>
  <c r="AQ165" i="13"/>
  <c r="AP165" i="13"/>
  <c r="AO165" i="13"/>
  <c r="AN165" i="13"/>
  <c r="AQ157" i="13"/>
  <c r="AP157" i="13"/>
  <c r="AO157" i="13"/>
  <c r="AN157" i="13"/>
  <c r="AQ149" i="13"/>
  <c r="AP149" i="13"/>
  <c r="AO149" i="13"/>
  <c r="AN149" i="13"/>
  <c r="AQ141" i="13"/>
  <c r="AP141" i="13"/>
  <c r="AO141" i="13"/>
  <c r="AN141" i="13"/>
  <c r="AQ133" i="13"/>
  <c r="AP133" i="13"/>
  <c r="AO133" i="13"/>
  <c r="AN133" i="13"/>
  <c r="AQ125" i="13"/>
  <c r="AP125" i="13"/>
  <c r="AO125" i="13"/>
  <c r="AN125" i="13"/>
  <c r="AQ117" i="13"/>
  <c r="AP117" i="13"/>
  <c r="AO117" i="13"/>
  <c r="AN117" i="13"/>
  <c r="AQ109" i="13"/>
  <c r="AP109" i="13"/>
  <c r="AO109" i="13"/>
  <c r="AN109" i="13"/>
  <c r="AQ101" i="13"/>
  <c r="AP101" i="13"/>
  <c r="AO101" i="13"/>
  <c r="AN101" i="13"/>
  <c r="AO85" i="13"/>
  <c r="AN85" i="13"/>
  <c r="AP85" i="13"/>
  <c r="AO45" i="13"/>
  <c r="AO41" i="13"/>
  <c r="AO37" i="13"/>
  <c r="AO33" i="13"/>
  <c r="AO29" i="13"/>
  <c r="AO25" i="13"/>
  <c r="AO21" i="13"/>
  <c r="AO19" i="13"/>
  <c r="AO17" i="13"/>
  <c r="AO13" i="13"/>
  <c r="AO11" i="13"/>
  <c r="AP48" i="13"/>
  <c r="AP57" i="13"/>
  <c r="AP59" i="13"/>
  <c r="AP61" i="13"/>
  <c r="AP63" i="13"/>
  <c r="AP65" i="13"/>
  <c r="AP67" i="13"/>
  <c r="AP69" i="13"/>
  <c r="AP71" i="13"/>
  <c r="AP73" i="13"/>
  <c r="AP75" i="13"/>
  <c r="AP77" i="13"/>
  <c r="AP80" i="13"/>
  <c r="AN234" i="13"/>
  <c r="AQ356" i="13"/>
  <c r="AP356" i="13"/>
  <c r="AO356" i="13"/>
  <c r="AN356" i="13"/>
  <c r="AN352" i="13"/>
  <c r="AQ352" i="13"/>
  <c r="AP352" i="13"/>
  <c r="AN344" i="13"/>
  <c r="AQ344" i="13"/>
  <c r="AP344" i="13"/>
  <c r="AO344" i="13"/>
  <c r="AN336" i="13"/>
  <c r="AQ336" i="13"/>
  <c r="AP336" i="13"/>
  <c r="AN324" i="13"/>
  <c r="AO324" i="13"/>
  <c r="AP324" i="13"/>
  <c r="AN316" i="13"/>
  <c r="AQ316" i="13"/>
  <c r="AP316" i="13"/>
  <c r="AO316" i="13"/>
  <c r="AN308" i="13"/>
  <c r="AO308" i="13"/>
  <c r="AP308" i="13"/>
  <c r="AQ300" i="13"/>
  <c r="AP300" i="13"/>
  <c r="AO300" i="13"/>
  <c r="AN300" i="13"/>
  <c r="AQ292" i="13"/>
  <c r="AP292" i="13"/>
  <c r="AO292" i="13"/>
  <c r="AN284" i="13"/>
  <c r="AQ284" i="13"/>
  <c r="AP284" i="13"/>
  <c r="AO284" i="13"/>
  <c r="AN276" i="13"/>
  <c r="AQ276" i="13"/>
  <c r="AO276" i="13"/>
  <c r="AN268" i="13"/>
  <c r="AQ268" i="13"/>
  <c r="AP268" i="13"/>
  <c r="AO268" i="13"/>
  <c r="AN260" i="13"/>
  <c r="AQ260" i="13"/>
  <c r="AO260" i="13"/>
  <c r="AN248" i="13"/>
  <c r="AQ248" i="13"/>
  <c r="AP248" i="13"/>
  <c r="AQ240" i="13"/>
  <c r="AP240" i="13"/>
  <c r="AN240" i="13"/>
  <c r="AQ232" i="13"/>
  <c r="AP232" i="13"/>
  <c r="AO232" i="13"/>
  <c r="AN232" i="13"/>
  <c r="AQ224" i="13"/>
  <c r="AP224" i="13"/>
  <c r="AN224" i="13"/>
  <c r="AQ216" i="13"/>
  <c r="AP216" i="13"/>
  <c r="AO216" i="13"/>
  <c r="AN216" i="13"/>
  <c r="AQ208" i="13"/>
  <c r="AP208" i="13"/>
  <c r="AN208" i="13"/>
  <c r="AQ196" i="13"/>
  <c r="AP196" i="13"/>
  <c r="AO196" i="13"/>
  <c r="AN196" i="13"/>
  <c r="AQ188" i="13"/>
  <c r="AP188" i="13"/>
  <c r="AO188" i="13"/>
  <c r="AN188" i="13"/>
  <c r="AQ180" i="13"/>
  <c r="AP180" i="13"/>
  <c r="AO180" i="13"/>
  <c r="AN180" i="13"/>
  <c r="AQ164" i="13"/>
  <c r="AP164" i="13"/>
  <c r="AO164" i="13"/>
  <c r="AN164" i="13"/>
  <c r="AQ156" i="13"/>
  <c r="AP156" i="13"/>
  <c r="AO156" i="13"/>
  <c r="AN156" i="13"/>
  <c r="AO148" i="13"/>
  <c r="AN148" i="13"/>
  <c r="AP148" i="13"/>
  <c r="AQ144" i="13"/>
  <c r="AP144" i="13"/>
  <c r="AO144" i="13"/>
  <c r="AN144" i="13"/>
  <c r="AO140" i="13"/>
  <c r="AN140" i="13"/>
  <c r="AP140" i="13"/>
  <c r="AO132" i="13"/>
  <c r="AN132" i="13"/>
  <c r="AP132" i="13"/>
  <c r="AO124" i="13"/>
  <c r="AN124" i="13"/>
  <c r="AP124" i="13"/>
  <c r="AO116" i="13"/>
  <c r="AN116" i="13"/>
  <c r="AP116" i="13"/>
  <c r="AO108" i="13"/>
  <c r="AN108" i="13"/>
  <c r="AP108" i="13"/>
  <c r="AO100" i="13"/>
  <c r="AN100" i="13"/>
  <c r="AP100" i="13"/>
  <c r="AQ84" i="13"/>
  <c r="AP84" i="13"/>
  <c r="AO84" i="13"/>
  <c r="AN84" i="13"/>
  <c r="AN45" i="13"/>
  <c r="AN43" i="13"/>
  <c r="AN41" i="13"/>
  <c r="AN39" i="13"/>
  <c r="AN37" i="13"/>
  <c r="AN35" i="13"/>
  <c r="AN33" i="13"/>
  <c r="AN31" i="13"/>
  <c r="AN29" i="13"/>
  <c r="AN27" i="13"/>
  <c r="AN25" i="13"/>
  <c r="AN23" i="13"/>
  <c r="AN21" i="13"/>
  <c r="AN19" i="13"/>
  <c r="AN17" i="13"/>
  <c r="AN15" i="13"/>
  <c r="AN13" i="13"/>
  <c r="AN11" i="13"/>
  <c r="AQ48" i="13"/>
  <c r="AQ57" i="13"/>
  <c r="AQ59" i="13"/>
  <c r="AQ61" i="13"/>
  <c r="AQ63" i="13"/>
  <c r="AQ65" i="13"/>
  <c r="AQ67" i="13"/>
  <c r="AQ69" i="13"/>
  <c r="AQ71" i="13"/>
  <c r="AQ73" i="13"/>
  <c r="AQ75" i="13"/>
  <c r="AQ77" i="13"/>
  <c r="AQ80" i="13"/>
  <c r="AQ102" i="13"/>
  <c r="AQ118" i="13"/>
  <c r="AQ134" i="13"/>
  <c r="AO270" i="13"/>
  <c r="AQ351" i="13"/>
  <c r="AP351" i="13"/>
  <c r="AN351" i="13"/>
  <c r="AO351" i="13"/>
  <c r="AQ343" i="13"/>
  <c r="AP343" i="13"/>
  <c r="AO343" i="13"/>
  <c r="AN343" i="13"/>
  <c r="AQ335" i="13"/>
  <c r="AP335" i="13"/>
  <c r="AN335" i="13"/>
  <c r="AO335" i="13"/>
  <c r="AQ323" i="13"/>
  <c r="AP323" i="13"/>
  <c r="AO323" i="13"/>
  <c r="AN323" i="13"/>
  <c r="AQ315" i="13"/>
  <c r="AP315" i="13"/>
  <c r="AO315" i="13"/>
  <c r="AN299" i="13"/>
  <c r="AQ299" i="13"/>
  <c r="AP299" i="13"/>
  <c r="AO299" i="13"/>
  <c r="AN291" i="13"/>
  <c r="AP291" i="13"/>
  <c r="AO291" i="13"/>
  <c r="AQ291" i="13"/>
  <c r="AQ283" i="13"/>
  <c r="AP283" i="13"/>
  <c r="AO283" i="13"/>
  <c r="AN283" i="13"/>
  <c r="AQ275" i="13"/>
  <c r="AP275" i="13"/>
  <c r="AO275" i="13"/>
  <c r="AN275" i="13"/>
  <c r="AQ267" i="13"/>
  <c r="AP267" i="13"/>
  <c r="AO267" i="13"/>
  <c r="AN267" i="13"/>
  <c r="AQ259" i="13"/>
  <c r="AP259" i="13"/>
  <c r="AO259" i="13"/>
  <c r="AN259" i="13"/>
  <c r="AN239" i="13"/>
  <c r="AQ239" i="13"/>
  <c r="AP239" i="13"/>
  <c r="AO239" i="13"/>
  <c r="AN231" i="13"/>
  <c r="AQ231" i="13"/>
  <c r="AP231" i="13"/>
  <c r="AN223" i="13"/>
  <c r="AQ223" i="13"/>
  <c r="AP223" i="13"/>
  <c r="AO223" i="13"/>
  <c r="AN215" i="13"/>
  <c r="AQ215" i="13"/>
  <c r="AP215" i="13"/>
  <c r="AN195" i="13"/>
  <c r="AQ195" i="13"/>
  <c r="AO195" i="13"/>
  <c r="AQ187" i="13"/>
  <c r="AP187" i="13"/>
  <c r="AN187" i="13"/>
  <c r="AQ179" i="13"/>
  <c r="AP179" i="13"/>
  <c r="AN179" i="13"/>
  <c r="AO171" i="13"/>
  <c r="AN171" i="13"/>
  <c r="AP171" i="13"/>
  <c r="AO163" i="13"/>
  <c r="AN163" i="13"/>
  <c r="AP163" i="13"/>
  <c r="AO155" i="13"/>
  <c r="AN155" i="13"/>
  <c r="AP155" i="13"/>
  <c r="AQ139" i="13"/>
  <c r="AP139" i="13"/>
  <c r="AO139" i="13"/>
  <c r="AN139" i="13"/>
  <c r="AQ131" i="13"/>
  <c r="AP131" i="13"/>
  <c r="AO131" i="13"/>
  <c r="AN131" i="13"/>
  <c r="AQ123" i="13"/>
  <c r="AP123" i="13"/>
  <c r="AO123" i="13"/>
  <c r="AN123" i="13"/>
  <c r="AQ115" i="13"/>
  <c r="AP115" i="13"/>
  <c r="AO115" i="13"/>
  <c r="AN115" i="13"/>
  <c r="AQ107" i="13"/>
  <c r="AP107" i="13"/>
  <c r="AO107" i="13"/>
  <c r="AN107" i="13"/>
  <c r="AQ99" i="13"/>
  <c r="AP99" i="13"/>
  <c r="AO99" i="13"/>
  <c r="AN99" i="13"/>
  <c r="AO91" i="13"/>
  <c r="AN91" i="13"/>
  <c r="AP91" i="13"/>
  <c r="AO83" i="13"/>
  <c r="AN83" i="13"/>
  <c r="AP83" i="13"/>
  <c r="AN10" i="13"/>
  <c r="AQ44" i="13"/>
  <c r="AQ42" i="13"/>
  <c r="AQ40" i="13"/>
  <c r="AQ38" i="13"/>
  <c r="AQ36" i="13"/>
  <c r="AQ34" i="13"/>
  <c r="AQ32" i="13"/>
  <c r="AQ30" i="13"/>
  <c r="AQ28" i="13"/>
  <c r="AQ26" i="13"/>
  <c r="AQ24" i="13"/>
  <c r="AQ22" i="13"/>
  <c r="AQ20" i="13"/>
  <c r="AQ18" i="13"/>
  <c r="AQ16" i="13"/>
  <c r="AQ14" i="13"/>
  <c r="AQ12" i="13"/>
  <c r="AN47" i="13"/>
  <c r="AN49" i="13"/>
  <c r="AN58" i="13"/>
  <c r="AN60" i="13"/>
  <c r="AN62" i="13"/>
  <c r="AN64" i="13"/>
  <c r="AN66" i="13"/>
  <c r="AN68" i="13"/>
  <c r="AN70" i="13"/>
  <c r="AN72" i="13"/>
  <c r="AN74" i="13"/>
  <c r="AN76" i="13"/>
  <c r="AN78" i="13"/>
  <c r="AO158" i="13"/>
  <c r="AQ181" i="13"/>
  <c r="AO215" i="13"/>
  <c r="AO240" i="13"/>
  <c r="AQ308" i="13"/>
  <c r="AN350" i="13"/>
  <c r="AQ350" i="13"/>
  <c r="AP350" i="13"/>
  <c r="AO350" i="13"/>
  <c r="AN342" i="13"/>
  <c r="AQ342" i="13"/>
  <c r="AO342" i="13"/>
  <c r="AN322" i="13"/>
  <c r="AQ322" i="13"/>
  <c r="AP322" i="13"/>
  <c r="AO322" i="13"/>
  <c r="AN314" i="13"/>
  <c r="AP314" i="13"/>
  <c r="AO314" i="13"/>
  <c r="AQ314" i="13"/>
  <c r="AQ298" i="13"/>
  <c r="AP298" i="13"/>
  <c r="AN298" i="13"/>
  <c r="AQ290" i="13"/>
  <c r="AP290" i="13"/>
  <c r="AO290" i="13"/>
  <c r="AN290" i="13"/>
  <c r="AN282" i="13"/>
  <c r="AO282" i="13"/>
  <c r="AP282" i="13"/>
  <c r="AN274" i="13"/>
  <c r="AQ274" i="13"/>
  <c r="AP274" i="13"/>
  <c r="AO274" i="13"/>
  <c r="AN266" i="13"/>
  <c r="AO266" i="13"/>
  <c r="AP266" i="13"/>
  <c r="AN258" i="13"/>
  <c r="AQ258" i="13"/>
  <c r="AP258" i="13"/>
  <c r="AO258" i="13"/>
  <c r="AQ246" i="13"/>
  <c r="AP246" i="13"/>
  <c r="AN246" i="13"/>
  <c r="AO246" i="13"/>
  <c r="AQ238" i="13"/>
  <c r="AP238" i="13"/>
  <c r="AO238" i="13"/>
  <c r="AN238" i="13"/>
  <c r="AQ230" i="13"/>
  <c r="AP230" i="13"/>
  <c r="AN230" i="13"/>
  <c r="AO230" i="13"/>
  <c r="AQ222" i="13"/>
  <c r="AP222" i="13"/>
  <c r="AO222" i="13"/>
  <c r="AN222" i="13"/>
  <c r="AQ214" i="13"/>
  <c r="AP214" i="13"/>
  <c r="AN214" i="13"/>
  <c r="AO214" i="13"/>
  <c r="AQ194" i="13"/>
  <c r="AP194" i="13"/>
  <c r="AO194" i="13"/>
  <c r="AN194" i="13"/>
  <c r="AQ186" i="13"/>
  <c r="AP186" i="13"/>
  <c r="AO186" i="13"/>
  <c r="AN186" i="13"/>
  <c r="AQ178" i="13"/>
  <c r="AP178" i="13"/>
  <c r="AO178" i="13"/>
  <c r="AN178" i="13"/>
  <c r="AQ170" i="13"/>
  <c r="AP170" i="13"/>
  <c r="AO170" i="13"/>
  <c r="AN170" i="13"/>
  <c r="AQ162" i="13"/>
  <c r="AP162" i="13"/>
  <c r="AO162" i="13"/>
  <c r="AN162" i="13"/>
  <c r="AQ154" i="13"/>
  <c r="AP154" i="13"/>
  <c r="AO154" i="13"/>
  <c r="AN154" i="13"/>
  <c r="AO138" i="13"/>
  <c r="AN138" i="13"/>
  <c r="AP138" i="13"/>
  <c r="AO130" i="13"/>
  <c r="AN130" i="13"/>
  <c r="AP130" i="13"/>
  <c r="AO122" i="13"/>
  <c r="AN122" i="13"/>
  <c r="AP122" i="13"/>
  <c r="AO114" i="13"/>
  <c r="AN114" i="13"/>
  <c r="AP114" i="13"/>
  <c r="AO106" i="13"/>
  <c r="AN106" i="13"/>
  <c r="AP106" i="13"/>
  <c r="AQ90" i="13"/>
  <c r="AP90" i="13"/>
  <c r="AO90" i="13"/>
  <c r="AN90" i="13"/>
  <c r="AQ82" i="13"/>
  <c r="AP82" i="13"/>
  <c r="AO82" i="13"/>
  <c r="AN82" i="13"/>
  <c r="AO10" i="13"/>
  <c r="AP44" i="13"/>
  <c r="AP42" i="13"/>
  <c r="AP40" i="13"/>
  <c r="AP38" i="13"/>
  <c r="AP36" i="13"/>
  <c r="AP34" i="13"/>
  <c r="AP32" i="13"/>
  <c r="AP30" i="13"/>
  <c r="AP28" i="13"/>
  <c r="AP26" i="13"/>
  <c r="AP24" i="13"/>
  <c r="AP22" i="13"/>
  <c r="AP20" i="13"/>
  <c r="AP18" i="13"/>
  <c r="AP16" i="13"/>
  <c r="AP14" i="13"/>
  <c r="AP12" i="13"/>
  <c r="AO47" i="13"/>
  <c r="AO49" i="13"/>
  <c r="AO58" i="13"/>
  <c r="AO60" i="13"/>
  <c r="AO62" i="13"/>
  <c r="AO64" i="13"/>
  <c r="AO66" i="13"/>
  <c r="AO68" i="13"/>
  <c r="AO70" i="13"/>
  <c r="AO72" i="13"/>
  <c r="AO74" i="13"/>
  <c r="AO76" i="13"/>
  <c r="AO78" i="13"/>
  <c r="AQ83" i="13"/>
  <c r="AQ106" i="13"/>
  <c r="AQ122" i="13"/>
  <c r="AQ138" i="13"/>
  <c r="AN218" i="13"/>
  <c r="AP276" i="13"/>
  <c r="AO345" i="13"/>
  <c r="AQ349" i="13"/>
  <c r="AP349" i="13"/>
  <c r="AO349" i="13"/>
  <c r="AN349" i="13"/>
  <c r="AQ341" i="13"/>
  <c r="AP341" i="13"/>
  <c r="AO341" i="13"/>
  <c r="AN341" i="13"/>
  <c r="AQ321" i="13"/>
  <c r="AP321" i="13"/>
  <c r="AN321" i="13"/>
  <c r="AQ313" i="13"/>
  <c r="AP313" i="13"/>
  <c r="AO313" i="13"/>
  <c r="AN313" i="13"/>
  <c r="AN297" i="13"/>
  <c r="AQ297" i="13"/>
  <c r="AP297" i="13"/>
  <c r="AO297" i="13"/>
  <c r="AQ281" i="13"/>
  <c r="AP281" i="13"/>
  <c r="AO281" i="13"/>
  <c r="AN281" i="13"/>
  <c r="AQ273" i="13"/>
  <c r="AP273" i="13"/>
  <c r="AO273" i="13"/>
  <c r="AQ265" i="13"/>
  <c r="AP265" i="13"/>
  <c r="AO265" i="13"/>
  <c r="AN265" i="13"/>
  <c r="AQ257" i="13"/>
  <c r="AP257" i="13"/>
  <c r="AO257" i="13"/>
  <c r="AN245" i="13"/>
  <c r="AQ245" i="13"/>
  <c r="AP245" i="13"/>
  <c r="AO245" i="13"/>
  <c r="AN237" i="13"/>
  <c r="AQ237" i="13"/>
  <c r="AO237" i="13"/>
  <c r="AN229" i="13"/>
  <c r="AQ229" i="13"/>
  <c r="AP229" i="13"/>
  <c r="AO229" i="13"/>
  <c r="AN221" i="13"/>
  <c r="AQ221" i="13"/>
  <c r="AO221" i="13"/>
  <c r="AN213" i="13"/>
  <c r="AQ213" i="13"/>
  <c r="AP213" i="13"/>
  <c r="AO213" i="13"/>
  <c r="AQ193" i="13"/>
  <c r="AP193" i="13"/>
  <c r="AO193" i="13"/>
  <c r="AN193" i="13"/>
  <c r="AQ185" i="13"/>
  <c r="AP185" i="13"/>
  <c r="AO185" i="13"/>
  <c r="AN185" i="13"/>
  <c r="AQ177" i="13"/>
  <c r="AP177" i="13"/>
  <c r="AO177" i="13"/>
  <c r="AN177" i="13"/>
  <c r="AQ169" i="13"/>
  <c r="AP169" i="13"/>
  <c r="AN169" i="13"/>
  <c r="AQ161" i="13"/>
  <c r="AP161" i="13"/>
  <c r="AN161" i="13"/>
  <c r="AQ153" i="13"/>
  <c r="AP153" i="13"/>
  <c r="AN153" i="13"/>
  <c r="AQ137" i="13"/>
  <c r="AP137" i="13"/>
  <c r="AO137" i="13"/>
  <c r="AN137" i="13"/>
  <c r="AQ129" i="13"/>
  <c r="AP129" i="13"/>
  <c r="AO129" i="13"/>
  <c r="AN129" i="13"/>
  <c r="AQ121" i="13"/>
  <c r="AP121" i="13"/>
  <c r="AO121" i="13"/>
  <c r="AN121" i="13"/>
  <c r="AQ113" i="13"/>
  <c r="AP113" i="13"/>
  <c r="AO113" i="13"/>
  <c r="AN113" i="13"/>
  <c r="AQ105" i="13"/>
  <c r="AP105" i="13"/>
  <c r="AO105" i="13"/>
  <c r="AN105" i="13"/>
  <c r="AO89" i="13"/>
  <c r="AN89" i="13"/>
  <c r="AP89" i="13"/>
  <c r="AO81" i="13"/>
  <c r="AN81" i="13"/>
  <c r="AP81" i="13"/>
  <c r="AP10" i="13"/>
  <c r="AO44" i="13"/>
  <c r="AO42" i="13"/>
  <c r="AO40" i="13"/>
  <c r="AO38" i="13"/>
  <c r="AO36" i="13"/>
  <c r="AO34" i="13"/>
  <c r="AO32" i="13"/>
  <c r="AO30" i="13"/>
  <c r="AO28" i="13"/>
  <c r="AO26" i="13"/>
  <c r="AO24" i="13"/>
  <c r="AO22" i="13"/>
  <c r="AO20" i="13"/>
  <c r="AO18" i="13"/>
  <c r="AO16" i="13"/>
  <c r="AO14" i="13"/>
  <c r="AO12" i="13"/>
  <c r="AP47" i="13"/>
  <c r="AP49" i="13"/>
  <c r="AP58" i="13"/>
  <c r="AP60" i="13"/>
  <c r="AP62" i="13"/>
  <c r="AP64" i="13"/>
  <c r="AP66" i="13"/>
  <c r="AP68" i="13"/>
  <c r="AP70" i="13"/>
  <c r="AP72" i="13"/>
  <c r="AP74" i="13"/>
  <c r="AP76" i="13"/>
  <c r="AP78" i="13"/>
  <c r="AQ85" i="13"/>
  <c r="AQ108" i="13"/>
  <c r="AQ124" i="13"/>
  <c r="AQ140" i="13"/>
  <c r="AQ163" i="13"/>
  <c r="AO187" i="13"/>
  <c r="AP221" i="13"/>
  <c r="AO248" i="13"/>
  <c r="AN315" i="13"/>
  <c r="AQ360" i="13"/>
  <c r="AP360" i="13"/>
  <c r="AO360" i="13"/>
  <c r="AN360" i="13"/>
  <c r="AN348" i="13"/>
  <c r="AO348" i="13"/>
  <c r="AP348" i="13"/>
  <c r="AN340" i="13"/>
  <c r="AQ340" i="13"/>
  <c r="AP340" i="13"/>
  <c r="AO340" i="13"/>
  <c r="AN320" i="13"/>
  <c r="AQ320" i="13"/>
  <c r="AP320" i="13"/>
  <c r="AO320" i="13"/>
  <c r="AN312" i="13"/>
  <c r="AQ312" i="13"/>
  <c r="AP312" i="13"/>
  <c r="AQ296" i="13"/>
  <c r="AP296" i="13"/>
  <c r="AO296" i="13"/>
  <c r="AN296" i="13"/>
  <c r="AN280" i="13"/>
  <c r="AQ280" i="13"/>
  <c r="AP280" i="13"/>
  <c r="AO280" i="13"/>
  <c r="AN272" i="13"/>
  <c r="AP272" i="13"/>
  <c r="AO272" i="13"/>
  <c r="AQ272" i="13"/>
  <c r="AN264" i="13"/>
  <c r="AQ264" i="13"/>
  <c r="AP264" i="13"/>
  <c r="AO264" i="13"/>
  <c r="AQ244" i="13"/>
  <c r="AP244" i="13"/>
  <c r="AO244" i="13"/>
  <c r="AN244" i="13"/>
  <c r="AQ236" i="13"/>
  <c r="AP236" i="13"/>
  <c r="AO236" i="13"/>
  <c r="AN236" i="13"/>
  <c r="AQ228" i="13"/>
  <c r="AP228" i="13"/>
  <c r="AO228" i="13"/>
  <c r="AN228" i="13"/>
  <c r="AQ220" i="13"/>
  <c r="AP220" i="13"/>
  <c r="AO220" i="13"/>
  <c r="AN220" i="13"/>
  <c r="AQ212" i="13"/>
  <c r="AP212" i="13"/>
  <c r="AO212" i="13"/>
  <c r="AN212" i="13"/>
  <c r="AQ192" i="13"/>
  <c r="AP192" i="13"/>
  <c r="AN192" i="13"/>
  <c r="AQ184" i="13"/>
  <c r="AP184" i="13"/>
  <c r="AN184" i="13"/>
  <c r="AQ176" i="13"/>
  <c r="AP176" i="13"/>
  <c r="AN176" i="13"/>
  <c r="AQ168" i="13"/>
  <c r="AP168" i="13"/>
  <c r="AO168" i="13"/>
  <c r="AN168" i="13"/>
  <c r="AQ160" i="13"/>
  <c r="AP160" i="13"/>
  <c r="AO160" i="13"/>
  <c r="AN160" i="13"/>
  <c r="AQ152" i="13"/>
  <c r="AP152" i="13"/>
  <c r="AO152" i="13"/>
  <c r="AN152" i="13"/>
  <c r="AO136" i="13"/>
  <c r="AN136" i="13"/>
  <c r="AP136" i="13"/>
  <c r="AO128" i="13"/>
  <c r="AN128" i="13"/>
  <c r="AP128" i="13"/>
  <c r="AO120" i="13"/>
  <c r="AN120" i="13"/>
  <c r="AP120" i="13"/>
  <c r="AO112" i="13"/>
  <c r="AN112" i="13"/>
  <c r="AP112" i="13"/>
  <c r="AO104" i="13"/>
  <c r="AN104" i="13"/>
  <c r="AP104" i="13"/>
  <c r="AQ88" i="13"/>
  <c r="AP88" i="13"/>
  <c r="AO88" i="13"/>
  <c r="AN88" i="13"/>
  <c r="AQ110" i="13"/>
  <c r="AQ126" i="13"/>
  <c r="AQ142" i="13"/>
  <c r="AO166" i="13"/>
  <c r="AQ189" i="13"/>
  <c r="AO224" i="13"/>
  <c r="AN257" i="13"/>
  <c r="AQ282" i="13"/>
  <c r="AP318" i="13"/>
  <c r="AO352" i="13"/>
  <c r="AN359" i="13"/>
  <c r="AQ359" i="13"/>
  <c r="AP359" i="13"/>
  <c r="AO359" i="13"/>
  <c r="AQ347" i="13"/>
  <c r="AP347" i="13"/>
  <c r="AO347" i="13"/>
  <c r="AN347" i="13"/>
  <c r="AQ339" i="13"/>
  <c r="AP339" i="13"/>
  <c r="AO339" i="13"/>
  <c r="AN327" i="13"/>
  <c r="AQ327" i="13"/>
  <c r="AP327" i="13"/>
  <c r="AO327" i="13"/>
  <c r="AQ319" i="13"/>
  <c r="AP319" i="13"/>
  <c r="AO319" i="13"/>
  <c r="AN319" i="13"/>
  <c r="AQ311" i="13"/>
  <c r="AP311" i="13"/>
  <c r="AN311" i="13"/>
  <c r="AO311" i="13"/>
  <c r="AN295" i="13"/>
  <c r="AQ295" i="13"/>
  <c r="AO295" i="13"/>
  <c r="AQ279" i="13"/>
  <c r="AP279" i="13"/>
  <c r="AN279" i="13"/>
  <c r="AQ271" i="13"/>
  <c r="AP271" i="13"/>
  <c r="AO271" i="13"/>
  <c r="AN271" i="13"/>
  <c r="AQ263" i="13"/>
  <c r="AP263" i="13"/>
  <c r="AN263" i="13"/>
  <c r="AN243" i="13"/>
  <c r="AO243" i="13"/>
  <c r="AP243" i="13"/>
  <c r="AN235" i="13"/>
  <c r="AQ235" i="13"/>
  <c r="AP235" i="13"/>
  <c r="AO235" i="13"/>
  <c r="AN227" i="13"/>
  <c r="AO227" i="13"/>
  <c r="AP227" i="13"/>
  <c r="AN219" i="13"/>
  <c r="AQ219" i="13"/>
  <c r="AP219" i="13"/>
  <c r="AO219" i="13"/>
  <c r="AN211" i="13"/>
  <c r="AO211" i="13"/>
  <c r="AP211" i="13"/>
  <c r="AQ191" i="13"/>
  <c r="AP191" i="13"/>
  <c r="AO191" i="13"/>
  <c r="AN191" i="13"/>
  <c r="AQ183" i="13"/>
  <c r="AP183" i="13"/>
  <c r="AO183" i="13"/>
  <c r="AN183" i="13"/>
  <c r="AQ175" i="13"/>
  <c r="AP175" i="13"/>
  <c r="AO175" i="13"/>
  <c r="AN175" i="13"/>
  <c r="AQ167" i="13"/>
  <c r="AP167" i="13"/>
  <c r="AO167" i="13"/>
  <c r="AN167" i="13"/>
  <c r="AQ159" i="13"/>
  <c r="AP159" i="13"/>
  <c r="AO159" i="13"/>
  <c r="AN159" i="13"/>
  <c r="AQ151" i="13"/>
  <c r="AP151" i="13"/>
  <c r="AO151" i="13"/>
  <c r="AN151" i="13"/>
  <c r="AQ135" i="13"/>
  <c r="AP135" i="13"/>
  <c r="AO135" i="13"/>
  <c r="AN135" i="13"/>
  <c r="AQ127" i="13"/>
  <c r="AP127" i="13"/>
  <c r="AO127" i="13"/>
  <c r="AN127" i="13"/>
  <c r="AQ119" i="13"/>
  <c r="AP119" i="13"/>
  <c r="AO119" i="13"/>
  <c r="AN119" i="13"/>
  <c r="AQ111" i="13"/>
  <c r="AP111" i="13"/>
  <c r="AO111" i="13"/>
  <c r="AN111" i="13"/>
  <c r="AQ103" i="13"/>
  <c r="AP103" i="13"/>
  <c r="AO103" i="13"/>
  <c r="AN103" i="13"/>
  <c r="AO87" i="13"/>
  <c r="AN87" i="13"/>
  <c r="AP87" i="13"/>
  <c r="AQ89" i="13"/>
  <c r="AQ112" i="13"/>
  <c r="AQ128" i="13"/>
  <c r="AQ148" i="13"/>
  <c r="AO169" i="13"/>
  <c r="AO192" i="13"/>
  <c r="AQ227" i="13"/>
  <c r="AP260" i="13"/>
  <c r="AO286" i="13"/>
  <c r="AO321" i="13"/>
  <c r="AN358" i="13"/>
</calcChain>
</file>

<file path=xl/comments1.xml><?xml version="1.0" encoding="utf-8"?>
<comments xmlns="http://schemas.openxmlformats.org/spreadsheetml/2006/main">
  <authors>
    <author>Lucrecia</author>
  </authors>
  <commentList>
    <comment ref="C1" authorId="0" shapeId="0">
      <text>
        <r>
          <rPr>
            <b/>
            <sz val="9"/>
            <color indexed="81"/>
            <rFont val="Tahoma"/>
            <family val="2"/>
          </rPr>
          <t>Lucrecia:</t>
        </r>
        <r>
          <rPr>
            <sz val="9"/>
            <color indexed="81"/>
            <rFont val="Tahoma"/>
            <family val="2"/>
          </rPr>
          <t xml:space="preserve">
Si están en rojo es porque ya los cargué al FCCS_template.
Si están en  fucsia es porque el fuelbed ya está cargado.</t>
        </r>
      </text>
    </comment>
  </commentList>
</comments>
</file>

<file path=xl/sharedStrings.xml><?xml version="1.0" encoding="utf-8"?>
<sst xmlns="http://schemas.openxmlformats.org/spreadsheetml/2006/main" count="6776" uniqueCount="691">
  <si>
    <t>Biome</t>
  </si>
  <si>
    <t>LandCover</t>
  </si>
  <si>
    <t>14 - Mangroves</t>
  </si>
  <si>
    <t>8 - Temp. Grasslands, Savannas and Shrublands</t>
  </si>
  <si>
    <t>7 - Trop/Sub Grasslands, Savannas and Shrublands</t>
  </si>
  <si>
    <t>4 - Temp. Broadleaf and Mixed Forest</t>
  </si>
  <si>
    <t>1 - Trop/Sub Moist Broadleaf Forest</t>
  </si>
  <si>
    <t>2 - Trop/Sub Dry Broadleaf Forest</t>
  </si>
  <si>
    <t>120 - Mosaic grasses/trees-shrubs</t>
  </si>
  <si>
    <t>110 - Mosaic trees-shrubs/grasses</t>
  </si>
  <si>
    <t>130 - Shrubs</t>
  </si>
  <si>
    <t>160 - Trees regularly flooded (fresh water)</t>
  </si>
  <si>
    <t>170 - Trees-shrubs permanently flooded (saline water)</t>
  </si>
  <si>
    <t>180 - Shrubs-grasses regularly flooded</t>
  </si>
  <si>
    <t>140 - Grasses</t>
  </si>
  <si>
    <t>150 - Sparse vegetation</t>
  </si>
  <si>
    <t>61 - Broadleaf deciduous trees</t>
  </si>
  <si>
    <t>40 - Broadleaf evergreen or semidec. trees</t>
  </si>
  <si>
    <t>Tree Cover (%)</t>
  </si>
  <si>
    <t>T_Ladder</t>
  </si>
  <si>
    <t>T_LadderType</t>
  </si>
  <si>
    <t>Shrub Cover (%)</t>
  </si>
  <si>
    <t>S_Live (%)</t>
  </si>
  <si>
    <t>S_SppNum</t>
  </si>
  <si>
    <t>S_SppName</t>
  </si>
  <si>
    <t>Grass Cover (%)</t>
  </si>
  <si>
    <t>S_RelCover (%)</t>
  </si>
  <si>
    <t>G_live (%)</t>
  </si>
  <si>
    <t>G_SppNum</t>
  </si>
  <si>
    <t>G_SppName</t>
  </si>
  <si>
    <t>G_RelCov (%)</t>
  </si>
  <si>
    <t>Woody Cover (%)</t>
  </si>
  <si>
    <t>W_SppNum</t>
  </si>
  <si>
    <t>W_SppName</t>
  </si>
  <si>
    <t>W_RelCov (%)</t>
  </si>
  <si>
    <t>- Canopy:</t>
  </si>
  <si>
    <t>- Shrubs:</t>
  </si>
  <si>
    <t>- Nonwoody fuels:</t>
  </si>
  <si>
    <t>- Woody fuels:</t>
  </si>
  <si>
    <t>- Ground fuels:</t>
  </si>
  <si>
    <t>COMMENTS ON THE TABLE</t>
  </si>
  <si>
    <t>The pages included in this file are:</t>
  </si>
  <si>
    <t>FUELBED</t>
  </si>
  <si>
    <t>L_SNP_RelCov (%)</t>
  </si>
  <si>
    <t>L_LNP_RelCov (%)</t>
  </si>
  <si>
    <t>L_OC_RelCov (%)</t>
  </si>
  <si>
    <t>L_BD_RelCov (%)</t>
  </si>
  <si>
    <t>L_BE_RelCov (%)</t>
  </si>
  <si>
    <t>L_PF_RelCov (%)</t>
  </si>
  <si>
    <t>L_G_RelCov (%)</t>
  </si>
  <si>
    <t>3. Fuelbeds_metric: It contains all the fuelbeds, with their assigned variables, and with metric units.</t>
  </si>
  <si>
    <t>1. Comments: this page, that includes important information to understand the data.</t>
  </si>
  <si>
    <t>Definition of each column in the following pages.</t>
  </si>
  <si>
    <t>VARIABLE</t>
  </si>
  <si>
    <t>DEFINITION</t>
  </si>
  <si>
    <t>UNITS IN METRIC SYSTEM</t>
  </si>
  <si>
    <t>UNITS IN ENGLISH SYSTEM</t>
  </si>
  <si>
    <t>Number of the Fuelbed</t>
  </si>
  <si>
    <t>Corresponding Olson Biome</t>
  </si>
  <si>
    <t>Corresponding GlobCover landcover</t>
  </si>
  <si>
    <t>%</t>
  </si>
  <si>
    <t>Overstory tree height</t>
  </si>
  <si>
    <t>m</t>
  </si>
  <si>
    <t>ft</t>
  </si>
  <si>
    <t>Overstory height to live crown</t>
  </si>
  <si>
    <t>Overstory tree density</t>
  </si>
  <si>
    <t>Overstory diameter at breast height</t>
  </si>
  <si>
    <t>cm</t>
  </si>
  <si>
    <t>Overstory species relative cover</t>
  </si>
  <si>
    <t>Ladder fuel type</t>
  </si>
  <si>
    <t>Primary shrub, percent cover</t>
  </si>
  <si>
    <t>Primary shrub, height</t>
  </si>
  <si>
    <t>Primary shrub, percent live</t>
  </si>
  <si>
    <t>Primary shrub species relative cover</t>
  </si>
  <si>
    <t>Primary nonwoody, percent cover</t>
  </si>
  <si>
    <t>Primary nonwoody, height</t>
  </si>
  <si>
    <t>Primary nonwoody, percent live</t>
  </si>
  <si>
    <t>Primary nonwoody species relative cover</t>
  </si>
  <si>
    <t>Primary nonwoody load</t>
  </si>
  <si>
    <t>ton/acre</t>
  </si>
  <si>
    <t>All downed wood, percent cover</t>
  </si>
  <si>
    <t>All downed wood, depth</t>
  </si>
  <si>
    <t>in</t>
  </si>
  <si>
    <t>Sound wood, 1hr load</t>
  </si>
  <si>
    <t>Sound wood, 10hr load</t>
  </si>
  <si>
    <t>Sound wood, 100hr load</t>
  </si>
  <si>
    <t>Sound wood, 1000hr load</t>
  </si>
  <si>
    <t>Sound wood, species relative cover</t>
  </si>
  <si>
    <t>Litter, percent cover</t>
  </si>
  <si>
    <t>Litter depth</t>
  </si>
  <si>
    <t>Litter, short needle pine, relative cover</t>
  </si>
  <si>
    <t>Litter, long needle pine, relative cover</t>
  </si>
  <si>
    <t>Litter, other conifer, relative cover</t>
  </si>
  <si>
    <t>Litter, broadleaf deciduous, relative cover</t>
  </si>
  <si>
    <t>Litter, broadleaf evergreen, relative cover</t>
  </si>
  <si>
    <t>Litter, palm frond, relative cover</t>
  </si>
  <si>
    <t>Litter, grass, relative cover</t>
  </si>
  <si>
    <t xml:space="preserve">L_G_RelCov </t>
  </si>
  <si>
    <t xml:space="preserve">L_PF_RelCov </t>
  </si>
  <si>
    <t>L_BE_RelCov</t>
  </si>
  <si>
    <t xml:space="preserve">L_BD_RelCov </t>
  </si>
  <si>
    <t xml:space="preserve">L_OC_RelCov </t>
  </si>
  <si>
    <t>L_LNP_RelCov</t>
  </si>
  <si>
    <t xml:space="preserve">L_SNP_RelCov </t>
  </si>
  <si>
    <t xml:space="preserve">L_depth </t>
  </si>
  <si>
    <t xml:space="preserve">W_RelCov </t>
  </si>
  <si>
    <t xml:space="preserve">W_1000h Load </t>
  </si>
  <si>
    <t xml:space="preserve">W_100h Load </t>
  </si>
  <si>
    <t xml:space="preserve">W_10h Load </t>
  </si>
  <si>
    <t xml:space="preserve">W_1hLoad </t>
  </si>
  <si>
    <t xml:space="preserve">W_depth </t>
  </si>
  <si>
    <t xml:space="preserve">Woody Cover </t>
  </si>
  <si>
    <t xml:space="preserve">G_RelCov </t>
  </si>
  <si>
    <t xml:space="preserve">G_Load </t>
  </si>
  <si>
    <t xml:space="preserve">G_live </t>
  </si>
  <si>
    <t xml:space="preserve">G_height </t>
  </si>
  <si>
    <t xml:space="preserve">Grass Cover </t>
  </si>
  <si>
    <t xml:space="preserve">S_RelCover </t>
  </si>
  <si>
    <t xml:space="preserve">S_Live </t>
  </si>
  <si>
    <t xml:space="preserve">S_Height </t>
  </si>
  <si>
    <t xml:space="preserve">Shrub Cover </t>
  </si>
  <si>
    <t>#/ha</t>
  </si>
  <si>
    <t>#/acre</t>
  </si>
  <si>
    <t xml:space="preserve">Tree Cover </t>
  </si>
  <si>
    <t>When negative values appear, they mean:</t>
  </si>
  <si>
    <t>W_depth (in)</t>
  </si>
  <si>
    <t>L_depth (in)</t>
  </si>
  <si>
    <t>S_Height (ft)</t>
  </si>
  <si>
    <t>G_height (ft)</t>
  </si>
  <si>
    <t>G_Load (T/acre)</t>
  </si>
  <si>
    <t>W_1hLoad (T/acre)</t>
  </si>
  <si>
    <t>W_10h Load (T/acre)</t>
  </si>
  <si>
    <t>W_100h Load (T/acre)</t>
  </si>
  <si>
    <t>W_1000h Load (T/acre)</t>
  </si>
  <si>
    <t>100 - Mixed broadleaf and needleleaf trees</t>
  </si>
  <si>
    <t>Rhizophora mangle</t>
  </si>
  <si>
    <t>Conocarpus erectus</t>
  </si>
  <si>
    <t>Bursera simaruba</t>
  </si>
  <si>
    <t>Arboreal lichens &amp; moss</t>
  </si>
  <si>
    <t>Dead branches</t>
  </si>
  <si>
    <t>Climbing ferns &amp; other epiphytes</t>
  </si>
  <si>
    <t>Stringy or fuzzy bark</t>
  </si>
  <si>
    <t>Vines - liana</t>
  </si>
  <si>
    <t>Leaning snags</t>
  </si>
  <si>
    <t>Tree regeneration</t>
  </si>
  <si>
    <t>Canopy vertical continuity</t>
  </si>
  <si>
    <t>Canopy ladder type</t>
  </si>
  <si>
    <t>Acacia spp.</t>
  </si>
  <si>
    <t>Andropogon spp.</t>
  </si>
  <si>
    <t>Mg/ha</t>
  </si>
  <si>
    <t>Conversion factors</t>
  </si>
  <si>
    <t>1 in = 2.54 cm</t>
  </si>
  <si>
    <t>Larrea tridentata</t>
  </si>
  <si>
    <t>1 ft = 0.3048 m</t>
  </si>
  <si>
    <t>1 #/acre = 2.471 #/ha</t>
  </si>
  <si>
    <t>Lithocarpus densiflorus</t>
  </si>
  <si>
    <t>50/50</t>
  </si>
  <si>
    <t>Salix spp.</t>
  </si>
  <si>
    <t>Quercus spp.</t>
  </si>
  <si>
    <t>Assumptions:</t>
  </si>
  <si>
    <t>Ficus aurea</t>
  </si>
  <si>
    <t>Vaccinium spp.</t>
  </si>
  <si>
    <t>2. The "Is needle drape sufficient to affect fire behavior" option was set to NO by default.</t>
  </si>
  <si>
    <t>13 - Desert and Xeric Shrublands</t>
  </si>
  <si>
    <t>2. Definitions: Definition of each fuelbed variable, units and conversion factors.</t>
  </si>
  <si>
    <t>TO_Cover (%)</t>
  </si>
  <si>
    <t>TO_SppNum</t>
  </si>
  <si>
    <t>TO_SppName</t>
  </si>
  <si>
    <t>TO_RelCover (%)</t>
  </si>
  <si>
    <t>TM_Cover (%)</t>
  </si>
  <si>
    <t>TM_SppNum</t>
  </si>
  <si>
    <t>TM_SppName</t>
  </si>
  <si>
    <t>TM_RelCover (%)</t>
  </si>
  <si>
    <t>TO_Cover</t>
  </si>
  <si>
    <t xml:space="preserve">Total percent cover of the tree stratum </t>
  </si>
  <si>
    <t>Overstory tree stratum percent cover</t>
  </si>
  <si>
    <t xml:space="preserve">TO_Height </t>
  </si>
  <si>
    <t xml:space="preserve">TO_HLC </t>
  </si>
  <si>
    <t xml:space="preserve">TO_Density </t>
  </si>
  <si>
    <t xml:space="preserve">TO_DBH </t>
  </si>
  <si>
    <t xml:space="preserve">TO_RelCover </t>
  </si>
  <si>
    <t>TM_Cover</t>
  </si>
  <si>
    <t xml:space="preserve">TM_Height </t>
  </si>
  <si>
    <t xml:space="preserve">TM_HLC </t>
  </si>
  <si>
    <t xml:space="preserve">TM_Density </t>
  </si>
  <si>
    <t xml:space="preserve">TM_DBH </t>
  </si>
  <si>
    <t xml:space="preserve">TM_RelCover </t>
  </si>
  <si>
    <t>Midstory tree stratum percent cover</t>
  </si>
  <si>
    <t>Midstory tree height</t>
  </si>
  <si>
    <t>Midstory height to live crown</t>
  </si>
  <si>
    <t>Midstory tree density</t>
  </si>
  <si>
    <t>Midstory diameter at breast height</t>
  </si>
  <si>
    <t>Midstory species relative cover</t>
  </si>
  <si>
    <t xml:space="preserve">4. No Snag data were input. </t>
  </si>
  <si>
    <t>TO_Height (ft)</t>
  </si>
  <si>
    <t>TO_HLC (ft)</t>
  </si>
  <si>
    <t>TO_Density (#/acre)</t>
  </si>
  <si>
    <t>TO_DBH (in)</t>
  </si>
  <si>
    <t>TM_Height (ft)</t>
  </si>
  <si>
    <t>TM_HLC (ft)</t>
  </si>
  <si>
    <t>TM_Density (#/acre)</t>
  </si>
  <si>
    <t>TM_DBH (in)</t>
  </si>
  <si>
    <t>5 - Temp. Coniferous Forest</t>
  </si>
  <si>
    <t>3 - Trop/Sub. Coniferous Forest</t>
  </si>
  <si>
    <t>6 - Boreal Forest/Taiga</t>
  </si>
  <si>
    <t>11 - Tundra</t>
  </si>
  <si>
    <t>Zea mays</t>
  </si>
  <si>
    <t>Triticum spp.</t>
  </si>
  <si>
    <t>Glycine max</t>
  </si>
  <si>
    <t>Oryza sativa</t>
  </si>
  <si>
    <t>1040a</t>
  </si>
  <si>
    <t>1040b</t>
  </si>
  <si>
    <t>1040c</t>
  </si>
  <si>
    <t>1061a</t>
  </si>
  <si>
    <t>1061b</t>
  </si>
  <si>
    <t>1061c</t>
  </si>
  <si>
    <t>1091a</t>
  </si>
  <si>
    <t>1091b</t>
  </si>
  <si>
    <t>1091c</t>
  </si>
  <si>
    <t>1110a</t>
  </si>
  <si>
    <t>1110b</t>
  </si>
  <si>
    <t>1160a</t>
  </si>
  <si>
    <t>1160b</t>
  </si>
  <si>
    <t>1160c</t>
  </si>
  <si>
    <t>2040a</t>
  </si>
  <si>
    <t>2040b</t>
  </si>
  <si>
    <t>2040c</t>
  </si>
  <si>
    <t>2061a</t>
  </si>
  <si>
    <t>2061b</t>
  </si>
  <si>
    <t>3040a</t>
  </si>
  <si>
    <t>3040b</t>
  </si>
  <si>
    <t>3040c</t>
  </si>
  <si>
    <t>3061a</t>
  </si>
  <si>
    <t>3061b</t>
  </si>
  <si>
    <t>3091a</t>
  </si>
  <si>
    <t>3091b</t>
  </si>
  <si>
    <t>4040a</t>
  </si>
  <si>
    <t>4040b</t>
  </si>
  <si>
    <t>4040c</t>
  </si>
  <si>
    <t>4043a</t>
  </si>
  <si>
    <t>4043b</t>
  </si>
  <si>
    <t>4043c</t>
  </si>
  <si>
    <t>4061a</t>
  </si>
  <si>
    <t>4061b</t>
  </si>
  <si>
    <t>4061c</t>
  </si>
  <si>
    <t>4091a</t>
  </si>
  <si>
    <t>4091b</t>
  </si>
  <si>
    <t>4091c</t>
  </si>
  <si>
    <t>4092a</t>
  </si>
  <si>
    <t>4092c</t>
  </si>
  <si>
    <t>4100a</t>
  </si>
  <si>
    <t>4100b</t>
  </si>
  <si>
    <t>4100c</t>
  </si>
  <si>
    <t>4110a</t>
  </si>
  <si>
    <t>4110b</t>
  </si>
  <si>
    <t>4112a</t>
  </si>
  <si>
    <t>4112b</t>
  </si>
  <si>
    <t>4120a</t>
  </si>
  <si>
    <t>4120b</t>
  </si>
  <si>
    <t>4122a</t>
  </si>
  <si>
    <t>4122b</t>
  </si>
  <si>
    <t>5061a</t>
  </si>
  <si>
    <t>5061b</t>
  </si>
  <si>
    <t>5061c</t>
  </si>
  <si>
    <t>5091a</t>
  </si>
  <si>
    <t>5091b</t>
  </si>
  <si>
    <t>5091c</t>
  </si>
  <si>
    <t>5092a</t>
  </si>
  <si>
    <t>5092b</t>
  </si>
  <si>
    <t>5100a</t>
  </si>
  <si>
    <t>5100b</t>
  </si>
  <si>
    <t>5100c</t>
  </si>
  <si>
    <t>5110a</t>
  </si>
  <si>
    <t>5110b</t>
  </si>
  <si>
    <t>6061a</t>
  </si>
  <si>
    <t>6061b</t>
  </si>
  <si>
    <t>6061c</t>
  </si>
  <si>
    <t>6091a</t>
  </si>
  <si>
    <t>6091b</t>
  </si>
  <si>
    <t>6091c</t>
  </si>
  <si>
    <t>6092a</t>
  </si>
  <si>
    <t>6092b</t>
  </si>
  <si>
    <t>6092c</t>
  </si>
  <si>
    <t>6100a</t>
  </si>
  <si>
    <t>6100b</t>
  </si>
  <si>
    <t>6100c</t>
  </si>
  <si>
    <t>6102a</t>
  </si>
  <si>
    <t>6102b</t>
  </si>
  <si>
    <t>6110a</t>
  </si>
  <si>
    <t>6110b</t>
  </si>
  <si>
    <t>6112a</t>
  </si>
  <si>
    <t>6112b</t>
  </si>
  <si>
    <t>6120a</t>
  </si>
  <si>
    <t>6120b</t>
  </si>
  <si>
    <t>6122a</t>
  </si>
  <si>
    <t>6122b</t>
  </si>
  <si>
    <t>7040a</t>
  </si>
  <si>
    <t>7040b</t>
  </si>
  <si>
    <t>7040c</t>
  </si>
  <si>
    <t>7043a</t>
  </si>
  <si>
    <t>7043b</t>
  </si>
  <si>
    <t>7061a</t>
  </si>
  <si>
    <t>7061b</t>
  </si>
  <si>
    <t>7061c</t>
  </si>
  <si>
    <t>7160a</t>
  </si>
  <si>
    <t>7160b</t>
  </si>
  <si>
    <t>8061a</t>
  </si>
  <si>
    <t>8061b</t>
  </si>
  <si>
    <t>8091a</t>
  </si>
  <si>
    <t>8091b</t>
  </si>
  <si>
    <t>8092a</t>
  </si>
  <si>
    <t>8092b</t>
  </si>
  <si>
    <t>8100a</t>
  </si>
  <si>
    <t>8100b</t>
  </si>
  <si>
    <t>8110a</t>
  </si>
  <si>
    <t>8110b</t>
  </si>
  <si>
    <t>11091a</t>
  </si>
  <si>
    <t>11091b</t>
  </si>
  <si>
    <t>11092a</t>
  </si>
  <si>
    <t>11092b</t>
  </si>
  <si>
    <t>12043a</t>
  </si>
  <si>
    <t>12043b</t>
  </si>
  <si>
    <t>12061a</t>
  </si>
  <si>
    <t>12061b</t>
  </si>
  <si>
    <t>12091a</t>
  </si>
  <si>
    <t>12091b</t>
  </si>
  <si>
    <t>14170a</t>
  </si>
  <si>
    <t>14170b</t>
  </si>
  <si>
    <t>14170c</t>
  </si>
  <si>
    <t>JOIN_VALUE</t>
  </si>
  <si>
    <t>N</t>
  </si>
  <si>
    <t>Salicornia spp.</t>
  </si>
  <si>
    <t>Moss_Type</t>
  </si>
  <si>
    <t>Lichen_Depth (in)</t>
  </si>
  <si>
    <t>Moss_Cover (%)</t>
  </si>
  <si>
    <t>Moss_Depth (in)</t>
  </si>
  <si>
    <t>Moss Type</t>
  </si>
  <si>
    <t>Sphagnum moss</t>
  </si>
  <si>
    <t>Litter arrangement</t>
  </si>
  <si>
    <t>Litter Arrangement</t>
  </si>
  <si>
    <t>Litter_Arr</t>
  </si>
  <si>
    <t>Upper  duff derivation</t>
  </si>
  <si>
    <t>Fully decomposed sphagnum moss or sedge</t>
  </si>
  <si>
    <t>Duff Types</t>
  </si>
  <si>
    <t>DU_Type</t>
  </si>
  <si>
    <t>DU_cover (%)</t>
  </si>
  <si>
    <t>DU_Depth (in)</t>
  </si>
  <si>
    <t>DL_Type</t>
  </si>
  <si>
    <t>DL_cover (%)</t>
  </si>
  <si>
    <t>DL_Depth (in)</t>
  </si>
  <si>
    <t>Lichen_Cover (%)</t>
  </si>
  <si>
    <t>12 - Mediterranean Forests, Woodlands and Scrub</t>
  </si>
  <si>
    <t>Betula spp.</t>
  </si>
  <si>
    <t>91 - Needleleaf evergreen trees</t>
  </si>
  <si>
    <t>92 - Needleleaf deciduous trees</t>
  </si>
  <si>
    <t>Picea spp.</t>
  </si>
  <si>
    <t>Calamagrostis spp.</t>
  </si>
  <si>
    <t>Betula nana</t>
  </si>
  <si>
    <t>Betula spp./Picea spp.</t>
  </si>
  <si>
    <t>19478/18033</t>
  </si>
  <si>
    <t>Vaccinium vitis-idaea</t>
  </si>
  <si>
    <t xml:space="preserve">Salix spp. </t>
  </si>
  <si>
    <t>Eriophorum vaginatum</t>
  </si>
  <si>
    <t>Calamagrostis canadensis</t>
  </si>
  <si>
    <t>Quercus berberidifolia</t>
  </si>
  <si>
    <t>Festuca spp.</t>
  </si>
  <si>
    <t>Pinus spp</t>
  </si>
  <si>
    <t>Carex spp</t>
  </si>
  <si>
    <t>Quercus coccifera</t>
  </si>
  <si>
    <t>Swietenia macrophylla</t>
  </si>
  <si>
    <t>Pinus spp.</t>
  </si>
  <si>
    <t>Persea spp.</t>
  </si>
  <si>
    <t>Quercus geminata</t>
  </si>
  <si>
    <t>Cladium jamaicense</t>
  </si>
  <si>
    <t>Annona glabra</t>
  </si>
  <si>
    <t>Dodonaea viscosa</t>
  </si>
  <si>
    <t>Zanthoxylum fagara</t>
  </si>
  <si>
    <t>28766/18035</t>
  </si>
  <si>
    <t>Bursera simaruba/Pinus spp.</t>
  </si>
  <si>
    <t>Juniperus spp.</t>
  </si>
  <si>
    <t>28766/18047</t>
  </si>
  <si>
    <t>Bursera simaruba/Juniperus spp.</t>
  </si>
  <si>
    <t>Aristida barbata</t>
  </si>
  <si>
    <t>Artemisia spp.</t>
  </si>
  <si>
    <t>Bouteloua spp.</t>
  </si>
  <si>
    <t>Abies spp.</t>
  </si>
  <si>
    <t>Pinus spp./Abies spp.</t>
  </si>
  <si>
    <t>18035/18031</t>
  </si>
  <si>
    <t>60/40</t>
  </si>
  <si>
    <t>Pinus spp./Betula spp.</t>
  </si>
  <si>
    <t>18035/19478</t>
  </si>
  <si>
    <t>Carex spp.</t>
  </si>
  <si>
    <t>Dasiphora floribunda</t>
  </si>
  <si>
    <t>Rhododendron spp</t>
  </si>
  <si>
    <t>Pteridium aquilinum/Carex spp.</t>
  </si>
  <si>
    <t>17224/39369</t>
  </si>
  <si>
    <t>Pinus spp./Quercus spp.</t>
  </si>
  <si>
    <t>18035/19276</t>
  </si>
  <si>
    <t>Larix laricina</t>
  </si>
  <si>
    <t>Larix laricina/Betula spp.</t>
  </si>
  <si>
    <t>183412/19478</t>
  </si>
  <si>
    <t>Eucalyptus globulus</t>
  </si>
  <si>
    <t>Rhododendron spp.</t>
  </si>
  <si>
    <t>123 - Mosaic grasses/trees-shrubs (Australia)</t>
  </si>
  <si>
    <t>43 - Broadleaf evergreen or semidec. Trees (Australia)</t>
  </si>
  <si>
    <t>133 - Shrubs (Australia)</t>
  </si>
  <si>
    <t>102 - Mixed broadleaf and needleleaf deciduous trees</t>
  </si>
  <si>
    <t>112 - Mosaic trees-shrubs/grasses (w/ND)</t>
  </si>
  <si>
    <t>113- Mosaic trees-shrubs/grasses (Australia)</t>
  </si>
  <si>
    <t>122 - Mosaic grasses/trees-shrubs (w/ND)</t>
  </si>
  <si>
    <t>10 - Crops: wheat, barley, sorgum</t>
  </si>
  <si>
    <t>11 - Crops: rice</t>
  </si>
  <si>
    <t>12 - Crops: maize</t>
  </si>
  <si>
    <t>13 - Crops: Soybean</t>
  </si>
  <si>
    <t>16 - Crops: beans</t>
  </si>
  <si>
    <t>Phaseolus vulgaris</t>
  </si>
  <si>
    <t>17 - Crops: tubers</t>
  </si>
  <si>
    <t>Solanum tuberosum</t>
  </si>
  <si>
    <t>18 - Crops: forage</t>
  </si>
  <si>
    <t>19 - Crops: sugarcane</t>
  </si>
  <si>
    <t>Poa pratensis</t>
  </si>
  <si>
    <t>Saccharum officinarum</t>
  </si>
  <si>
    <t>14 - Crops: millet</t>
  </si>
  <si>
    <t>Pennisetum setaceum</t>
  </si>
  <si>
    <t>15 - Crops: cotton</t>
  </si>
  <si>
    <t>Gossypium hirsutum</t>
  </si>
  <si>
    <t>21 - Mosaic Crops/Vegetation: rice</t>
  </si>
  <si>
    <t>20 - Mosaic Crops/Vegetation: wheat</t>
  </si>
  <si>
    <t>22 - Mosaic Crops/Vegetation: maize</t>
  </si>
  <si>
    <t>23 - Mosaic Crops/Vegetation: soybean</t>
  </si>
  <si>
    <t>26 - Mosaic Crops/Vegetation: beans</t>
  </si>
  <si>
    <t>27 - Mosaic Crops/Vegetation: tubers</t>
  </si>
  <si>
    <t>28 - Mosaic Crops/Vegetation: forage</t>
  </si>
  <si>
    <t>29 - Mosaic Crops/Vegetation: sugarcane</t>
  </si>
  <si>
    <t>29 - Mosaic Crops/Vegetation: sunflower</t>
  </si>
  <si>
    <t>Helianthus spp.</t>
  </si>
  <si>
    <t>24 - Mosaic Crops/Vegetation: millet</t>
  </si>
  <si>
    <t>25 - Mosaic Crops/Vegetation: cotton</t>
  </si>
  <si>
    <t>A1223</t>
  </si>
  <si>
    <t>F: FCCS fuelbed, existing in FCCS 3.0.</t>
  </si>
  <si>
    <t>Sources of the fuelbed inputs</t>
  </si>
  <si>
    <t>A1203</t>
  </si>
  <si>
    <t>A1201</t>
  </si>
  <si>
    <t>A1205</t>
  </si>
  <si>
    <t>A1242</t>
  </si>
  <si>
    <t>A1243</t>
  </si>
  <si>
    <t>A1262</t>
  </si>
  <si>
    <t>A1245</t>
  </si>
  <si>
    <t>19 - Crops: sunflower</t>
  </si>
  <si>
    <t>A1202</t>
  </si>
  <si>
    <t>F77</t>
  </si>
  <si>
    <t>F40, F280, F426</t>
  </si>
  <si>
    <t>F90, F110, F123, F129,  F186, F264, F266, F269, F274, F275, F283, F284, F317, F403, F404, F405, F408, F413, F429</t>
  </si>
  <si>
    <t>F30, F56, F60, F69, F115, F233, F234, F308, F309</t>
  </si>
  <si>
    <t>A1223, F30, F56, F60, F69, F115, F233, F234, F308, F309</t>
  </si>
  <si>
    <t>A1201, F30, F56, F60, F69, F115, F233, F234, F308, F309</t>
  </si>
  <si>
    <t>A1205, F30, F56, F60, F69, F115, F233, F234, F308, F309</t>
  </si>
  <si>
    <t>F63, F66, F131, F213, F235, F236, F280, F302, F315, F417, F436, F453</t>
  </si>
  <si>
    <t>F30, F56, F60, F69, F115, F233, F234, F308, F309, F63, F66, F131, F213, F235, F236, F280, F302, F315, F417, F436, F453</t>
  </si>
  <si>
    <t>A1223, F77</t>
  </si>
  <si>
    <t>31 - Mosaic Vegetation/Crops: rice</t>
  </si>
  <si>
    <t>30 - Mosaic Vegetation/Crops: wheat</t>
  </si>
  <si>
    <t>32 - Mosaic Vegetation/Crops: maize</t>
  </si>
  <si>
    <t>33 - Mosaic Vegetation/Crops: soybean</t>
  </si>
  <si>
    <t>36 - Mosaic Vegetation/Crops (Australia)</t>
  </si>
  <si>
    <t>36 - Mosaic Vegetation/Crops: beans</t>
  </si>
  <si>
    <t>37 - Mosaic Vegetation/Crops: tubers</t>
  </si>
  <si>
    <t>39 - Mosaic Vegetation/Crops: sugarcane</t>
  </si>
  <si>
    <t>39 - Mosaic Vegetation/Crops: sunflower</t>
  </si>
  <si>
    <t>38 - Mosaic Vegetation/Crops: forage</t>
  </si>
  <si>
    <t>35 - Mosaic Vegetation/Crops: cotton</t>
  </si>
  <si>
    <t>34 - Mosaic Vegetation/Crops: millet</t>
  </si>
  <si>
    <t>F106, F114, F138, F140, F146, F148, F155, F265, F270, F279, F282, F287, F455</t>
  </si>
  <si>
    <t>F115, F412</t>
  </si>
  <si>
    <t>F131, F420</t>
  </si>
  <si>
    <t>F115, F412, F131, F420</t>
  </si>
  <si>
    <t>F445</t>
  </si>
  <si>
    <t>A1223, F43</t>
  </si>
  <si>
    <t>A1201, F43</t>
  </si>
  <si>
    <t>A1202, F43</t>
  </si>
  <si>
    <t>A1243, F43</t>
  </si>
  <si>
    <t>F43</t>
  </si>
  <si>
    <t>F25, F26, F27, F54, F210, F211, F222, F228, F230</t>
  </si>
  <si>
    <t>F49, F307, F309, F311</t>
  </si>
  <si>
    <t>F236</t>
  </si>
  <si>
    <t>F78, F79, F80, F81, F83, F261, F262</t>
  </si>
  <si>
    <t>F203</t>
  </si>
  <si>
    <t>F79, F80, F81, F83, F261, F262</t>
  </si>
  <si>
    <t>A: Agricultural Fuelbeds, from French et al. (2013)</t>
  </si>
  <si>
    <t>M: Mexico Photoseries, from Morfín-Ríos et al. (2008)</t>
  </si>
  <si>
    <t>B: Brasil Photoseries, from Ottmar et al. (2001)</t>
  </si>
  <si>
    <t>M-BMS03, M-BMS05, M-BMS06, M-BMS07, M-BMS08, M-BMS09, M-BMS12</t>
  </si>
  <si>
    <t>A1223, M-SO04_SA, M-SO06-SAQ98, M-SO07-SMQ98</t>
  </si>
  <si>
    <t>A1203, M-SO04_SA, M-SO06-SAQ98, M-SO07-SMQ98</t>
  </si>
  <si>
    <t>A1205, M-SO04_SA, M-SO06-SAQ98, M-SO07-SMQ98</t>
  </si>
  <si>
    <t>A1242, M-SO04_SA, M-SO06-SAQ98, M-SO07-SMQ98</t>
  </si>
  <si>
    <t>A1243, M-SO04_SA, M-SO06-SAQ98, M-SO07-SMQ98</t>
  </si>
  <si>
    <t>A1201, M-SO04_SA, M-SO06-SAQ98, M-SO07-SMQ98</t>
  </si>
  <si>
    <t>A1262, M-SO04_SA, M-SO06-SAQ98, M-SO07-SMQ98</t>
  </si>
  <si>
    <t>A1245, M-SO04_SA, M-SO06-SAQ98, M-SO07-SMQ98</t>
  </si>
  <si>
    <t>F97, F99</t>
  </si>
  <si>
    <t>F97, F98</t>
  </si>
  <si>
    <t>F85, F86, F88, F89, F91, F101, F102</t>
  </si>
  <si>
    <t>1030a</t>
  </si>
  <si>
    <t>1030b</t>
  </si>
  <si>
    <t>1030c</t>
  </si>
  <si>
    <t>1031a</t>
  </si>
  <si>
    <t>1031b</t>
  </si>
  <si>
    <t>1031c</t>
  </si>
  <si>
    <t>1032a</t>
  </si>
  <si>
    <t>1032b</t>
  </si>
  <si>
    <t>1032c</t>
  </si>
  <si>
    <t>1037a</t>
  </si>
  <si>
    <t>1037b</t>
  </si>
  <si>
    <t>1039a</t>
  </si>
  <si>
    <t>1039b</t>
  </si>
  <si>
    <t>2032a</t>
  </si>
  <si>
    <t>2032b</t>
  </si>
  <si>
    <t>4031a</t>
  </si>
  <si>
    <t>4031b</t>
  </si>
  <si>
    <t>4030a</t>
  </si>
  <si>
    <t>4030b</t>
  </si>
  <si>
    <t>7031a</t>
  </si>
  <si>
    <t>7031b</t>
  </si>
  <si>
    <t>7032a</t>
  </si>
  <si>
    <t>7032b</t>
  </si>
  <si>
    <t>7033a</t>
  </si>
  <si>
    <t>7033b</t>
  </si>
  <si>
    <t>4092b</t>
  </si>
  <si>
    <t>M-SO04_SA, M-SO06-SAQ98, M-SO07-SMQ98</t>
  </si>
  <si>
    <t>B-CD01, B-CD02, B-CD03, B-CD04</t>
  </si>
  <si>
    <t>A1223, B-CD01, B-CD02, B-CD03, B-CD04</t>
  </si>
  <si>
    <t>A1203, B-CD01, B-CD02, B-CD03, B-CD04</t>
  </si>
  <si>
    <t>A1201, B-CD01, B-CD02, B-CD03, B-CD04</t>
  </si>
  <si>
    <t>A1205, B-CD01, B-CD02, B-CD03, B-CD04</t>
  </si>
  <si>
    <t>A1242, B-CD01, B-CD02, B-CD03, B-CD04</t>
  </si>
  <si>
    <t>A1245, B-CD01, B-CD02, B-CD03, B-CD04</t>
  </si>
  <si>
    <t>A1202, B-CD01, B-CD02, B-CD03, B-CD04</t>
  </si>
  <si>
    <t>A1243, B-CD01, B-CD02, B-CD03, B-CD04</t>
  </si>
  <si>
    <t>A1262, B-CD01, B-CD02, B-CD03, B-CD04</t>
  </si>
  <si>
    <t>B-CD01, B-CD02, B-CD03, B-CD04, M-BMS03, M-BMS05, M-BMS06, M-BMS07, M-BMS08, M-BMS09, M-BMS12</t>
  </si>
  <si>
    <t>F78, F82</t>
  </si>
  <si>
    <t>F236, F435, B-CL01, B-CL02, B-CL03, B-CL04, B-CL05, B-CL06, B-CL07, B-CS01</t>
  </si>
  <si>
    <t>F78, F82, F240, F401, B-CR01, B-CR02, B-CR03, B-CR05, B-CR07, B-CSS01, B-CSS03</t>
  </si>
  <si>
    <t>F425</t>
  </si>
  <si>
    <t>F272</t>
  </si>
  <si>
    <t>A1203, F272</t>
  </si>
  <si>
    <t>F98</t>
  </si>
  <si>
    <t>F92, F103, F104, F105</t>
  </si>
  <si>
    <t>F93, F94</t>
  </si>
  <si>
    <t>F95</t>
  </si>
  <si>
    <t>F100</t>
  </si>
  <si>
    <t>F99</t>
  </si>
  <si>
    <t>F95, F99</t>
  </si>
  <si>
    <t>F44, F46, F51, F316</t>
  </si>
  <si>
    <t>F15, F22, F23, F24, F37, F61, F306, F314</t>
  </si>
  <si>
    <t>F14</t>
  </si>
  <si>
    <t>A1223, F14</t>
  </si>
  <si>
    <t>A1201, F14</t>
  </si>
  <si>
    <t>A1262, F14</t>
  </si>
  <si>
    <t>A1202, F14</t>
  </si>
  <si>
    <t>F41, F65</t>
  </si>
  <si>
    <t>F41, F65,F44, F46, F51, F316</t>
  </si>
  <si>
    <t>F6, F7, F16, F39, F239</t>
  </si>
  <si>
    <t>A1242, F49, F307, F309, F311</t>
  </si>
  <si>
    <t>F49, F307, F309, F311, F236</t>
  </si>
  <si>
    <t>1. Only Overstory and Midstory data were input, understory was left blank.</t>
  </si>
  <si>
    <t>2. Rotten woody fuels, stump fuels and piles were left blank.</t>
  </si>
  <si>
    <t>1. Basal Accumulation and Squirrel Middens are set as not present</t>
  </si>
  <si>
    <t xml:space="preserve">These are: </t>
  </si>
  <si>
    <t>FCCS includes several parameters within each fuelbed, that due to the generalization of the characteristics of the fuelbeds were left blank or assigned default values.</t>
  </si>
  <si>
    <t>1. Only Primary Layer data were input, the secondary layer was left blank.</t>
  </si>
  <si>
    <t>1. The "9-20 inches diameter" (10_000hrload) and "&gt; 20 inches diameter" (&gt;10_000hrload) woody fuels were left blank.</t>
  </si>
  <si>
    <t>Correlative number for the purpose of ordering the data</t>
  </si>
  <si>
    <t>Number of each fuelbed used to join the data to the Fuelbed Map</t>
  </si>
  <si>
    <t>Overstory species number (from the Inferred Variables Database inside FCCS v3.0)</t>
  </si>
  <si>
    <t>Overstory species name (from the Inferred Variables Database inside FCCS v3.0)</t>
  </si>
  <si>
    <t>Midstory species number (from the Inferred Variables Database inside FCCS v3.0)</t>
  </si>
  <si>
    <t>Midstory species name (from the Inferred Variables Database inside FCCS v3.0)</t>
  </si>
  <si>
    <t>Primary shrub, species number (from the Inferred Variables Database inside FCCS v3.0)</t>
  </si>
  <si>
    <t>Primary shrub, species name (from the Inferred Variables Database inside FCCS v3.0)</t>
  </si>
  <si>
    <t>Primary nonwoody, species number (from the Inferred Variables Database inside FCCS v3.0)</t>
  </si>
  <si>
    <t>Primary nonwoody, species name (from the Inferred Variables Database inside FCCS v3.0)</t>
  </si>
  <si>
    <t>Sound wood, species number (from the Inferred Variables Database inside FCCS v3.0)</t>
  </si>
  <si>
    <t>Sound wood, species name (from the Inferred Variables Database inside FCCS v3.0)</t>
  </si>
  <si>
    <t>Existence of ladder fuels</t>
  </si>
  <si>
    <t>No</t>
  </si>
  <si>
    <t>Yes</t>
  </si>
  <si>
    <t>Other moss (e.g. feathermoss)</t>
  </si>
  <si>
    <t>Normal</t>
  </si>
  <si>
    <t>Fluffy (freshly fallen)</t>
  </si>
  <si>
    <t>Perched (on grass or forb)</t>
  </si>
  <si>
    <t>Dead moss and litter</t>
  </si>
  <si>
    <t>Fibric Peat</t>
  </si>
  <si>
    <t>Lower  duff derivation</t>
  </si>
  <si>
    <t>Fully decomposed moss and litter</t>
  </si>
  <si>
    <t xml:space="preserve">Litter_Cover </t>
  </si>
  <si>
    <t>Lichen_Cover</t>
  </si>
  <si>
    <t>Lichen_Depth</t>
  </si>
  <si>
    <t>Moss_Cover</t>
  </si>
  <si>
    <t>Moss_Depth</t>
  </si>
  <si>
    <t>Litter_Cover (%)</t>
  </si>
  <si>
    <t xml:space="preserve">DU_cover </t>
  </si>
  <si>
    <t xml:space="preserve">DU_Depth </t>
  </si>
  <si>
    <t xml:space="preserve">DL_cover </t>
  </si>
  <si>
    <t xml:space="preserve">DL_Depth </t>
  </si>
  <si>
    <t>Ladder fuel presence (see below for possible values)</t>
  </si>
  <si>
    <t>Ladder fuel type (see below for possible values)</t>
  </si>
  <si>
    <t>Moss type (see below for possible values)</t>
  </si>
  <si>
    <t>Litter arrangement (see below for possible values)</t>
  </si>
  <si>
    <t>Upper duff layer type (see below for possible values)</t>
  </si>
  <si>
    <t>Upper duff layer, percent cover</t>
  </si>
  <si>
    <t>Upper duff layer, depth</t>
  </si>
  <si>
    <t>Lower duff layer type (see below for possible values)</t>
  </si>
  <si>
    <t>Lower duff layer, percent cover</t>
  </si>
  <si>
    <t>Lower duff layer, depth</t>
  </si>
  <si>
    <t>TO_Density (#/ha)</t>
  </si>
  <si>
    <t>TO_Height (m)</t>
  </si>
  <si>
    <t>TO_HLC (m)</t>
  </si>
  <si>
    <t>TO_DBH (cm)</t>
  </si>
  <si>
    <t>S_Height (m)</t>
  </si>
  <si>
    <t>TM_Density (#/ha)</t>
  </si>
  <si>
    <t>TM_Height (m)</t>
  </si>
  <si>
    <t>TM_HLC (m)</t>
  </si>
  <si>
    <t>TM_DBH (cm)</t>
  </si>
  <si>
    <t>G_height (m)</t>
  </si>
  <si>
    <t>G_Load (Mg/ha)</t>
  </si>
  <si>
    <t>1 T/acre = 2.242 Mg/ha</t>
  </si>
  <si>
    <t>W_1hLoad (Mg/ha)</t>
  </si>
  <si>
    <t>W_10h Load (Mg/ha)</t>
  </si>
  <si>
    <t>W_100h Load (Mg/ha)</t>
  </si>
  <si>
    <t>W_1000h Load (Mg/ha)</t>
  </si>
  <si>
    <t>W_depth (cm)</t>
  </si>
  <si>
    <t>Lichen_Depth (cm)</t>
  </si>
  <si>
    <t>Moss_Depth (cm)</t>
  </si>
  <si>
    <t>L_depth (cm)</t>
  </si>
  <si>
    <t>Lichen, percent cover</t>
  </si>
  <si>
    <t>Lichen depth</t>
  </si>
  <si>
    <t>Moss, percent cover</t>
  </si>
  <si>
    <t>Moss depth</t>
  </si>
  <si>
    <t>5. References: Origin of the data used for or the variables assigned to each fuelbed</t>
  </si>
  <si>
    <t>The remaining letters or numbers correspond to the code of each datum in the original reference</t>
  </si>
  <si>
    <r>
      <rPr>
        <b/>
        <sz val="11"/>
        <color theme="1"/>
        <rFont val="Calibri"/>
        <family val="2"/>
        <scheme val="minor"/>
      </rPr>
      <t>PLEASE NOTICE</t>
    </r>
    <r>
      <rPr>
        <sz val="11"/>
        <color theme="1"/>
        <rFont val="Calibri"/>
        <family val="2"/>
        <scheme val="minor"/>
      </rPr>
      <t>: The information in this spreadsheet could be revised and improved as new sources of information become available. To get the latest version of the spreadsheet, please contact M. Lucrecia Pettinari at mlucrecia.pettinari@uah.es</t>
    </r>
  </si>
  <si>
    <t>4. Fuelbeds_english: It contains the same information on the fuelbeds than the previous page, but in English units, as it is the format required to input the data in FCCS.</t>
  </si>
  <si>
    <t>Not present</t>
  </si>
  <si>
    <t>Not applicable</t>
  </si>
  <si>
    <t>(1 acre = 0.4047 ha)</t>
  </si>
  <si>
    <t>(T=ton: US short ton, 0,907 Mg)</t>
  </si>
  <si>
    <r>
      <rPr>
        <b/>
        <u/>
        <sz val="11"/>
        <rFont val="Calibri"/>
        <family val="2"/>
        <scheme val="minor"/>
      </rPr>
      <t>The first letter of each source means that their reference is</t>
    </r>
    <r>
      <rPr>
        <b/>
        <sz val="11"/>
        <rFont val="Calibri"/>
        <family val="2"/>
        <scheme val="minor"/>
      </rPr>
      <t>:</t>
    </r>
  </si>
  <si>
    <t>The sources are the existing fuelbeds or Photoseries used to populate the variables for each fuelbed. The crops fuelbeds were used for the grass vegetation form for fuelbeds with land cover 10, 20 and 30. For the rest of the fuelbeds appearing as sources, the mean values of all the fuelbeds mentioned were computed, and then the values were adjusted according to the % canopy cover and canopy height obtained from other sources. The species were set to species appearing in the FCCS species database, respecting the form type of the fuelbed and representative species for each biome.</t>
  </si>
  <si>
    <t>References for the data:</t>
  </si>
  <si>
    <t>2) French, NHF, McKenzie, D, Ottmar, RD, McCarty, JL, Norheim, RA, Hamermesh, N, Soja, AJ (2013): A US national fuels database and map for calculating carbon emissions from wildland and prescribed fire. Proceedings of 4th Fire Behavior and Fuels Conference, 1-4 July 2013,  St. Petersburg, Russia. Published by the International Association of Wildland Fire, Missoula, MT, USA.</t>
  </si>
  <si>
    <t>4) Ottmar, RD, Vihnanek, RE, Miranda, HS, Sato, MN, Andrade, SMA (2001): Stereo Photo series for quantifying cerrado fuels in Central Brazil - Volume I. Pacific Norhtwest Research Station, USDA Forest Service.  General Technical Report PNW-GTR-519, Seattle, USA.</t>
  </si>
  <si>
    <t>3) Morfín-Ríos, JE, Alvarado-Celestino, E, Jardel-Peláez, EJ, Vihnanek, RE, Wright, DK, Michel-Fuentes, JM, Wright, CS, Ottmar, RD, Sandberg, DV, Nájera-Díaz, A (2008): Photo series for quantifying forest fuels in Mexico: montane subtropical forests of the Sierra Madre del Sur and temperate forests and montane shrubland of the northern Sierra Madre Oriental. Pacific Wildland Fire Sciences Laboratory Special Pub. Nº 1; University of Washington, College of Forest Resources, Seattle, USA. Available at http://www.fs.fed.us/pnw/fera/publications/fulltext/PhotoSeriesMexicoUW-FERAPublication.pdf.</t>
  </si>
  <si>
    <t>1) Prichard, SJ, Sandberg, DV, Ottmar, RD, Eberhardt, E, Andreu, A, Eagle, P, Swedin, K (2013) Fuel Characteristic Classification System Version 3.0: Technical Documentation. USDA Forest Service.  PNW-GTR-887. Available at http://www.fs.fed.us/pnw/pubs/pnw_gtr887.pdf.</t>
  </si>
  <si>
    <t>FCCS download available at: http://www.fs.fed.us/pnw/fera/fft/fccsmodule.shtml</t>
  </si>
  <si>
    <t>M-BMS_17, M-BMS_16</t>
  </si>
  <si>
    <t>CHANGES FROM PREVIOUS VERSION</t>
  </si>
  <si>
    <t>The parameters W_1h, W_10h, W_100h and W_1000h loads in the Fuelbeds_metric sheet were corrected, because the previous version had used the wrong facto to convert from English units</t>
  </si>
  <si>
    <t>F23, F24, F27, F29, F34, F53, F59, F61, F67, F70, F106, F114, F138, F140, F146, F208, F210, F212, F265, F270, F273, F282, F286, F314</t>
  </si>
  <si>
    <t>F279, F427, F320</t>
  </si>
  <si>
    <t>5091a, 5091b, 5091c, 8091a, 8091b</t>
  </si>
  <si>
    <t xml:space="preserve">Several references were corrected in the References sheet: </t>
  </si>
  <si>
    <t>8091a, 8091b, 4092a, 4092b, 4092c, 4112a, 4112b, 4102, 4122a, 4122b, 5092a, 5092b, 5112, 5122, 6092a, 6092b, 6092c, 6102a, 6102b, 6112a, 6112b, 6122a, 6122b, 8092a, 8092b, 8112, 8122, 11092a, 11092b, 11102, 11112, 11122</t>
  </si>
  <si>
    <t>F16, F109, F120, F121, F124, F143, F216, F231, F267, F268, F409, F410</t>
  </si>
  <si>
    <t>F107, F109, F120, F121, F124, F143, F267, F268, F281, F409, F410</t>
  </si>
  <si>
    <t>4100a, 4100b, 4100c, 4110a, 4110b, 4120a, 4120b</t>
  </si>
  <si>
    <t>5100a, 5100b, 5100c, 5110a, 5110b, 5120, 8100a, 8100b, 8110b, 5020, 5022, 5030, 5032, 5033, 5035</t>
  </si>
  <si>
    <t>A1223,F16, F109, F120, F121, F124, F143, F216, F231, F267, F268, F409, F410</t>
  </si>
  <si>
    <t>A1201, F16, F109, F120, F121, F124, F143, F216, F231, F267, F268, F409, F410</t>
  </si>
  <si>
    <t>A1223, F16, F109, F120, F121, F124, F143, F216, F231, F267, F268, F409, F410</t>
  </si>
  <si>
    <t>A1205, F16, F109, F120, F121, F124, F143, F216, F231, F267, F268, F409, F410</t>
  </si>
  <si>
    <t>A1202, F16, F109, F120, F121, F124, F143, F216, F231, F267, F268, F409, F410</t>
  </si>
  <si>
    <t>A1202, F30, F56, F60, F69, F115, F233, F234, F308, F309</t>
  </si>
  <si>
    <t>A1262, F30, F56, F60, F69, F115, F233, F234, F308, F309</t>
  </si>
  <si>
    <t>8030, 8032, 8033, 8035, 8038, 8039</t>
  </si>
  <si>
    <t>4040a, 4040b, 4040c, 4061a, 4061b, 4061c, 5040, 5061a, 5061b, 5061c, 8040, 8061a, 8061b, 4020, 4030a, 4030b, 4021, 4031a, 4031b, 4022, 4032, 4023, 4033, 4027, 4037, 4028</t>
  </si>
  <si>
    <t>F90, F110, F123, F129, F264, F266, F269, F274, F275, F283, F284, F403, F404, F405, F408, F413, F429, F430, F431, F449, F454</t>
  </si>
  <si>
    <t>A1223, F90, F110, F123, F129, F264, F266, F269, F274, F275, F283, F284, F403, F404, F405, F408, F413, F429, F430, F431, F449, F454</t>
  </si>
  <si>
    <t>A1203, F90, F110, F123, F129, F264, F266, F269, F274, F275, F283, F284, F403, F404, F405, F408, F413, F429, F430, F431, F449, F454</t>
  </si>
  <si>
    <t>A1201, F90, F110, F123, F129, F264, F266, F269, F274, F275, F283, F284, F403, F404, F405, F408, F413, F429, F430, F431, F449, F454</t>
  </si>
  <si>
    <t>A1205, F90, F110, F123, F129, F264, F266, F269, F274, F275, F283, F284, F403, F404, F405, F408, F413, F429, F430, F431, F449, F454</t>
  </si>
  <si>
    <t>A1243, F90, F110, F123, F129, F264, F266, F269, F274, F275, F283, F284, F403, F404, F405, F408, F413, F429, F430, F431, F449, F454</t>
  </si>
  <si>
    <t>A1262, F90, F110, F123, F129, F264, F266, F269, F274, F275, F283, F284, F403, F404, F405, F408, F413, F429, F430, F431, F449, F454</t>
  </si>
  <si>
    <t>F318, F420, F442, F445</t>
  </si>
  <si>
    <t>Version 1.1</t>
  </si>
  <si>
    <t>Version 1.2</t>
  </si>
  <si>
    <t>The codes for the Canopy Ladder Type parameter (T_LadderType) have been updated in the sheet "Definitions"</t>
  </si>
  <si>
    <t>These codes have also been updated in column "T_LadderType" (column X) in the sheets "Fuelbeds_metric" and "Fuelbeds_english".</t>
  </si>
  <si>
    <t>Error detected in the convernsion factors from English to Metric units. Errors detected in some references. Solution:</t>
  </si>
  <si>
    <t>Update of codes for Canopy Ladder Type used in FCCS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</si>
</sst>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0"/>
      <name val="Arial"/>
      <family val="2"/>
    </font>
    <font>
      <sz val="9"/>
      <color indexed="81"/>
      <name val="Tahoma"/>
      <family val="2"/>
    </font>
    <font>
      <b/>
      <sz val="9"/>
      <color indexed="81"/>
      <name val="Tahoma"/>
      <family val="2"/>
    </font>
    <font>
      <sz val="10"/>
      <name val="MS Sans Serif"/>
      <family val="2"/>
    </font>
    <font>
      <sz val="10"/>
      <name val="MS Sans Serif"/>
      <family val="2"/>
    </font>
    <font>
      <b/>
      <sz val="11"/>
      <color rgb="FFFF0000"/>
      <name val="Calibri"/>
      <family val="2"/>
      <scheme val="minor"/>
    </font>
    <font>
      <b/>
      <sz val="10"/>
      <name val="Arial"/>
      <family val="2"/>
    </font>
    <font>
      <sz val="10"/>
      <name val="MS Sans Serif"/>
      <family val="2"/>
    </font>
    <font>
      <u/>
      <sz val="11"/>
      <name val="Calibri"/>
      <family val="2"/>
      <scheme val="minor"/>
    </font>
    <font>
      <b/>
      <u/>
      <sz val="11"/>
      <name val="Calibri"/>
      <family val="2"/>
      <scheme val="minor"/>
    </font>
    <font>
      <u/>
      <sz val="11"/>
      <color theme="10"/>
      <name val="Calibri"/>
      <family val="2"/>
      <scheme val="minor"/>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rgb="FFE1FFF0"/>
        <bgColor indexed="64"/>
      </patternFill>
    </fill>
    <fill>
      <patternFill patternType="solid">
        <fgColor theme="6" tint="0.79998168889431442"/>
        <bgColor indexed="64"/>
      </patternFill>
    </fill>
    <fill>
      <patternFill patternType="solid">
        <fgColor rgb="FFB7FFB7"/>
        <bgColor indexed="64"/>
      </patternFill>
    </fill>
    <fill>
      <patternFill patternType="solid">
        <fgColor rgb="FF9CECC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DF58D"/>
        <bgColor indexed="64"/>
      </patternFill>
    </fill>
    <fill>
      <patternFill patternType="solid">
        <fgColor rgb="FFFFCCFF"/>
        <bgColor indexed="64"/>
      </patternFill>
    </fill>
    <fill>
      <patternFill patternType="solid">
        <fgColor rgb="FFCCECFF"/>
        <bgColor indexed="64"/>
      </patternFill>
    </fill>
    <fill>
      <patternFill patternType="solid">
        <fgColor rgb="FFCCCCFF"/>
        <bgColor indexed="64"/>
      </patternFill>
    </fill>
    <fill>
      <patternFill patternType="solid">
        <fgColor rgb="FFFFEBFB"/>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rgb="FF33CC33"/>
        <bgColor indexed="64"/>
      </patternFill>
    </fill>
    <fill>
      <patternFill patternType="solid">
        <fgColor rgb="FFFFFF99"/>
        <bgColor indexed="64"/>
      </patternFill>
    </fill>
    <fill>
      <patternFill patternType="solid">
        <fgColor rgb="FF92D050"/>
        <bgColor indexed="64"/>
      </patternFill>
    </fill>
    <fill>
      <patternFill patternType="solid">
        <fgColor theme="8" tint="0.79998168889431442"/>
        <bgColor indexed="64"/>
      </patternFill>
    </fill>
    <fill>
      <patternFill patternType="solid">
        <fgColor rgb="FFFFE5FF"/>
        <bgColor indexed="64"/>
      </patternFill>
    </fill>
    <fill>
      <patternFill patternType="solid">
        <fgColor rgb="FF77CE36"/>
        <bgColor indexed="64"/>
      </patternFill>
    </fill>
    <fill>
      <patternFill patternType="solid">
        <fgColor rgb="FFD2E0B2"/>
        <bgColor indexed="64"/>
      </patternFill>
    </fill>
    <fill>
      <patternFill patternType="solid">
        <fgColor rgb="FFEAE7DA"/>
        <bgColor indexed="64"/>
      </patternFill>
    </fill>
    <fill>
      <patternFill patternType="solid">
        <fgColor rgb="FFDBFEB8"/>
        <bgColor indexed="64"/>
      </patternFill>
    </fill>
    <fill>
      <patternFill patternType="solid">
        <fgColor rgb="FFFDEFB3"/>
        <bgColor indexed="64"/>
      </patternFill>
    </fill>
    <fill>
      <patternFill patternType="solid">
        <fgColor rgb="FFE6CCB8"/>
        <bgColor indexed="64"/>
      </patternFill>
    </fill>
    <fill>
      <patternFill patternType="solid">
        <fgColor rgb="FFEFEFE1"/>
        <bgColor indexed="64"/>
      </patternFill>
    </fill>
    <fill>
      <patternFill patternType="solid">
        <fgColor rgb="FFD1CBAF"/>
        <bgColor indexed="64"/>
      </patternFill>
    </fill>
    <fill>
      <patternFill patternType="solid">
        <fgColor rgb="FFE1AAA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3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3" fillId="0" borderId="0"/>
    <xf numFmtId="0" fontId="24" fillId="0" borderId="0"/>
    <xf numFmtId="0" fontId="1" fillId="0" borderId="0"/>
    <xf numFmtId="0" fontId="1" fillId="8" borderId="8" applyNumberFormat="0" applyFont="0" applyAlignment="0" applyProtection="0"/>
    <xf numFmtId="0" fontId="24"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23" fillId="0" borderId="0"/>
    <xf numFmtId="0" fontId="23" fillId="0" borderId="0"/>
    <xf numFmtId="0" fontId="1" fillId="0" borderId="0"/>
    <xf numFmtId="0" fontId="1" fillId="8" borderId="8" applyNumberFormat="0" applyFont="0" applyAlignment="0" applyProtection="0"/>
    <xf numFmtId="0" fontId="27"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0" borderId="0"/>
    <xf numFmtId="0" fontId="30" fillId="0" borderId="0" applyNumberFormat="0" applyFill="0" applyBorder="0" applyAlignment="0" applyProtection="0"/>
    <xf numFmtId="0" fontId="23" fillId="0" borderId="0"/>
  </cellStyleXfs>
  <cellXfs count="104">
    <xf numFmtId="0" fontId="0" fillId="0" borderId="0" xfId="0"/>
    <xf numFmtId="1" fontId="0" fillId="0" borderId="0" xfId="0" applyNumberFormat="1"/>
    <xf numFmtId="164" fontId="0" fillId="0" borderId="0" xfId="0" applyNumberFormat="1"/>
    <xf numFmtId="0" fontId="16" fillId="0" borderId="0" xfId="0" applyFont="1"/>
    <xf numFmtId="0" fontId="18" fillId="0" borderId="0" xfId="0" applyFont="1"/>
    <xf numFmtId="0" fontId="0" fillId="0" borderId="0" xfId="0" quotePrefix="1"/>
    <xf numFmtId="1" fontId="19" fillId="36" borderId="0" xfId="0" applyNumberFormat="1" applyFont="1" applyFill="1"/>
    <xf numFmtId="0" fontId="20" fillId="0" borderId="0" xfId="0" applyFont="1"/>
    <xf numFmtId="0" fontId="16" fillId="0" borderId="0" xfId="0" applyFont="1" applyAlignment="1">
      <alignment horizontal="center"/>
    </xf>
    <xf numFmtId="1" fontId="19" fillId="33" borderId="0" xfId="0" applyNumberFormat="1" applyFont="1" applyFill="1"/>
    <xf numFmtId="0" fontId="19" fillId="46" borderId="0" xfId="0" applyFont="1" applyFill="1"/>
    <xf numFmtId="1" fontId="19" fillId="37" borderId="0" xfId="0" applyNumberFormat="1" applyFont="1" applyFill="1"/>
    <xf numFmtId="1" fontId="19" fillId="38" borderId="0" xfId="0" applyNumberFormat="1" applyFont="1" applyFill="1"/>
    <xf numFmtId="1" fontId="19" fillId="39" borderId="0" xfId="0" applyNumberFormat="1" applyFont="1" applyFill="1"/>
    <xf numFmtId="1" fontId="19" fillId="40" borderId="0" xfId="0" applyNumberFormat="1" applyFont="1" applyFill="1"/>
    <xf numFmtId="1" fontId="19" fillId="41" borderId="0" xfId="0" applyNumberFormat="1" applyFont="1" applyFill="1"/>
    <xf numFmtId="1" fontId="19" fillId="43" borderId="0" xfId="0" applyNumberFormat="1" applyFont="1" applyFill="1"/>
    <xf numFmtId="1" fontId="19" fillId="47" borderId="0" xfId="0" applyNumberFormat="1" applyFont="1" applyFill="1"/>
    <xf numFmtId="1" fontId="19" fillId="45" borderId="0" xfId="0" applyNumberFormat="1" applyFont="1" applyFill="1"/>
    <xf numFmtId="164" fontId="19" fillId="46" borderId="0" xfId="0" applyNumberFormat="1" applyFont="1" applyFill="1"/>
    <xf numFmtId="0" fontId="19" fillId="0" borderId="0" xfId="0" quotePrefix="1" applyFont="1"/>
    <xf numFmtId="0" fontId="18" fillId="0" borderId="0" xfId="0" applyFont="1" applyFill="1"/>
    <xf numFmtId="1" fontId="18" fillId="0" borderId="0" xfId="0" applyNumberFormat="1" applyFont="1" applyFill="1"/>
    <xf numFmtId="0" fontId="0" fillId="0" borderId="0" xfId="0"/>
    <xf numFmtId="1" fontId="19" fillId="51" borderId="0" xfId="0" applyNumberFormat="1" applyFont="1" applyFill="1"/>
    <xf numFmtId="1" fontId="19" fillId="33" borderId="0" xfId="0" applyNumberFormat="1" applyFont="1" applyFill="1" applyBorder="1"/>
    <xf numFmtId="0" fontId="25" fillId="0" borderId="0" xfId="0" applyFont="1"/>
    <xf numFmtId="0" fontId="26" fillId="0" borderId="0" xfId="0" applyFont="1"/>
    <xf numFmtId="0" fontId="19" fillId="53" borderId="0" xfId="0" applyFont="1" applyFill="1"/>
    <xf numFmtId="1" fontId="19" fillId="48" borderId="0" xfId="0" applyNumberFormat="1" applyFont="1" applyFill="1"/>
    <xf numFmtId="1" fontId="19" fillId="56" borderId="0" xfId="0" applyNumberFormat="1" applyFont="1" applyFill="1"/>
    <xf numFmtId="1" fontId="19" fillId="58" borderId="0" xfId="0" applyNumberFormat="1" applyFont="1" applyFill="1"/>
    <xf numFmtId="1" fontId="19" fillId="59" borderId="0" xfId="0" applyNumberFormat="1" applyFont="1" applyFill="1"/>
    <xf numFmtId="1" fontId="19" fillId="60" borderId="0" xfId="0" applyNumberFormat="1" applyFont="1" applyFill="1"/>
    <xf numFmtId="1" fontId="19" fillId="61" borderId="0" xfId="0" applyNumberFormat="1" applyFont="1" applyFill="1"/>
    <xf numFmtId="2" fontId="19" fillId="0" borderId="0" xfId="0" applyNumberFormat="1" applyFont="1" applyFill="1"/>
    <xf numFmtId="1" fontId="19" fillId="0" borderId="0" xfId="0" applyNumberFormat="1" applyFont="1" applyFill="1"/>
    <xf numFmtId="0" fontId="18" fillId="0" borderId="0" xfId="0" applyFont="1" applyFill="1" applyBorder="1"/>
    <xf numFmtId="1" fontId="19" fillId="34" borderId="0" xfId="0" applyNumberFormat="1" applyFont="1" applyFill="1"/>
    <xf numFmtId="1" fontId="19" fillId="35" borderId="0" xfId="0" applyNumberFormat="1" applyFont="1" applyFill="1"/>
    <xf numFmtId="1" fontId="19" fillId="0" borderId="0" xfId="0" quotePrefix="1" applyNumberFormat="1" applyFont="1"/>
    <xf numFmtId="3" fontId="19" fillId="0" borderId="0" xfId="0" applyNumberFormat="1" applyFont="1" applyFill="1"/>
    <xf numFmtId="0" fontId="19" fillId="33" borderId="0" xfId="0" applyFont="1" applyFill="1"/>
    <xf numFmtId="164" fontId="19" fillId="0" borderId="0" xfId="0" applyNumberFormat="1" applyFont="1" applyFill="1"/>
    <xf numFmtId="0" fontId="19" fillId="52" borderId="0" xfId="0" applyFont="1" applyFill="1"/>
    <xf numFmtId="0" fontId="19" fillId="0" borderId="0" xfId="0" applyFont="1" applyFill="1"/>
    <xf numFmtId="1" fontId="19" fillId="0" borderId="0" xfId="0" applyNumberFormat="1" applyFont="1"/>
    <xf numFmtId="164" fontId="19" fillId="0" borderId="0" xfId="0" applyNumberFormat="1" applyFont="1"/>
    <xf numFmtId="1" fontId="19" fillId="46" borderId="0" xfId="0" applyNumberFormat="1" applyFont="1" applyFill="1"/>
    <xf numFmtId="2" fontId="19" fillId="0" borderId="0" xfId="0" applyNumberFormat="1" applyFont="1"/>
    <xf numFmtId="0" fontId="19" fillId="0" borderId="0" xfId="0" applyFont="1"/>
    <xf numFmtId="1" fontId="19" fillId="0" borderId="0" xfId="0" applyNumberFormat="1" applyFont="1" applyFill="1" applyBorder="1" applyAlignment="1">
      <alignment horizontal="right"/>
    </xf>
    <xf numFmtId="1" fontId="19" fillId="0" borderId="0" xfId="0" applyNumberFormat="1" applyFont="1" applyFill="1" applyAlignment="1">
      <alignment horizontal="right"/>
    </xf>
    <xf numFmtId="0" fontId="19" fillId="0" borderId="0" xfId="0" quotePrefix="1" applyFont="1" applyFill="1"/>
    <xf numFmtId="164" fontId="19" fillId="0" borderId="0" xfId="0" quotePrefix="1" applyNumberFormat="1" applyFont="1" applyFill="1"/>
    <xf numFmtId="1" fontId="19" fillId="0" borderId="0" xfId="0" quotePrefix="1" applyNumberFormat="1" applyFont="1" applyFill="1"/>
    <xf numFmtId="164" fontId="19" fillId="0" borderId="0" xfId="0" applyNumberFormat="1" applyFont="1" applyFill="1" applyBorder="1"/>
    <xf numFmtId="2" fontId="19" fillId="0" borderId="0" xfId="0" applyNumberFormat="1" applyFont="1" applyFill="1" applyBorder="1"/>
    <xf numFmtId="0" fontId="19" fillId="0" borderId="0" xfId="0" applyFont="1" applyAlignment="1">
      <alignment vertical="center" wrapText="1"/>
    </xf>
    <xf numFmtId="0" fontId="19" fillId="0" borderId="0" xfId="0" applyFont="1" applyFill="1" applyBorder="1"/>
    <xf numFmtId="0" fontId="19" fillId="0" borderId="0" xfId="0" applyFont="1" applyBorder="1"/>
    <xf numFmtId="3" fontId="19" fillId="0" borderId="0" xfId="0" applyNumberFormat="1" applyFont="1" applyFill="1" applyBorder="1"/>
    <xf numFmtId="0" fontId="19" fillId="0" borderId="0" xfId="0" applyFont="1" applyFill="1" applyAlignment="1">
      <alignment vertical="center" wrapText="1"/>
    </xf>
    <xf numFmtId="2" fontId="19" fillId="0" borderId="0" xfId="0" applyNumberFormat="1" applyFont="1" applyFill="1" applyAlignment="1">
      <alignment vertical="center" wrapText="1"/>
    </xf>
    <xf numFmtId="0" fontId="19" fillId="0" borderId="0" xfId="130" applyFont="1" applyFill="1"/>
    <xf numFmtId="2" fontId="19" fillId="0" borderId="0" xfId="130" applyNumberFormat="1" applyFont="1" applyFill="1"/>
    <xf numFmtId="164" fontId="19" fillId="0" borderId="0" xfId="0" applyNumberFormat="1" applyFont="1" applyFill="1" applyAlignment="1">
      <alignment vertical="center" wrapText="1"/>
    </xf>
    <xf numFmtId="1" fontId="19" fillId="0" borderId="0" xfId="0" applyNumberFormat="1" applyFont="1" applyFill="1" applyBorder="1"/>
    <xf numFmtId="1" fontId="19" fillId="0" borderId="0" xfId="0" applyNumberFormat="1" applyFont="1" applyAlignment="1">
      <alignment horizontal="right"/>
    </xf>
    <xf numFmtId="1" fontId="19" fillId="49" borderId="0" xfId="0" applyNumberFormat="1" applyFont="1" applyFill="1" applyAlignment="1">
      <alignment horizontal="right"/>
    </xf>
    <xf numFmtId="1" fontId="19" fillId="50" borderId="0" xfId="0" applyNumberFormat="1" applyFont="1" applyFill="1"/>
    <xf numFmtId="1" fontId="19" fillId="49" borderId="0" xfId="0" applyNumberFormat="1" applyFont="1" applyFill="1"/>
    <xf numFmtId="1" fontId="19" fillId="50" borderId="0" xfId="0" applyNumberFormat="1" applyFont="1" applyFill="1" applyAlignment="1">
      <alignment horizontal="right"/>
    </xf>
    <xf numFmtId="0" fontId="19" fillId="0" borderId="0" xfId="0" applyFont="1" applyAlignment="1">
      <alignment wrapText="1"/>
    </xf>
    <xf numFmtId="1" fontId="19" fillId="42" borderId="0" xfId="0" applyNumberFormat="1" applyFont="1" applyFill="1"/>
    <xf numFmtId="1" fontId="19" fillId="57" borderId="0" xfId="0" applyNumberFormat="1" applyFont="1" applyFill="1"/>
    <xf numFmtId="1" fontId="19" fillId="54" borderId="0" xfId="0" applyNumberFormat="1" applyFont="1" applyFill="1"/>
    <xf numFmtId="1" fontId="19" fillId="55" borderId="0" xfId="0" applyNumberFormat="1" applyFont="1" applyFill="1"/>
    <xf numFmtId="1" fontId="19" fillId="62" borderId="0" xfId="0" applyNumberFormat="1" applyFont="1" applyFill="1"/>
    <xf numFmtId="164" fontId="19" fillId="0" borderId="0" xfId="0" quotePrefix="1" applyNumberFormat="1" applyFont="1"/>
    <xf numFmtId="1" fontId="19" fillId="44" borderId="0" xfId="0" applyNumberFormat="1" applyFont="1" applyFill="1"/>
    <xf numFmtId="0" fontId="19" fillId="48" borderId="0" xfId="0" applyFont="1" applyFill="1"/>
    <xf numFmtId="164" fontId="19" fillId="61" borderId="0" xfId="0" applyNumberFormat="1" applyFont="1" applyFill="1"/>
    <xf numFmtId="2" fontId="19" fillId="0" borderId="0" xfId="132" applyNumberFormat="1" applyFont="1"/>
    <xf numFmtId="2" fontId="19" fillId="0" borderId="0" xfId="132" applyNumberFormat="1" applyFont="1" applyFill="1"/>
    <xf numFmtId="2" fontId="18" fillId="0" borderId="0" xfId="0" applyNumberFormat="1" applyFont="1" applyFill="1"/>
    <xf numFmtId="164" fontId="19" fillId="0" borderId="0" xfId="132" applyNumberFormat="1" applyFont="1" applyFill="1"/>
    <xf numFmtId="164" fontId="19" fillId="0" borderId="0" xfId="132" applyNumberFormat="1" applyFont="1" applyFill="1" applyBorder="1"/>
    <xf numFmtId="0" fontId="19" fillId="0" borderId="0" xfId="0" applyFont="1" applyFill="1" applyAlignment="1">
      <alignment horizontal="right"/>
    </xf>
    <xf numFmtId="164" fontId="19" fillId="0" borderId="0" xfId="0" applyNumberFormat="1" applyFont="1" applyFill="1" applyAlignment="1">
      <alignment horizontal="right"/>
    </xf>
    <xf numFmtId="0" fontId="28" fillId="0" borderId="0" xfId="0" applyFont="1"/>
    <xf numFmtId="0" fontId="30" fillId="0" borderId="0" xfId="133"/>
    <xf numFmtId="0" fontId="19" fillId="0" borderId="0" xfId="0" applyFont="1" applyAlignment="1">
      <alignment horizontal="left" wrapText="1"/>
    </xf>
    <xf numFmtId="1" fontId="19" fillId="0" borderId="0" xfId="0" applyNumberFormat="1" applyFont="1" applyFill="1" applyAlignment="1">
      <alignment horizontal="left" wrapText="1"/>
    </xf>
    <xf numFmtId="0" fontId="19" fillId="0" borderId="0" xfId="0" applyFont="1" applyAlignment="1">
      <alignment wrapText="1"/>
    </xf>
    <xf numFmtId="0" fontId="0" fillId="0" borderId="0" xfId="0" applyAlignment="1">
      <alignment wrapText="1"/>
    </xf>
    <xf numFmtId="0" fontId="0" fillId="0" borderId="0" xfId="0"/>
    <xf numFmtId="0" fontId="0" fillId="0" borderId="0" xfId="0"/>
    <xf numFmtId="1" fontId="19" fillId="0" borderId="0" xfId="0" applyNumberFormat="1" applyFont="1" applyFill="1"/>
    <xf numFmtId="0" fontId="19" fillId="0" borderId="0" xfId="0" applyFont="1" applyFill="1"/>
    <xf numFmtId="0" fontId="0" fillId="0" borderId="0" xfId="0"/>
    <xf numFmtId="0" fontId="16" fillId="0" borderId="0" xfId="0" applyFont="1"/>
    <xf numFmtId="1" fontId="19" fillId="0" borderId="0" xfId="0" applyNumberFormat="1" applyFont="1" applyFill="1"/>
    <xf numFmtId="0" fontId="19" fillId="0" borderId="0" xfId="0" applyFont="1" applyFill="1"/>
  </cellXfs>
  <cellStyles count="135">
    <cellStyle name="20% - Énfasis1" xfId="19" builtinId="30" customBuiltin="1"/>
    <cellStyle name="20% - Énfasis1 2" xfId="49"/>
    <cellStyle name="20% - Énfasis1 2 2" xfId="86"/>
    <cellStyle name="20% - Énfasis1 2 3" xfId="118"/>
    <cellStyle name="20% - Énfasis1 3" xfId="70"/>
    <cellStyle name="20% - Énfasis1 4" xfId="102"/>
    <cellStyle name="20% - Énfasis2" xfId="23" builtinId="34" customBuiltin="1"/>
    <cellStyle name="20% - Énfasis2 2" xfId="51"/>
    <cellStyle name="20% - Énfasis2 2 2" xfId="88"/>
    <cellStyle name="20% - Énfasis2 2 3" xfId="120"/>
    <cellStyle name="20% - Énfasis2 3" xfId="72"/>
    <cellStyle name="20% - Énfasis2 4" xfId="104"/>
    <cellStyle name="20% - Énfasis3" xfId="27" builtinId="38" customBuiltin="1"/>
    <cellStyle name="20% - Énfasis3 2" xfId="53"/>
    <cellStyle name="20% - Énfasis3 2 2" xfId="90"/>
    <cellStyle name="20% - Énfasis3 2 3" xfId="122"/>
    <cellStyle name="20% - Énfasis3 3" xfId="74"/>
    <cellStyle name="20% - Énfasis3 4" xfId="106"/>
    <cellStyle name="20% - Énfasis4" xfId="31" builtinId="42" customBuiltin="1"/>
    <cellStyle name="20% - Énfasis4 2" xfId="55"/>
    <cellStyle name="20% - Énfasis4 2 2" xfId="92"/>
    <cellStyle name="20% - Énfasis4 2 3" xfId="124"/>
    <cellStyle name="20% - Énfasis4 3" xfId="76"/>
    <cellStyle name="20% - Énfasis4 4" xfId="108"/>
    <cellStyle name="20% - Énfasis5" xfId="35" builtinId="46" customBuiltin="1"/>
    <cellStyle name="20% - Énfasis5 2" xfId="57"/>
    <cellStyle name="20% - Énfasis5 2 2" xfId="94"/>
    <cellStyle name="20% - Énfasis5 2 3" xfId="126"/>
    <cellStyle name="20% - Énfasis5 3" xfId="78"/>
    <cellStyle name="20% - Énfasis5 4" xfId="110"/>
    <cellStyle name="20% - Énfasis6" xfId="39" builtinId="50" customBuiltin="1"/>
    <cellStyle name="20% - Énfasis6 2" xfId="59"/>
    <cellStyle name="20% - Énfasis6 2 2" xfId="96"/>
    <cellStyle name="20% - Énfasis6 2 3" xfId="128"/>
    <cellStyle name="20% - Énfasis6 3" xfId="80"/>
    <cellStyle name="20% - Énfasis6 4" xfId="112"/>
    <cellStyle name="40% - Énfasis1" xfId="20" builtinId="31" customBuiltin="1"/>
    <cellStyle name="40% - Énfasis1 2" xfId="50"/>
    <cellStyle name="40% - Énfasis1 2 2" xfId="87"/>
    <cellStyle name="40% - Énfasis1 2 3" xfId="119"/>
    <cellStyle name="40% - Énfasis1 3" xfId="71"/>
    <cellStyle name="40% - Énfasis1 4" xfId="103"/>
    <cellStyle name="40% - Énfasis2" xfId="24" builtinId="35" customBuiltin="1"/>
    <cellStyle name="40% - Énfasis2 2" xfId="52"/>
    <cellStyle name="40% - Énfasis2 2 2" xfId="89"/>
    <cellStyle name="40% - Énfasis2 2 3" xfId="121"/>
    <cellStyle name="40% - Énfasis2 3" xfId="73"/>
    <cellStyle name="40% - Énfasis2 4" xfId="105"/>
    <cellStyle name="40% - Énfasis3" xfId="28" builtinId="39" customBuiltin="1"/>
    <cellStyle name="40% - Énfasis3 2" xfId="54"/>
    <cellStyle name="40% - Énfasis3 2 2" xfId="91"/>
    <cellStyle name="40% - Énfasis3 2 3" xfId="123"/>
    <cellStyle name="40% - Énfasis3 3" xfId="75"/>
    <cellStyle name="40% - Énfasis3 4" xfId="107"/>
    <cellStyle name="40% - Énfasis4" xfId="32" builtinId="43" customBuiltin="1"/>
    <cellStyle name="40% - Énfasis4 2" xfId="56"/>
    <cellStyle name="40% - Énfasis4 2 2" xfId="93"/>
    <cellStyle name="40% - Énfasis4 2 3" xfId="125"/>
    <cellStyle name="40% - Énfasis4 3" xfId="77"/>
    <cellStyle name="40% - Énfasis4 4" xfId="109"/>
    <cellStyle name="40% - Énfasis5" xfId="36" builtinId="47" customBuiltin="1"/>
    <cellStyle name="40% - Énfasis5 2" xfId="58"/>
    <cellStyle name="40% - Énfasis5 2 2" xfId="95"/>
    <cellStyle name="40% - Énfasis5 2 3" xfId="127"/>
    <cellStyle name="40% - Énfasis5 3" xfId="79"/>
    <cellStyle name="40% - Énfasis5 4" xfId="111"/>
    <cellStyle name="40% - Énfasis6" xfId="40" builtinId="51" customBuiltin="1"/>
    <cellStyle name="40% - Énfasis6 2" xfId="60"/>
    <cellStyle name="40% - Énfasis6 2 2" xfId="97"/>
    <cellStyle name="40% - Énfasis6 2 3" xfId="129"/>
    <cellStyle name="40% - Énfasis6 3" xfId="81"/>
    <cellStyle name="40% - Énfasis6 4" xfId="113"/>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133" builtinId="8"/>
    <cellStyle name="Incorrecto" xfId="7" builtinId="27" customBuiltin="1"/>
    <cellStyle name="Neutral" xfId="8" builtinId="28" customBuiltin="1"/>
    <cellStyle name="Normal" xfId="0" builtinId="0"/>
    <cellStyle name="Normal 13" xfId="132"/>
    <cellStyle name="Normal 2" xfId="42"/>
    <cellStyle name="Normal 2 2" xfId="46"/>
    <cellStyle name="Normal 2 2 2" xfId="64"/>
    <cellStyle name="Normal 3" xfId="43"/>
    <cellStyle name="Normal 3 2" xfId="63"/>
    <cellStyle name="Normal 4" xfId="44"/>
    <cellStyle name="Normal 4 2" xfId="61"/>
    <cellStyle name="Normal 4 2 2" xfId="98"/>
    <cellStyle name="Normal 4 2 3" xfId="130"/>
    <cellStyle name="Normal 4 3" xfId="82"/>
    <cellStyle name="Normal 4 4" xfId="114"/>
    <cellStyle name="Normal 5" xfId="47"/>
    <cellStyle name="Normal 5 2" xfId="84"/>
    <cellStyle name="Normal 5 3" xfId="116"/>
    <cellStyle name="Normal 6" xfId="65"/>
    <cellStyle name="Normal 7" xfId="68"/>
    <cellStyle name="Normal 8" xfId="100"/>
    <cellStyle name="Normal 9" xfId="67"/>
    <cellStyle name="Normal 9 2" xfId="134"/>
    <cellStyle name="Notas" xfId="15" builtinId="10" customBuiltin="1"/>
    <cellStyle name="Notas 2" xfId="45"/>
    <cellStyle name="Notas 2 2" xfId="62"/>
    <cellStyle name="Notas 2 2 2" xfId="99"/>
    <cellStyle name="Notas 2 2 3" xfId="131"/>
    <cellStyle name="Notas 2 3" xfId="83"/>
    <cellStyle name="Notas 2 4" xfId="115"/>
    <cellStyle name="Notas 3" xfId="48"/>
    <cellStyle name="Notas 3 2" xfId="85"/>
    <cellStyle name="Notas 3 3" xfId="117"/>
    <cellStyle name="Notas 4" xfId="66"/>
    <cellStyle name="Notas 5" xfId="69"/>
    <cellStyle name="Notas 6" xfId="10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7">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D1CBAF"/>
      <color rgb="FFFFFFCC"/>
      <color rgb="FFCDFFE6"/>
      <color rgb="FFD1FFE8"/>
      <color rgb="FFFDEFB3"/>
      <color rgb="FFE1AAA9"/>
      <color rgb="FFEFEFE1"/>
      <color rgb="FFE6CCB8"/>
      <color rgb="FFFBDFB5"/>
      <color rgb="FFFBE9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tabSelected="1" zoomScale="80" zoomScaleNormal="80" workbookViewId="0">
      <selection activeCell="U23" sqref="U23"/>
    </sheetView>
  </sheetViews>
  <sheetFormatPr baseColWidth="10" defaultRowHeight="15" x14ac:dyDescent="0.25"/>
  <sheetData>
    <row r="1" spans="1:12" s="23" customFormat="1" x14ac:dyDescent="0.25">
      <c r="A1" s="23" t="s">
        <v>642</v>
      </c>
    </row>
    <row r="2" spans="1:12" x14ac:dyDescent="0.25">
      <c r="A2" s="23"/>
      <c r="B2" s="23"/>
      <c r="C2" s="23"/>
      <c r="D2" s="23"/>
      <c r="E2" s="23"/>
      <c r="F2" s="23"/>
      <c r="G2" s="23"/>
      <c r="H2" s="23"/>
      <c r="I2" s="23"/>
      <c r="J2" s="23"/>
      <c r="K2" s="23"/>
      <c r="L2" s="23"/>
    </row>
    <row r="3" spans="1:12" s="23" customFormat="1" x14ac:dyDescent="0.25">
      <c r="A3" s="26" t="s">
        <v>657</v>
      </c>
    </row>
    <row r="4" spans="1:12" x14ac:dyDescent="0.25">
      <c r="A4" s="101" t="s">
        <v>685</v>
      </c>
      <c r="B4" t="s">
        <v>689</v>
      </c>
    </row>
    <row r="5" spans="1:12" s="23" customFormat="1" x14ac:dyDescent="0.25">
      <c r="A5" s="23">
        <v>1</v>
      </c>
      <c r="B5" s="23" t="s">
        <v>658</v>
      </c>
    </row>
    <row r="6" spans="1:12" s="23" customFormat="1" x14ac:dyDescent="0.25">
      <c r="A6" s="23">
        <v>2</v>
      </c>
      <c r="B6" s="23" t="s">
        <v>662</v>
      </c>
    </row>
    <row r="7" spans="1:12" s="23" customFormat="1" x14ac:dyDescent="0.25">
      <c r="C7" s="23" t="s">
        <v>661</v>
      </c>
    </row>
    <row r="8" spans="1:12" s="23" customFormat="1" x14ac:dyDescent="0.25">
      <c r="C8" s="23" t="s">
        <v>663</v>
      </c>
    </row>
    <row r="9" spans="1:12" s="23" customFormat="1" x14ac:dyDescent="0.25">
      <c r="C9" s="23" t="s">
        <v>667</v>
      </c>
    </row>
    <row r="10" spans="1:12" s="23" customFormat="1" x14ac:dyDescent="0.25">
      <c r="C10" s="23" t="s">
        <v>666</v>
      </c>
    </row>
    <row r="11" spans="1:12" s="23" customFormat="1" x14ac:dyDescent="0.25">
      <c r="C11" s="23" t="s">
        <v>675</v>
      </c>
    </row>
    <row r="12" spans="1:12" s="23" customFormat="1" x14ac:dyDescent="0.25">
      <c r="C12" s="23" t="s">
        <v>676</v>
      </c>
    </row>
    <row r="13" spans="1:12" s="100" customFormat="1" x14ac:dyDescent="0.25"/>
    <row r="14" spans="1:12" s="100" customFormat="1" x14ac:dyDescent="0.25">
      <c r="A14" s="101" t="s">
        <v>686</v>
      </c>
      <c r="B14" s="100" t="s">
        <v>690</v>
      </c>
    </row>
    <row r="15" spans="1:12" s="100" customFormat="1" x14ac:dyDescent="0.25">
      <c r="A15" s="100">
        <v>1</v>
      </c>
      <c r="B15" s="100" t="s">
        <v>687</v>
      </c>
    </row>
    <row r="16" spans="1:12" s="100" customFormat="1" x14ac:dyDescent="0.25">
      <c r="A16" s="100">
        <v>2</v>
      </c>
      <c r="B16" s="100" t="s">
        <v>688</v>
      </c>
    </row>
    <row r="17" spans="1:12" s="100" customFormat="1" x14ac:dyDescent="0.25"/>
    <row r="18" spans="1:12" s="100" customFormat="1" x14ac:dyDescent="0.25"/>
    <row r="19" spans="1:12" s="100" customFormat="1" x14ac:dyDescent="0.25"/>
    <row r="20" spans="1:12" s="100" customFormat="1" x14ac:dyDescent="0.25"/>
    <row r="21" spans="1:12" x14ac:dyDescent="0.25">
      <c r="A21" s="3" t="s">
        <v>40</v>
      </c>
      <c r="B21" s="23"/>
      <c r="C21" s="23"/>
      <c r="D21" s="23"/>
      <c r="E21" s="23"/>
      <c r="F21" s="23"/>
      <c r="G21" s="23"/>
      <c r="H21" s="23"/>
      <c r="I21" s="23"/>
      <c r="J21" s="23"/>
      <c r="K21" s="23"/>
      <c r="L21" s="23"/>
    </row>
    <row r="22" spans="1:12" x14ac:dyDescent="0.25">
      <c r="A22" s="23" t="s">
        <v>41</v>
      </c>
      <c r="B22" s="23"/>
      <c r="C22" s="23"/>
      <c r="D22" s="23"/>
      <c r="E22" s="23"/>
      <c r="F22" s="23"/>
      <c r="G22" s="23"/>
      <c r="H22" s="23"/>
      <c r="I22" s="23"/>
      <c r="J22" s="23"/>
      <c r="K22" s="23"/>
      <c r="L22" s="23"/>
    </row>
    <row r="23" spans="1:12" x14ac:dyDescent="0.25">
      <c r="A23" s="23"/>
      <c r="B23" s="23" t="s">
        <v>51</v>
      </c>
      <c r="C23" s="23"/>
      <c r="D23" s="23"/>
      <c r="E23" s="23"/>
      <c r="F23" s="23"/>
      <c r="G23" s="23"/>
      <c r="H23" s="23"/>
      <c r="I23" s="23"/>
      <c r="J23" s="23"/>
      <c r="K23" s="23"/>
      <c r="L23" s="23"/>
    </row>
    <row r="24" spans="1:12" x14ac:dyDescent="0.25">
      <c r="A24" s="23"/>
      <c r="B24" s="23" t="s">
        <v>164</v>
      </c>
      <c r="C24" s="23"/>
      <c r="D24" s="23"/>
      <c r="E24" s="23"/>
      <c r="F24" s="23"/>
      <c r="G24" s="23"/>
      <c r="H24" s="23"/>
      <c r="I24" s="23"/>
      <c r="J24" s="23"/>
      <c r="K24" s="23"/>
      <c r="L24" s="23"/>
    </row>
    <row r="25" spans="1:12" x14ac:dyDescent="0.25">
      <c r="A25" s="23"/>
      <c r="B25" s="23" t="s">
        <v>50</v>
      </c>
      <c r="C25" s="23"/>
      <c r="D25" s="23"/>
      <c r="E25" s="23"/>
      <c r="F25" s="23"/>
      <c r="G25" s="23"/>
      <c r="H25" s="23"/>
      <c r="I25" s="23"/>
      <c r="J25" s="23"/>
      <c r="K25" s="23"/>
      <c r="L25" s="23"/>
    </row>
    <row r="26" spans="1:12" x14ac:dyDescent="0.25">
      <c r="A26" s="23"/>
      <c r="B26" s="23" t="s">
        <v>643</v>
      </c>
      <c r="C26" s="23"/>
      <c r="D26" s="23"/>
      <c r="E26" s="23"/>
      <c r="F26" s="23"/>
      <c r="G26" s="23"/>
      <c r="H26" s="23"/>
      <c r="I26" s="23"/>
      <c r="J26" s="23"/>
      <c r="K26" s="23"/>
      <c r="L26" s="23"/>
    </row>
    <row r="27" spans="1:12" x14ac:dyDescent="0.25">
      <c r="A27" s="23"/>
      <c r="B27" s="23" t="s">
        <v>640</v>
      </c>
      <c r="C27" s="23"/>
      <c r="D27" s="23"/>
      <c r="E27" s="23"/>
      <c r="F27" s="23"/>
      <c r="G27" s="23"/>
      <c r="H27" s="23"/>
      <c r="I27" s="23"/>
      <c r="J27" s="23"/>
      <c r="K27" s="23"/>
      <c r="L27" s="23"/>
    </row>
    <row r="28" spans="1:12" x14ac:dyDescent="0.25">
      <c r="A28" s="23"/>
      <c r="B28" s="23"/>
      <c r="C28" s="23"/>
      <c r="D28" s="23"/>
      <c r="E28" s="23"/>
      <c r="F28" s="23"/>
      <c r="G28" s="23"/>
      <c r="H28" s="23"/>
      <c r="I28" s="23"/>
      <c r="J28" s="23"/>
      <c r="K28" s="23"/>
      <c r="L28" s="23"/>
    </row>
    <row r="29" spans="1:12" x14ac:dyDescent="0.25">
      <c r="A29" s="4" t="s">
        <v>159</v>
      </c>
      <c r="B29" s="23"/>
      <c r="C29" s="23"/>
      <c r="D29" s="23"/>
      <c r="E29" s="23"/>
      <c r="F29" s="23"/>
      <c r="G29" s="23"/>
      <c r="H29" s="23"/>
      <c r="I29" s="23"/>
      <c r="J29" s="23"/>
      <c r="K29" s="23"/>
      <c r="L29" s="23"/>
    </row>
    <row r="30" spans="1:12" x14ac:dyDescent="0.25">
      <c r="A30" t="s">
        <v>570</v>
      </c>
      <c r="B30" s="23"/>
      <c r="C30" s="23"/>
      <c r="D30" s="23"/>
      <c r="E30" s="23"/>
      <c r="F30" s="23"/>
      <c r="G30" s="23"/>
      <c r="H30" s="23"/>
      <c r="I30" s="23"/>
      <c r="J30" s="23"/>
      <c r="K30" s="23"/>
      <c r="L30" s="23"/>
    </row>
    <row r="31" spans="1:12" s="23" customFormat="1" x14ac:dyDescent="0.25">
      <c r="A31" s="23" t="s">
        <v>569</v>
      </c>
    </row>
    <row r="32" spans="1:12" x14ac:dyDescent="0.25">
      <c r="A32" s="5" t="s">
        <v>35</v>
      </c>
      <c r="B32" s="23"/>
      <c r="C32" s="23"/>
      <c r="D32" s="23"/>
      <c r="E32" s="23"/>
      <c r="F32" s="23"/>
      <c r="G32" s="23"/>
      <c r="H32" s="23"/>
      <c r="I32" s="23"/>
      <c r="J32" s="23"/>
      <c r="K32" s="23"/>
      <c r="L32" s="23"/>
    </row>
    <row r="33" spans="1:12" x14ac:dyDescent="0.25">
      <c r="A33" s="23"/>
      <c r="B33" s="23" t="s">
        <v>566</v>
      </c>
      <c r="C33" s="23"/>
      <c r="D33" s="23"/>
      <c r="E33" s="23"/>
      <c r="F33" s="23"/>
      <c r="G33" s="23"/>
      <c r="H33" s="23"/>
      <c r="I33" s="23"/>
      <c r="J33" s="23"/>
      <c r="K33" s="23"/>
      <c r="L33" s="23"/>
    </row>
    <row r="34" spans="1:12" x14ac:dyDescent="0.25">
      <c r="A34" s="23"/>
      <c r="B34" s="23" t="s">
        <v>193</v>
      </c>
      <c r="C34" s="23"/>
      <c r="D34" s="23"/>
      <c r="E34" s="23"/>
      <c r="F34" s="23"/>
      <c r="G34" s="23"/>
      <c r="H34" s="23"/>
      <c r="I34" s="23"/>
      <c r="J34" s="23"/>
      <c r="K34" s="23"/>
      <c r="L34" s="23"/>
    </row>
    <row r="35" spans="1:12" s="23" customFormat="1" x14ac:dyDescent="0.25">
      <c r="A35" s="5" t="s">
        <v>36</v>
      </c>
    </row>
    <row r="36" spans="1:12" x14ac:dyDescent="0.25">
      <c r="A36" s="23"/>
      <c r="B36" s="23" t="s">
        <v>571</v>
      </c>
      <c r="C36" s="23"/>
      <c r="D36" s="23"/>
      <c r="E36" s="23"/>
      <c r="F36" s="23"/>
      <c r="G36" s="23"/>
      <c r="H36" s="23"/>
      <c r="I36" s="23"/>
      <c r="J36" s="23"/>
      <c r="K36" s="23"/>
      <c r="L36" s="23"/>
    </row>
    <row r="37" spans="1:12" x14ac:dyDescent="0.25">
      <c r="A37" s="23"/>
      <c r="B37" s="23" t="s">
        <v>162</v>
      </c>
      <c r="C37" s="23"/>
      <c r="D37" s="23"/>
      <c r="E37" s="23"/>
      <c r="F37" s="23"/>
      <c r="G37" s="23"/>
      <c r="H37" s="23"/>
      <c r="I37" s="23"/>
      <c r="J37" s="23"/>
      <c r="K37" s="23"/>
      <c r="L37" s="23"/>
    </row>
    <row r="38" spans="1:12" x14ac:dyDescent="0.25">
      <c r="A38" s="5" t="s">
        <v>37</v>
      </c>
      <c r="B38" s="23"/>
      <c r="C38" s="23"/>
      <c r="D38" s="23"/>
      <c r="E38" s="23"/>
      <c r="F38" s="23"/>
      <c r="G38" s="23"/>
      <c r="H38" s="23"/>
      <c r="I38" s="23"/>
      <c r="J38" s="23"/>
      <c r="K38" s="23"/>
      <c r="L38" s="23"/>
    </row>
    <row r="39" spans="1:12" x14ac:dyDescent="0.25">
      <c r="A39" s="23"/>
      <c r="B39" s="23" t="s">
        <v>571</v>
      </c>
      <c r="C39" s="23"/>
      <c r="D39" s="23"/>
      <c r="E39" s="23"/>
      <c r="F39" s="23"/>
      <c r="G39" s="23"/>
      <c r="H39" s="23"/>
      <c r="I39" s="23"/>
      <c r="J39" s="23"/>
      <c r="K39" s="23"/>
      <c r="L39" s="23"/>
    </row>
    <row r="40" spans="1:12" x14ac:dyDescent="0.25">
      <c r="A40" s="5" t="s">
        <v>38</v>
      </c>
      <c r="B40" s="23"/>
      <c r="C40" s="23"/>
      <c r="D40" s="23"/>
      <c r="E40" s="23"/>
      <c r="F40" s="23"/>
      <c r="G40" s="23"/>
      <c r="H40" s="23"/>
      <c r="I40" s="23"/>
      <c r="J40" s="23"/>
      <c r="K40" s="23"/>
      <c r="L40" s="23"/>
    </row>
    <row r="41" spans="1:12" x14ac:dyDescent="0.25">
      <c r="A41" s="5"/>
      <c r="B41" s="23" t="s">
        <v>572</v>
      </c>
      <c r="C41" s="23"/>
      <c r="D41" s="23"/>
      <c r="E41" s="23"/>
      <c r="F41" s="23"/>
      <c r="G41" s="23"/>
      <c r="H41" s="23"/>
      <c r="I41" s="23"/>
      <c r="J41" s="23"/>
      <c r="K41" s="23"/>
      <c r="L41" s="23"/>
    </row>
    <row r="42" spans="1:12" x14ac:dyDescent="0.25">
      <c r="A42" s="23"/>
      <c r="B42" s="23" t="s">
        <v>567</v>
      </c>
      <c r="C42" s="23"/>
      <c r="D42" s="23"/>
      <c r="E42" s="23"/>
      <c r="F42" s="23"/>
      <c r="G42" s="23"/>
      <c r="H42" s="23"/>
      <c r="I42" s="23"/>
      <c r="J42" s="23"/>
      <c r="K42" s="23"/>
      <c r="L42" s="23"/>
    </row>
    <row r="43" spans="1:12" x14ac:dyDescent="0.25">
      <c r="A43" s="5" t="s">
        <v>39</v>
      </c>
      <c r="B43" s="23"/>
      <c r="C43" s="23"/>
      <c r="D43" s="23"/>
      <c r="E43" s="23"/>
      <c r="F43" s="23"/>
      <c r="G43" s="23"/>
      <c r="H43" s="23"/>
      <c r="I43" s="23"/>
      <c r="J43" s="23"/>
      <c r="K43" s="23"/>
      <c r="L43" s="23"/>
    </row>
    <row r="44" spans="1:12" x14ac:dyDescent="0.25">
      <c r="A44" s="50"/>
      <c r="B44" s="50" t="s">
        <v>568</v>
      </c>
      <c r="C44" s="50"/>
      <c r="D44" s="50"/>
      <c r="E44" s="50"/>
      <c r="F44" s="50"/>
      <c r="G44" s="50"/>
      <c r="H44" s="50"/>
      <c r="I44" s="50"/>
      <c r="J44" s="50"/>
      <c r="K44" s="50"/>
      <c r="L44" s="50"/>
    </row>
    <row r="45" spans="1:12" x14ac:dyDescent="0.25">
      <c r="A45" s="23"/>
      <c r="B45" s="23"/>
      <c r="C45" s="23"/>
      <c r="D45" s="23"/>
      <c r="E45" s="23"/>
      <c r="F45" s="23"/>
      <c r="G45" s="23"/>
      <c r="H45" s="23"/>
      <c r="I45" s="23"/>
      <c r="J45" s="23"/>
      <c r="K45" s="23"/>
      <c r="L45" s="23"/>
    </row>
    <row r="46" spans="1:12" x14ac:dyDescent="0.25">
      <c r="A46" s="23"/>
      <c r="B46" s="23"/>
      <c r="C46" s="23"/>
      <c r="D46" s="23"/>
      <c r="E46" s="23"/>
      <c r="F46" s="23"/>
      <c r="G46" s="23"/>
      <c r="H46" s="23"/>
      <c r="I46" s="23"/>
      <c r="J46" s="23"/>
      <c r="K46" s="23"/>
      <c r="L46" s="23"/>
    </row>
    <row r="47" spans="1:12" x14ac:dyDescent="0.25">
      <c r="A47" s="23"/>
      <c r="B47" s="23"/>
      <c r="C47" s="23"/>
      <c r="D47" s="23"/>
      <c r="E47" s="23"/>
      <c r="F47" s="23"/>
      <c r="G47" s="23"/>
      <c r="H47" s="23"/>
      <c r="I47" s="23"/>
      <c r="J47" s="23"/>
      <c r="K47" s="23"/>
      <c r="L47" s="23"/>
    </row>
    <row r="48" spans="1:12" x14ac:dyDescent="0.25">
      <c r="A48" s="23"/>
      <c r="B48" s="23"/>
      <c r="C48" s="23"/>
      <c r="D48" s="23"/>
      <c r="E48" s="23"/>
      <c r="F48" s="23"/>
      <c r="G48" s="23"/>
      <c r="H48" s="23"/>
      <c r="I48" s="23"/>
      <c r="J48" s="23"/>
      <c r="K48" s="23"/>
      <c r="L48" s="23"/>
    </row>
    <row r="49" spans="1:12" x14ac:dyDescent="0.25">
      <c r="A49" s="23"/>
      <c r="B49" s="23"/>
      <c r="C49" s="23"/>
      <c r="D49" s="23"/>
      <c r="E49" s="23"/>
      <c r="F49" s="23"/>
      <c r="G49" s="23"/>
      <c r="H49" s="23"/>
      <c r="I49" s="23"/>
      <c r="J49" s="23"/>
      <c r="K49" s="23"/>
      <c r="L49" s="23"/>
    </row>
    <row r="50" spans="1:12" x14ac:dyDescent="0.25">
      <c r="A50" s="23"/>
      <c r="B50" s="23"/>
      <c r="C50" s="23"/>
      <c r="D50" s="23"/>
      <c r="E50" s="23"/>
      <c r="F50" s="23"/>
      <c r="G50" s="23"/>
      <c r="H50" s="23"/>
      <c r="I50" s="23"/>
      <c r="J50" s="23"/>
      <c r="K50" s="23"/>
      <c r="L50" s="23"/>
    </row>
    <row r="51" spans="1:12" x14ac:dyDescent="0.25">
      <c r="A51" s="23"/>
      <c r="B51" s="23"/>
      <c r="C51" s="23"/>
      <c r="D51" s="23"/>
      <c r="E51" s="23"/>
      <c r="F51" s="23"/>
      <c r="G51" s="23"/>
      <c r="H51" s="23"/>
      <c r="I51" s="23"/>
      <c r="J51" s="23"/>
      <c r="K51" s="23"/>
      <c r="L51" s="23"/>
    </row>
    <row r="52" spans="1:12" x14ac:dyDescent="0.25">
      <c r="A52" s="23"/>
      <c r="B52" s="23"/>
      <c r="C52" s="23"/>
      <c r="D52" s="23"/>
      <c r="E52" s="23"/>
      <c r="F52" s="23"/>
      <c r="G52" s="23"/>
      <c r="H52" s="23"/>
      <c r="I52" s="23"/>
      <c r="J52" s="23"/>
      <c r="K52" s="23"/>
      <c r="L52" s="23"/>
    </row>
    <row r="53" spans="1:12" x14ac:dyDescent="0.25">
      <c r="A53" s="23"/>
      <c r="B53" s="23"/>
      <c r="C53" s="23"/>
      <c r="D53" s="23"/>
      <c r="E53" s="23"/>
      <c r="F53" s="23"/>
      <c r="G53" s="23"/>
      <c r="H53" s="23"/>
      <c r="I53" s="23"/>
      <c r="J53" s="23"/>
      <c r="K53" s="23"/>
      <c r="L53" s="23"/>
    </row>
    <row r="54" spans="1:12" x14ac:dyDescent="0.25">
      <c r="A54" s="23"/>
      <c r="B54" s="23"/>
      <c r="C54" s="23"/>
      <c r="D54" s="23"/>
      <c r="E54" s="23"/>
      <c r="F54" s="23"/>
      <c r="G54" s="23"/>
      <c r="H54" s="23"/>
      <c r="I54" s="23"/>
      <c r="J54" s="23"/>
      <c r="K54" s="23"/>
      <c r="L54" s="23"/>
    </row>
    <row r="55" spans="1:12" x14ac:dyDescent="0.25">
      <c r="A55" s="23"/>
      <c r="B55" s="23"/>
      <c r="C55" s="23"/>
      <c r="D55" s="23"/>
      <c r="E55" s="23"/>
      <c r="F55" s="23"/>
      <c r="G55" s="23"/>
      <c r="H55" s="23"/>
      <c r="I55" s="23"/>
      <c r="J55" s="23"/>
      <c r="K55" s="23"/>
      <c r="L55" s="2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1"/>
  <sheetViews>
    <sheetView topLeftCell="A67" zoomScale="90" zoomScaleNormal="90" workbookViewId="0">
      <selection activeCell="A84" sqref="A84"/>
    </sheetView>
  </sheetViews>
  <sheetFormatPr baseColWidth="10" defaultRowHeight="15" x14ac:dyDescent="0.25"/>
  <cols>
    <col min="1" max="1" width="22.85546875" style="23" customWidth="1"/>
    <col min="2" max="2" width="38.5703125" style="23" customWidth="1"/>
    <col min="3" max="3" width="24.5703125" style="23" customWidth="1"/>
    <col min="4" max="4" width="24.28515625" style="23" customWidth="1"/>
    <col min="5" max="5" width="4.5703125" style="23" customWidth="1"/>
    <col min="6" max="6" width="3.85546875" style="23" customWidth="1"/>
    <col min="7" max="7" width="23.85546875" style="23" customWidth="1"/>
    <col min="8" max="16384" width="11.42578125" style="23"/>
  </cols>
  <sheetData>
    <row r="1" spans="1:8" x14ac:dyDescent="0.25">
      <c r="A1" s="3" t="s">
        <v>52</v>
      </c>
      <c r="C1" s="26"/>
    </row>
    <row r="3" spans="1:8" s="3" customFormat="1" x14ac:dyDescent="0.25">
      <c r="A3" s="3" t="s">
        <v>53</v>
      </c>
      <c r="B3" s="3" t="s">
        <v>54</v>
      </c>
      <c r="C3" s="3" t="s">
        <v>55</v>
      </c>
      <c r="D3" s="3" t="s">
        <v>56</v>
      </c>
      <c r="G3" s="8" t="s">
        <v>150</v>
      </c>
    </row>
    <row r="4" spans="1:8" x14ac:dyDescent="0.25">
      <c r="A4" s="1" t="s">
        <v>330</v>
      </c>
      <c r="B4" s="23" t="s">
        <v>573</v>
      </c>
    </row>
    <row r="5" spans="1:8" x14ac:dyDescent="0.25">
      <c r="A5" s="1" t="s">
        <v>42</v>
      </c>
      <c r="B5" s="23" t="s">
        <v>57</v>
      </c>
      <c r="G5" s="23" t="s">
        <v>153</v>
      </c>
    </row>
    <row r="6" spans="1:8" x14ac:dyDescent="0.25">
      <c r="A6" s="1" t="s">
        <v>329</v>
      </c>
      <c r="B6" s="23" t="s">
        <v>574</v>
      </c>
      <c r="G6" s="23" t="s">
        <v>154</v>
      </c>
      <c r="H6" s="23" t="s">
        <v>646</v>
      </c>
    </row>
    <row r="7" spans="1:8" x14ac:dyDescent="0.25">
      <c r="A7" s="1" t="s">
        <v>0</v>
      </c>
      <c r="B7" s="23" t="s">
        <v>58</v>
      </c>
      <c r="G7" s="23" t="s">
        <v>151</v>
      </c>
    </row>
    <row r="8" spans="1:8" x14ac:dyDescent="0.25">
      <c r="A8" s="1" t="s">
        <v>1</v>
      </c>
      <c r="B8" s="23" t="s">
        <v>59</v>
      </c>
      <c r="G8" s="23" t="s">
        <v>627</v>
      </c>
      <c r="H8" s="23" t="s">
        <v>647</v>
      </c>
    </row>
    <row r="9" spans="1:8" x14ac:dyDescent="0.25">
      <c r="A9" s="1" t="s">
        <v>123</v>
      </c>
      <c r="B9" s="23" t="s">
        <v>174</v>
      </c>
      <c r="C9" s="23" t="s">
        <v>60</v>
      </c>
      <c r="D9" s="23" t="s">
        <v>60</v>
      </c>
    </row>
    <row r="10" spans="1:8" x14ac:dyDescent="0.25">
      <c r="A10" s="1" t="s">
        <v>173</v>
      </c>
      <c r="B10" s="23" t="s">
        <v>175</v>
      </c>
      <c r="C10" s="23" t="s">
        <v>60</v>
      </c>
      <c r="D10" s="23" t="s">
        <v>60</v>
      </c>
    </row>
    <row r="11" spans="1:8" x14ac:dyDescent="0.25">
      <c r="A11" s="1" t="s">
        <v>178</v>
      </c>
      <c r="B11" s="23" t="s">
        <v>65</v>
      </c>
      <c r="C11" s="23" t="s">
        <v>121</v>
      </c>
      <c r="D11" s="23" t="s">
        <v>122</v>
      </c>
    </row>
    <row r="12" spans="1:8" x14ac:dyDescent="0.25">
      <c r="A12" s="1" t="s">
        <v>176</v>
      </c>
      <c r="B12" s="23" t="s">
        <v>61</v>
      </c>
      <c r="C12" s="23" t="s">
        <v>62</v>
      </c>
      <c r="D12" s="23" t="s">
        <v>63</v>
      </c>
    </row>
    <row r="13" spans="1:8" x14ac:dyDescent="0.25">
      <c r="A13" s="1" t="s">
        <v>177</v>
      </c>
      <c r="B13" s="23" t="s">
        <v>64</v>
      </c>
      <c r="C13" s="23" t="s">
        <v>62</v>
      </c>
      <c r="D13" s="23" t="s">
        <v>63</v>
      </c>
    </row>
    <row r="14" spans="1:8" x14ac:dyDescent="0.25">
      <c r="A14" s="1" t="s">
        <v>179</v>
      </c>
      <c r="B14" s="23" t="s">
        <v>66</v>
      </c>
      <c r="C14" s="23" t="s">
        <v>67</v>
      </c>
      <c r="D14" s="23" t="s">
        <v>82</v>
      </c>
    </row>
    <row r="15" spans="1:8" x14ac:dyDescent="0.25">
      <c r="A15" s="1" t="s">
        <v>166</v>
      </c>
      <c r="B15" s="23" t="s">
        <v>575</v>
      </c>
    </row>
    <row r="16" spans="1:8" x14ac:dyDescent="0.25">
      <c r="A16" s="1" t="s">
        <v>167</v>
      </c>
      <c r="B16" s="23" t="s">
        <v>576</v>
      </c>
    </row>
    <row r="17" spans="1:4" x14ac:dyDescent="0.25">
      <c r="A17" s="1" t="s">
        <v>180</v>
      </c>
      <c r="B17" s="23" t="s">
        <v>68</v>
      </c>
      <c r="C17" s="23" t="s">
        <v>60</v>
      </c>
      <c r="D17" s="23" t="s">
        <v>60</v>
      </c>
    </row>
    <row r="18" spans="1:4" x14ac:dyDescent="0.25">
      <c r="A18" s="1" t="s">
        <v>181</v>
      </c>
      <c r="B18" s="23" t="s">
        <v>187</v>
      </c>
      <c r="C18" s="23" t="s">
        <v>60</v>
      </c>
      <c r="D18" s="23" t="s">
        <v>60</v>
      </c>
    </row>
    <row r="19" spans="1:4" x14ac:dyDescent="0.25">
      <c r="A19" s="1" t="s">
        <v>184</v>
      </c>
      <c r="B19" s="23" t="s">
        <v>190</v>
      </c>
      <c r="C19" s="23" t="s">
        <v>121</v>
      </c>
      <c r="D19" s="23" t="s">
        <v>122</v>
      </c>
    </row>
    <row r="20" spans="1:4" x14ac:dyDescent="0.25">
      <c r="A20" s="1" t="s">
        <v>182</v>
      </c>
      <c r="B20" s="23" t="s">
        <v>188</v>
      </c>
      <c r="C20" s="23" t="s">
        <v>62</v>
      </c>
      <c r="D20" s="23" t="s">
        <v>63</v>
      </c>
    </row>
    <row r="21" spans="1:4" x14ac:dyDescent="0.25">
      <c r="A21" s="1" t="s">
        <v>183</v>
      </c>
      <c r="B21" s="23" t="s">
        <v>189</v>
      </c>
      <c r="C21" s="23" t="s">
        <v>62</v>
      </c>
      <c r="D21" s="23" t="s">
        <v>63</v>
      </c>
    </row>
    <row r="22" spans="1:4" x14ac:dyDescent="0.25">
      <c r="A22" s="1" t="s">
        <v>185</v>
      </c>
      <c r="B22" s="23" t="s">
        <v>191</v>
      </c>
      <c r="C22" s="23" t="s">
        <v>67</v>
      </c>
      <c r="D22" s="23" t="s">
        <v>82</v>
      </c>
    </row>
    <row r="23" spans="1:4" x14ac:dyDescent="0.25">
      <c r="A23" s="1" t="s">
        <v>170</v>
      </c>
      <c r="B23" s="23" t="s">
        <v>577</v>
      </c>
    </row>
    <row r="24" spans="1:4" x14ac:dyDescent="0.25">
      <c r="A24" s="1" t="s">
        <v>171</v>
      </c>
      <c r="B24" s="23" t="s">
        <v>578</v>
      </c>
    </row>
    <row r="25" spans="1:4" x14ac:dyDescent="0.25">
      <c r="A25" s="1" t="s">
        <v>186</v>
      </c>
      <c r="B25" s="23" t="s">
        <v>192</v>
      </c>
      <c r="C25" s="23" t="s">
        <v>60</v>
      </c>
      <c r="D25" s="23" t="s">
        <v>60</v>
      </c>
    </row>
    <row r="26" spans="1:4" x14ac:dyDescent="0.25">
      <c r="A26" s="1" t="s">
        <v>19</v>
      </c>
      <c r="B26" s="23" t="s">
        <v>606</v>
      </c>
    </row>
    <row r="27" spans="1:4" x14ac:dyDescent="0.25">
      <c r="A27" s="1" t="s">
        <v>20</v>
      </c>
      <c r="B27" s="23" t="s">
        <v>607</v>
      </c>
    </row>
    <row r="28" spans="1:4" x14ac:dyDescent="0.25">
      <c r="A28" s="2" t="s">
        <v>120</v>
      </c>
      <c r="B28" s="23" t="s">
        <v>70</v>
      </c>
      <c r="C28" s="23" t="s">
        <v>60</v>
      </c>
      <c r="D28" s="23" t="s">
        <v>60</v>
      </c>
    </row>
    <row r="29" spans="1:4" x14ac:dyDescent="0.25">
      <c r="A29" s="2" t="s">
        <v>119</v>
      </c>
      <c r="B29" s="23" t="s">
        <v>71</v>
      </c>
      <c r="C29" s="23" t="s">
        <v>62</v>
      </c>
      <c r="D29" s="23" t="s">
        <v>63</v>
      </c>
    </row>
    <row r="30" spans="1:4" x14ac:dyDescent="0.25">
      <c r="A30" s="2" t="s">
        <v>118</v>
      </c>
      <c r="B30" s="23" t="s">
        <v>72</v>
      </c>
      <c r="C30" s="23" t="s">
        <v>60</v>
      </c>
      <c r="D30" s="23" t="s">
        <v>60</v>
      </c>
    </row>
    <row r="31" spans="1:4" x14ac:dyDescent="0.25">
      <c r="A31" s="2" t="s">
        <v>23</v>
      </c>
      <c r="B31" s="23" t="s">
        <v>579</v>
      </c>
    </row>
    <row r="32" spans="1:4" x14ac:dyDescent="0.25">
      <c r="A32" s="2" t="s">
        <v>24</v>
      </c>
      <c r="B32" s="23" t="s">
        <v>580</v>
      </c>
    </row>
    <row r="33" spans="1:4" x14ac:dyDescent="0.25">
      <c r="A33" s="2" t="s">
        <v>117</v>
      </c>
      <c r="B33" s="23" t="s">
        <v>73</v>
      </c>
      <c r="C33" s="23" t="s">
        <v>60</v>
      </c>
      <c r="D33" s="23" t="s">
        <v>60</v>
      </c>
    </row>
    <row r="34" spans="1:4" x14ac:dyDescent="0.25">
      <c r="A34" s="2" t="s">
        <v>116</v>
      </c>
      <c r="B34" s="23" t="s">
        <v>74</v>
      </c>
      <c r="C34" s="23" t="s">
        <v>60</v>
      </c>
      <c r="D34" s="23" t="s">
        <v>60</v>
      </c>
    </row>
    <row r="35" spans="1:4" x14ac:dyDescent="0.25">
      <c r="A35" s="2" t="s">
        <v>115</v>
      </c>
      <c r="B35" s="23" t="s">
        <v>75</v>
      </c>
      <c r="C35" s="23" t="s">
        <v>62</v>
      </c>
      <c r="D35" s="23" t="s">
        <v>63</v>
      </c>
    </row>
    <row r="36" spans="1:4" x14ac:dyDescent="0.25">
      <c r="A36" s="2" t="s">
        <v>114</v>
      </c>
      <c r="B36" s="23" t="s">
        <v>76</v>
      </c>
      <c r="C36" s="23" t="s">
        <v>60</v>
      </c>
      <c r="D36" s="23" t="s">
        <v>60</v>
      </c>
    </row>
    <row r="37" spans="1:4" x14ac:dyDescent="0.25">
      <c r="A37" s="2" t="s">
        <v>113</v>
      </c>
      <c r="B37" s="23" t="s">
        <v>78</v>
      </c>
      <c r="C37" s="23" t="s">
        <v>149</v>
      </c>
      <c r="D37" s="23" t="s">
        <v>79</v>
      </c>
    </row>
    <row r="38" spans="1:4" x14ac:dyDescent="0.25">
      <c r="A38" s="2" t="s">
        <v>28</v>
      </c>
      <c r="B38" s="23" t="s">
        <v>581</v>
      </c>
    </row>
    <row r="39" spans="1:4" x14ac:dyDescent="0.25">
      <c r="A39" s="2" t="s">
        <v>29</v>
      </c>
      <c r="B39" s="23" t="s">
        <v>582</v>
      </c>
    </row>
    <row r="40" spans="1:4" x14ac:dyDescent="0.25">
      <c r="A40" s="2" t="s">
        <v>112</v>
      </c>
      <c r="B40" s="23" t="s">
        <v>77</v>
      </c>
      <c r="C40" s="23" t="s">
        <v>60</v>
      </c>
      <c r="D40" s="23" t="s">
        <v>60</v>
      </c>
    </row>
    <row r="41" spans="1:4" x14ac:dyDescent="0.25">
      <c r="A41" s="2" t="s">
        <v>111</v>
      </c>
      <c r="B41" s="23" t="s">
        <v>80</v>
      </c>
      <c r="C41" s="23" t="s">
        <v>60</v>
      </c>
      <c r="D41" s="23" t="s">
        <v>60</v>
      </c>
    </row>
    <row r="42" spans="1:4" x14ac:dyDescent="0.25">
      <c r="A42" s="2" t="s">
        <v>110</v>
      </c>
      <c r="B42" s="23" t="s">
        <v>81</v>
      </c>
      <c r="C42" s="23" t="s">
        <v>67</v>
      </c>
      <c r="D42" s="23" t="s">
        <v>82</v>
      </c>
    </row>
    <row r="43" spans="1:4" x14ac:dyDescent="0.25">
      <c r="A43" s="2" t="s">
        <v>109</v>
      </c>
      <c r="B43" s="23" t="s">
        <v>83</v>
      </c>
      <c r="C43" s="23" t="s">
        <v>149</v>
      </c>
      <c r="D43" s="23" t="s">
        <v>79</v>
      </c>
    </row>
    <row r="44" spans="1:4" x14ac:dyDescent="0.25">
      <c r="A44" s="2" t="s">
        <v>108</v>
      </c>
      <c r="B44" s="23" t="s">
        <v>84</v>
      </c>
      <c r="C44" s="23" t="s">
        <v>149</v>
      </c>
      <c r="D44" s="23" t="s">
        <v>79</v>
      </c>
    </row>
    <row r="45" spans="1:4" x14ac:dyDescent="0.25">
      <c r="A45" s="2" t="s">
        <v>107</v>
      </c>
      <c r="B45" s="23" t="s">
        <v>85</v>
      </c>
      <c r="C45" s="23" t="s">
        <v>149</v>
      </c>
      <c r="D45" s="23" t="s">
        <v>79</v>
      </c>
    </row>
    <row r="46" spans="1:4" x14ac:dyDescent="0.25">
      <c r="A46" s="2" t="s">
        <v>106</v>
      </c>
      <c r="B46" s="23" t="s">
        <v>86</v>
      </c>
      <c r="C46" s="23" t="s">
        <v>149</v>
      </c>
      <c r="D46" s="23" t="s">
        <v>79</v>
      </c>
    </row>
    <row r="47" spans="1:4" x14ac:dyDescent="0.25">
      <c r="A47" s="2" t="s">
        <v>32</v>
      </c>
      <c r="B47" s="23" t="s">
        <v>583</v>
      </c>
    </row>
    <row r="48" spans="1:4" x14ac:dyDescent="0.25">
      <c r="A48" s="2" t="s">
        <v>33</v>
      </c>
      <c r="B48" s="23" t="s">
        <v>584</v>
      </c>
    </row>
    <row r="49" spans="1:4" x14ac:dyDescent="0.25">
      <c r="A49" s="2" t="s">
        <v>105</v>
      </c>
      <c r="B49" s="23" t="s">
        <v>87</v>
      </c>
      <c r="C49" s="23" t="s">
        <v>60</v>
      </c>
      <c r="D49" s="23" t="s">
        <v>60</v>
      </c>
    </row>
    <row r="50" spans="1:4" x14ac:dyDescent="0.25">
      <c r="A50" s="2" t="s">
        <v>597</v>
      </c>
      <c r="B50" s="23" t="s">
        <v>636</v>
      </c>
      <c r="C50" s="23" t="s">
        <v>60</v>
      </c>
      <c r="D50" s="23" t="s">
        <v>60</v>
      </c>
    </row>
    <row r="51" spans="1:4" x14ac:dyDescent="0.25">
      <c r="A51" s="2" t="s">
        <v>598</v>
      </c>
      <c r="B51" s="23" t="s">
        <v>637</v>
      </c>
      <c r="C51" s="23" t="s">
        <v>67</v>
      </c>
      <c r="D51" s="23" t="s">
        <v>82</v>
      </c>
    </row>
    <row r="52" spans="1:4" x14ac:dyDescent="0.25">
      <c r="A52" s="2" t="s">
        <v>332</v>
      </c>
      <c r="B52" s="23" t="s">
        <v>608</v>
      </c>
    </row>
    <row r="53" spans="1:4" x14ac:dyDescent="0.25">
      <c r="A53" s="2" t="s">
        <v>599</v>
      </c>
      <c r="B53" s="23" t="s">
        <v>638</v>
      </c>
      <c r="C53" s="23" t="s">
        <v>60</v>
      </c>
      <c r="D53" s="23" t="s">
        <v>60</v>
      </c>
    </row>
    <row r="54" spans="1:4" x14ac:dyDescent="0.25">
      <c r="A54" s="2" t="s">
        <v>600</v>
      </c>
      <c r="B54" s="23" t="s">
        <v>639</v>
      </c>
      <c r="C54" s="23" t="s">
        <v>67</v>
      </c>
      <c r="D54" s="23" t="s">
        <v>82</v>
      </c>
    </row>
    <row r="55" spans="1:4" x14ac:dyDescent="0.25">
      <c r="A55" s="2" t="s">
        <v>340</v>
      </c>
      <c r="B55" s="23" t="s">
        <v>609</v>
      </c>
    </row>
    <row r="56" spans="1:4" x14ac:dyDescent="0.25">
      <c r="A56" s="2" t="s">
        <v>596</v>
      </c>
      <c r="B56" s="23" t="s">
        <v>88</v>
      </c>
      <c r="C56" s="23" t="s">
        <v>60</v>
      </c>
      <c r="D56" s="23" t="s">
        <v>60</v>
      </c>
    </row>
    <row r="57" spans="1:4" x14ac:dyDescent="0.25">
      <c r="A57" s="2" t="s">
        <v>104</v>
      </c>
      <c r="B57" s="23" t="s">
        <v>89</v>
      </c>
      <c r="C57" s="23" t="s">
        <v>67</v>
      </c>
      <c r="D57" s="23" t="s">
        <v>82</v>
      </c>
    </row>
    <row r="58" spans="1:4" x14ac:dyDescent="0.25">
      <c r="A58" s="2" t="s">
        <v>103</v>
      </c>
      <c r="B58" s="23" t="s">
        <v>90</v>
      </c>
      <c r="C58" s="23" t="s">
        <v>60</v>
      </c>
      <c r="D58" s="23" t="s">
        <v>60</v>
      </c>
    </row>
    <row r="59" spans="1:4" x14ac:dyDescent="0.25">
      <c r="A59" s="23" t="s">
        <v>102</v>
      </c>
      <c r="B59" s="23" t="s">
        <v>91</v>
      </c>
      <c r="C59" s="23" t="s">
        <v>60</v>
      </c>
      <c r="D59" s="23" t="s">
        <v>60</v>
      </c>
    </row>
    <row r="60" spans="1:4" x14ac:dyDescent="0.25">
      <c r="A60" s="2" t="s">
        <v>101</v>
      </c>
      <c r="B60" s="23" t="s">
        <v>92</v>
      </c>
      <c r="C60" s="23" t="s">
        <v>60</v>
      </c>
      <c r="D60" s="23" t="s">
        <v>60</v>
      </c>
    </row>
    <row r="61" spans="1:4" x14ac:dyDescent="0.25">
      <c r="A61" s="23" t="s">
        <v>100</v>
      </c>
      <c r="B61" s="23" t="s">
        <v>93</v>
      </c>
      <c r="C61" s="23" t="s">
        <v>60</v>
      </c>
      <c r="D61" s="23" t="s">
        <v>60</v>
      </c>
    </row>
    <row r="62" spans="1:4" x14ac:dyDescent="0.25">
      <c r="A62" s="2" t="s">
        <v>99</v>
      </c>
      <c r="B62" s="23" t="s">
        <v>94</v>
      </c>
      <c r="C62" s="23" t="s">
        <v>60</v>
      </c>
      <c r="D62" s="23" t="s">
        <v>60</v>
      </c>
    </row>
    <row r="63" spans="1:4" x14ac:dyDescent="0.25">
      <c r="A63" s="23" t="s">
        <v>98</v>
      </c>
      <c r="B63" s="23" t="s">
        <v>95</v>
      </c>
      <c r="C63" s="23" t="s">
        <v>60</v>
      </c>
      <c r="D63" s="23" t="s">
        <v>60</v>
      </c>
    </row>
    <row r="64" spans="1:4" x14ac:dyDescent="0.25">
      <c r="A64" s="2" t="s">
        <v>97</v>
      </c>
      <c r="B64" s="23" t="s">
        <v>96</v>
      </c>
      <c r="C64" s="23" t="s">
        <v>60</v>
      </c>
      <c r="D64" s="23" t="s">
        <v>60</v>
      </c>
    </row>
    <row r="65" spans="1:12" x14ac:dyDescent="0.25">
      <c r="A65" s="2" t="s">
        <v>344</v>
      </c>
      <c r="B65" s="23" t="s">
        <v>610</v>
      </c>
    </row>
    <row r="66" spans="1:12" x14ac:dyDescent="0.25">
      <c r="A66" s="47" t="s">
        <v>602</v>
      </c>
      <c r="B66" s="50" t="s">
        <v>611</v>
      </c>
      <c r="C66" s="23" t="s">
        <v>60</v>
      </c>
      <c r="D66" s="23" t="s">
        <v>60</v>
      </c>
    </row>
    <row r="67" spans="1:12" x14ac:dyDescent="0.25">
      <c r="A67" s="50" t="s">
        <v>603</v>
      </c>
      <c r="B67" s="50" t="s">
        <v>612</v>
      </c>
      <c r="C67" s="23" t="s">
        <v>67</v>
      </c>
      <c r="D67" s="23" t="s">
        <v>82</v>
      </c>
    </row>
    <row r="68" spans="1:12" x14ac:dyDescent="0.25">
      <c r="A68" s="47" t="s">
        <v>347</v>
      </c>
      <c r="B68" s="50" t="s">
        <v>613</v>
      </c>
    </row>
    <row r="69" spans="1:12" x14ac:dyDescent="0.25">
      <c r="A69" s="47" t="s">
        <v>604</v>
      </c>
      <c r="B69" s="50" t="s">
        <v>614</v>
      </c>
      <c r="C69" s="23" t="s">
        <v>60</v>
      </c>
      <c r="D69" s="23" t="s">
        <v>60</v>
      </c>
    </row>
    <row r="70" spans="1:12" x14ac:dyDescent="0.25">
      <c r="A70" s="50" t="s">
        <v>605</v>
      </c>
      <c r="B70" s="50" t="s">
        <v>615</v>
      </c>
      <c r="C70" s="23" t="s">
        <v>67</v>
      </c>
      <c r="D70" s="23" t="s">
        <v>82</v>
      </c>
    </row>
    <row r="73" spans="1:12" customFormat="1" x14ac:dyDescent="0.25">
      <c r="A73" s="23"/>
      <c r="B73" s="23"/>
      <c r="C73" s="23"/>
      <c r="D73" s="23"/>
      <c r="E73" s="23"/>
      <c r="F73" s="23"/>
      <c r="G73" s="23"/>
      <c r="H73" s="23"/>
      <c r="I73" s="23"/>
      <c r="J73" s="23"/>
      <c r="K73" s="23"/>
      <c r="L73" s="23"/>
    </row>
    <row r="74" spans="1:12" customFormat="1" x14ac:dyDescent="0.25">
      <c r="A74" s="3" t="s">
        <v>124</v>
      </c>
      <c r="B74" s="23"/>
      <c r="C74" s="23"/>
      <c r="D74" s="23"/>
      <c r="E74" s="23"/>
      <c r="F74" s="23"/>
      <c r="G74" s="23"/>
      <c r="H74" s="23"/>
      <c r="I74" s="23"/>
      <c r="J74" s="23"/>
      <c r="K74" s="23"/>
      <c r="L74" s="23"/>
    </row>
    <row r="75" spans="1:12" customFormat="1" x14ac:dyDescent="0.25">
      <c r="A75" s="23">
        <v>-1</v>
      </c>
      <c r="B75" s="5" t="s">
        <v>644</v>
      </c>
      <c r="C75" s="23"/>
      <c r="D75" s="23"/>
      <c r="E75" s="23"/>
      <c r="F75" s="23"/>
      <c r="G75" s="23"/>
      <c r="H75" s="23"/>
      <c r="I75" s="23"/>
      <c r="J75" s="23"/>
      <c r="K75" s="23"/>
      <c r="L75" s="23"/>
    </row>
    <row r="76" spans="1:12" customFormat="1" x14ac:dyDescent="0.25">
      <c r="A76" s="23">
        <v>-3</v>
      </c>
      <c r="B76" s="5" t="s">
        <v>645</v>
      </c>
      <c r="C76" s="23"/>
      <c r="D76" s="23"/>
      <c r="E76" s="23"/>
      <c r="F76" s="23"/>
      <c r="G76" s="23"/>
      <c r="H76" s="23"/>
      <c r="I76" s="23"/>
      <c r="J76" s="23"/>
      <c r="K76" s="23"/>
      <c r="L76" s="23"/>
    </row>
    <row r="77" spans="1:12" customFormat="1" x14ac:dyDescent="0.25">
      <c r="A77" s="23"/>
      <c r="B77" s="23"/>
      <c r="C77" s="23"/>
      <c r="D77" s="23"/>
      <c r="E77" s="23"/>
      <c r="F77" s="23"/>
      <c r="G77" s="23"/>
      <c r="H77" s="23"/>
      <c r="I77" s="23"/>
      <c r="J77" s="23"/>
      <c r="K77" s="23"/>
      <c r="L77" s="23"/>
    </row>
    <row r="78" spans="1:12" x14ac:dyDescent="0.25">
      <c r="A78" s="3" t="s">
        <v>145</v>
      </c>
      <c r="B78" s="7"/>
    </row>
    <row r="79" spans="1:12" x14ac:dyDescent="0.25">
      <c r="A79" s="23" t="s">
        <v>19</v>
      </c>
      <c r="B79" s="23" t="s">
        <v>585</v>
      </c>
      <c r="C79" s="1"/>
    </row>
    <row r="80" spans="1:12" x14ac:dyDescent="0.25">
      <c r="A80" s="23">
        <v>0</v>
      </c>
      <c r="B80" s="23" t="s">
        <v>586</v>
      </c>
      <c r="C80" s="1"/>
    </row>
    <row r="81" spans="1:3" x14ac:dyDescent="0.25">
      <c r="A81" s="23">
        <v>1</v>
      </c>
      <c r="B81" s="23" t="s">
        <v>587</v>
      </c>
      <c r="C81" s="1"/>
    </row>
    <row r="83" spans="1:3" x14ac:dyDescent="0.25">
      <c r="A83" s="3" t="s">
        <v>146</v>
      </c>
    </row>
    <row r="84" spans="1:3" x14ac:dyDescent="0.25">
      <c r="A84" s="23" t="s">
        <v>20</v>
      </c>
      <c r="B84" s="23" t="s">
        <v>69</v>
      </c>
    </row>
    <row r="85" spans="1:3" x14ac:dyDescent="0.25">
      <c r="A85" s="97">
        <v>1</v>
      </c>
      <c r="B85" s="23" t="s">
        <v>138</v>
      </c>
      <c r="C85" s="96"/>
    </row>
    <row r="86" spans="1:3" x14ac:dyDescent="0.25">
      <c r="A86" s="97">
        <v>2</v>
      </c>
      <c r="B86" s="23" t="s">
        <v>139</v>
      </c>
      <c r="C86" s="96"/>
    </row>
    <row r="87" spans="1:3" x14ac:dyDescent="0.25">
      <c r="A87" s="97">
        <v>3</v>
      </c>
      <c r="B87" s="23" t="s">
        <v>140</v>
      </c>
      <c r="C87" s="96"/>
    </row>
    <row r="88" spans="1:3" x14ac:dyDescent="0.25">
      <c r="A88" s="97">
        <v>4</v>
      </c>
      <c r="B88" s="23" t="s">
        <v>141</v>
      </c>
      <c r="C88" s="96"/>
    </row>
    <row r="89" spans="1:3" x14ac:dyDescent="0.25">
      <c r="A89" s="97">
        <v>5</v>
      </c>
      <c r="B89" s="23" t="s">
        <v>142</v>
      </c>
      <c r="C89" s="96"/>
    </row>
    <row r="90" spans="1:3" x14ac:dyDescent="0.25">
      <c r="A90" s="97">
        <v>6</v>
      </c>
      <c r="B90" s="23" t="s">
        <v>143</v>
      </c>
      <c r="C90" s="96"/>
    </row>
    <row r="91" spans="1:3" x14ac:dyDescent="0.25">
      <c r="A91" s="97">
        <v>7</v>
      </c>
      <c r="B91" s="23" t="s">
        <v>144</v>
      </c>
      <c r="C91" s="96"/>
    </row>
    <row r="93" spans="1:3" x14ac:dyDescent="0.25">
      <c r="A93" s="3" t="s">
        <v>336</v>
      </c>
    </row>
    <row r="94" spans="1:3" x14ac:dyDescent="0.25">
      <c r="A94" s="23" t="s">
        <v>332</v>
      </c>
      <c r="B94" s="23" t="s">
        <v>336</v>
      </c>
    </row>
    <row r="95" spans="1:3" x14ac:dyDescent="0.25">
      <c r="A95" s="23">
        <v>1</v>
      </c>
      <c r="B95" s="23" t="s">
        <v>337</v>
      </c>
    </row>
    <row r="96" spans="1:3" x14ac:dyDescent="0.25">
      <c r="A96" s="23">
        <v>2</v>
      </c>
      <c r="B96" s="23" t="s">
        <v>588</v>
      </c>
    </row>
    <row r="98" spans="1:2" x14ac:dyDescent="0.25">
      <c r="A98" s="3" t="s">
        <v>339</v>
      </c>
    </row>
    <row r="99" spans="1:2" x14ac:dyDescent="0.25">
      <c r="A99" s="23" t="s">
        <v>340</v>
      </c>
      <c r="B99" s="23" t="s">
        <v>338</v>
      </c>
    </row>
    <row r="100" spans="1:2" x14ac:dyDescent="0.25">
      <c r="A100" s="23">
        <v>1</v>
      </c>
      <c r="B100" s="23" t="s">
        <v>589</v>
      </c>
    </row>
    <row r="101" spans="1:2" x14ac:dyDescent="0.25">
      <c r="A101" s="23">
        <v>2</v>
      </c>
      <c r="B101" s="23" t="s">
        <v>590</v>
      </c>
    </row>
    <row r="102" spans="1:2" x14ac:dyDescent="0.25">
      <c r="A102" s="23">
        <v>3</v>
      </c>
      <c r="B102" s="23" t="s">
        <v>591</v>
      </c>
    </row>
    <row r="104" spans="1:2" x14ac:dyDescent="0.25">
      <c r="A104" s="27" t="s">
        <v>343</v>
      </c>
      <c r="B104" s="7"/>
    </row>
    <row r="105" spans="1:2" x14ac:dyDescent="0.25">
      <c r="A105" s="23" t="s">
        <v>344</v>
      </c>
      <c r="B105" s="23" t="s">
        <v>341</v>
      </c>
    </row>
    <row r="106" spans="1:2" x14ac:dyDescent="0.25">
      <c r="A106" s="23">
        <v>1</v>
      </c>
      <c r="B106" s="23" t="s">
        <v>592</v>
      </c>
    </row>
    <row r="107" spans="1:2" x14ac:dyDescent="0.25">
      <c r="A107" s="23">
        <v>2</v>
      </c>
      <c r="B107" s="23" t="s">
        <v>593</v>
      </c>
    </row>
    <row r="109" spans="1:2" x14ac:dyDescent="0.25">
      <c r="A109" s="23" t="s">
        <v>347</v>
      </c>
      <c r="B109" s="23" t="s">
        <v>594</v>
      </c>
    </row>
    <row r="110" spans="1:2" x14ac:dyDescent="0.25">
      <c r="A110" s="23">
        <v>1</v>
      </c>
      <c r="B110" s="23" t="s">
        <v>595</v>
      </c>
    </row>
    <row r="111" spans="1:2" x14ac:dyDescent="0.25">
      <c r="A111" s="23">
        <v>2</v>
      </c>
      <c r="B111" s="23" t="s">
        <v>342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60"/>
  <sheetViews>
    <sheetView zoomScale="70" zoomScaleNormal="70" workbookViewId="0">
      <pane xSplit="5" ySplit="1" topLeftCell="P167" activePane="bottomRight" state="frozen"/>
      <selection pane="topRight" activeCell="F1" sqref="F1"/>
      <selection pane="bottomLeft" activeCell="A2" sqref="A2"/>
      <selection pane="bottomRight" activeCell="X1" sqref="X1"/>
    </sheetView>
  </sheetViews>
  <sheetFormatPr baseColWidth="10" defaultRowHeight="15" x14ac:dyDescent="0.25"/>
  <cols>
    <col min="1" max="1" width="5.42578125" style="50" customWidth="1"/>
    <col min="2" max="2" width="7.28515625" style="36" customWidth="1"/>
    <col min="3" max="3" width="10.140625" style="46" customWidth="1"/>
    <col min="4" max="4" width="37.85546875" style="36" customWidth="1"/>
    <col min="5" max="5" width="39.28515625" style="46" customWidth="1"/>
    <col min="6" max="6" width="15.140625" style="39" customWidth="1"/>
    <col min="7" max="7" width="14.140625" style="36" customWidth="1"/>
    <col min="8" max="8" width="18.42578125" style="36" customWidth="1"/>
    <col min="9" max="9" width="15.140625" style="36" customWidth="1"/>
    <col min="10" max="10" width="13" style="36" customWidth="1"/>
    <col min="11" max="11" width="14" style="36" customWidth="1"/>
    <col min="12" max="12" width="13" style="36" customWidth="1"/>
    <col min="13" max="13" width="16" style="36" customWidth="1"/>
    <col min="14" max="14" width="13.85546875" style="36" customWidth="1"/>
    <col min="15" max="15" width="14.140625" style="36" customWidth="1"/>
    <col min="16" max="16" width="20.42578125" style="36" customWidth="1"/>
    <col min="17" max="20" width="13" style="36" customWidth="1"/>
    <col min="21" max="21" width="17.85546875" style="36" customWidth="1"/>
    <col min="22" max="22" width="13.85546875" style="36" customWidth="1"/>
    <col min="23" max="24" width="13" style="36" customWidth="1"/>
    <col min="25" max="25" width="14.85546875" style="29" customWidth="1"/>
    <col min="26" max="26" width="14" style="47" customWidth="1"/>
    <col min="27" max="27" width="12.7109375" style="46" customWidth="1"/>
    <col min="28" max="28" width="11.42578125" style="50" customWidth="1"/>
    <col min="29" max="29" width="15.140625" style="50" customWidth="1"/>
    <col min="30" max="30" width="15.42578125" style="50" customWidth="1"/>
    <col min="31" max="31" width="16.140625" style="42" customWidth="1"/>
    <col min="32" max="32" width="13" style="52" customWidth="1"/>
    <col min="33" max="33" width="11.42578125" style="36" customWidth="1"/>
    <col min="34" max="34" width="17.140625" style="52" customWidth="1"/>
    <col min="35" max="35" width="11.42578125" style="45"/>
    <col min="36" max="36" width="25.28515625" style="45" customWidth="1"/>
    <col min="37" max="37" width="11.42578125" style="45"/>
    <col min="38" max="38" width="15.85546875" style="34" customWidth="1"/>
    <col min="39" max="39" width="14.140625" style="43" customWidth="1"/>
    <col min="40" max="40" width="19" style="35" customWidth="1"/>
    <col min="41" max="42" width="11.42578125" style="35"/>
    <col min="43" max="43" width="11.42578125" style="85"/>
    <col min="44" max="44" width="15.7109375" style="36" customWidth="1"/>
    <col min="45" max="45" width="17.85546875" style="45" customWidth="1"/>
    <col min="46" max="46" width="10.85546875" style="45" customWidth="1"/>
    <col min="47" max="47" width="18.7109375" style="44" customWidth="1"/>
    <col min="48" max="48" width="18.5703125" style="88" customWidth="1"/>
    <col min="49" max="49" width="13" style="88" customWidth="1"/>
    <col min="50" max="50" width="17.7109375" style="52" customWidth="1"/>
    <col min="51" max="51" width="16.5703125" style="88" customWidth="1"/>
    <col min="52" max="52" width="13" style="45" customWidth="1"/>
    <col min="53" max="53" width="14.28515625" style="36" customWidth="1"/>
    <col min="54" max="54" width="12.42578125" style="36" customWidth="1"/>
    <col min="55" max="61" width="11.42578125" style="45"/>
    <col min="62" max="62" width="11.42578125" style="28"/>
    <col min="63" max="63" width="14.28515625" style="36" customWidth="1"/>
    <col min="64" max="64" width="14.85546875" style="43" customWidth="1"/>
    <col min="65" max="65" width="11.42578125" style="45"/>
    <col min="66" max="66" width="14.42578125" style="36" customWidth="1"/>
    <col min="67" max="67" width="14.85546875" style="43" customWidth="1"/>
    <col min="68" max="68" width="11.42578125" style="45"/>
    <col min="69" max="16384" width="11.42578125" style="50"/>
  </cols>
  <sheetData>
    <row r="1" spans="1:68" x14ac:dyDescent="0.25">
      <c r="A1" s="50" t="s">
        <v>330</v>
      </c>
      <c r="B1" s="36" t="s">
        <v>42</v>
      </c>
      <c r="C1" s="46" t="s">
        <v>329</v>
      </c>
      <c r="D1" s="36" t="s">
        <v>0</v>
      </c>
      <c r="E1" s="46" t="s">
        <v>1</v>
      </c>
      <c r="F1" s="39" t="s">
        <v>18</v>
      </c>
      <c r="G1" s="36" t="s">
        <v>165</v>
      </c>
      <c r="H1" s="36" t="s">
        <v>616</v>
      </c>
      <c r="I1" s="36" t="s">
        <v>617</v>
      </c>
      <c r="J1" s="36" t="s">
        <v>618</v>
      </c>
      <c r="K1" s="36" t="s">
        <v>619</v>
      </c>
      <c r="L1" s="36" t="s">
        <v>166</v>
      </c>
      <c r="M1" s="36" t="s">
        <v>167</v>
      </c>
      <c r="N1" s="36" t="s">
        <v>168</v>
      </c>
      <c r="O1" s="36" t="s">
        <v>169</v>
      </c>
      <c r="P1" s="36" t="s">
        <v>621</v>
      </c>
      <c r="Q1" s="36" t="s">
        <v>622</v>
      </c>
      <c r="R1" s="36" t="s">
        <v>623</v>
      </c>
      <c r="S1" s="36" t="s">
        <v>624</v>
      </c>
      <c r="T1" s="36" t="s">
        <v>170</v>
      </c>
      <c r="U1" s="36" t="s">
        <v>171</v>
      </c>
      <c r="V1" s="36" t="s">
        <v>172</v>
      </c>
      <c r="W1" s="36" t="s">
        <v>19</v>
      </c>
      <c r="X1" s="36" t="s">
        <v>20</v>
      </c>
      <c r="Y1" s="29" t="s">
        <v>21</v>
      </c>
      <c r="Z1" s="47" t="s">
        <v>620</v>
      </c>
      <c r="AA1" s="46" t="s">
        <v>22</v>
      </c>
      <c r="AB1" s="47" t="s">
        <v>23</v>
      </c>
      <c r="AC1" s="47" t="s">
        <v>24</v>
      </c>
      <c r="AD1" s="47" t="s">
        <v>26</v>
      </c>
      <c r="AE1" s="42" t="s">
        <v>25</v>
      </c>
      <c r="AF1" s="52" t="s">
        <v>625</v>
      </c>
      <c r="AG1" s="36" t="s">
        <v>27</v>
      </c>
      <c r="AH1" s="52" t="s">
        <v>626</v>
      </c>
      <c r="AI1" s="43" t="s">
        <v>28</v>
      </c>
      <c r="AJ1" s="43" t="s">
        <v>29</v>
      </c>
      <c r="AK1" s="43" t="s">
        <v>30</v>
      </c>
      <c r="AL1" s="34" t="s">
        <v>31</v>
      </c>
      <c r="AM1" s="43" t="s">
        <v>632</v>
      </c>
      <c r="AN1" s="35" t="s">
        <v>628</v>
      </c>
      <c r="AO1" s="35" t="s">
        <v>629</v>
      </c>
      <c r="AP1" s="35" t="s">
        <v>630</v>
      </c>
      <c r="AQ1" s="35" t="s">
        <v>631</v>
      </c>
      <c r="AR1" s="36" t="s">
        <v>32</v>
      </c>
      <c r="AS1" s="43" t="s">
        <v>33</v>
      </c>
      <c r="AT1" s="43" t="s">
        <v>34</v>
      </c>
      <c r="AU1" s="44" t="s">
        <v>350</v>
      </c>
      <c r="AV1" s="89" t="s">
        <v>633</v>
      </c>
      <c r="AW1" s="89" t="s">
        <v>332</v>
      </c>
      <c r="AX1" s="52" t="s">
        <v>334</v>
      </c>
      <c r="AY1" s="89" t="s">
        <v>634</v>
      </c>
      <c r="AZ1" s="43" t="s">
        <v>340</v>
      </c>
      <c r="BA1" s="36" t="s">
        <v>601</v>
      </c>
      <c r="BB1" s="36" t="s">
        <v>635</v>
      </c>
      <c r="BC1" s="43" t="s">
        <v>43</v>
      </c>
      <c r="BD1" s="45" t="s">
        <v>44</v>
      </c>
      <c r="BE1" s="43" t="s">
        <v>45</v>
      </c>
      <c r="BF1" s="45" t="s">
        <v>46</v>
      </c>
      <c r="BG1" s="43" t="s">
        <v>47</v>
      </c>
      <c r="BH1" s="45" t="s">
        <v>48</v>
      </c>
      <c r="BI1" s="43" t="s">
        <v>49</v>
      </c>
      <c r="BJ1" s="28" t="s">
        <v>344</v>
      </c>
      <c r="BK1" s="36" t="s">
        <v>345</v>
      </c>
      <c r="BL1" s="43" t="s">
        <v>346</v>
      </c>
      <c r="BM1" s="43" t="s">
        <v>347</v>
      </c>
      <c r="BN1" s="36" t="s">
        <v>348</v>
      </c>
      <c r="BO1" s="43" t="s">
        <v>349</v>
      </c>
    </row>
    <row r="2" spans="1:68" x14ac:dyDescent="0.25">
      <c r="A2" s="50">
        <v>1</v>
      </c>
      <c r="B2" s="36">
        <v>1010</v>
      </c>
      <c r="C2" s="46">
        <v>1010</v>
      </c>
      <c r="D2" s="37" t="s">
        <v>6</v>
      </c>
      <c r="E2" s="25" t="s">
        <v>410</v>
      </c>
      <c r="F2" s="39">
        <v>-3</v>
      </c>
      <c r="G2" s="45">
        <v>-3</v>
      </c>
      <c r="H2" s="45">
        <f>+IF(F2&gt;0,INT(Fuelbeds_english!H2*2.471),F2)</f>
        <v>-3</v>
      </c>
      <c r="I2" s="36">
        <f>+IF(F2&gt;0,INT(Fuelbeds_english!I2*0.3048),F2)</f>
        <v>-3</v>
      </c>
      <c r="J2" s="45">
        <f>+IF(F2&gt;0,INT(Fuelbeds_english!J2*0.3048),F2)</f>
        <v>-3</v>
      </c>
      <c r="K2" s="45">
        <f>+IF(F2&gt;0,INT(Fuelbeds_english!K2*2.54),F2)</f>
        <v>-3</v>
      </c>
      <c r="L2" s="45">
        <v>-3</v>
      </c>
      <c r="M2" s="45">
        <v>-3</v>
      </c>
      <c r="N2" s="45">
        <v>-3</v>
      </c>
      <c r="O2" s="45">
        <v>-3</v>
      </c>
      <c r="P2" s="45">
        <f>+IF(O2&gt;0,INT(Fuelbeds_english!P2*2.471),O2)</f>
        <v>-3</v>
      </c>
      <c r="Q2" s="36">
        <f>+IF(O2&gt;0,INT(Fuelbeds_english!Q2*0.3048),O2)</f>
        <v>-3</v>
      </c>
      <c r="R2" s="45">
        <f>+IF(O2&gt;0,INT(Fuelbeds_english!R2*0.3048),O2)</f>
        <v>-3</v>
      </c>
      <c r="S2" s="45">
        <f>+IF(O2&gt;0,INT(Fuelbeds_english!S2*2.54),O2)</f>
        <v>-3</v>
      </c>
      <c r="T2" s="45">
        <v>-3</v>
      </c>
      <c r="U2" s="45">
        <v>-3</v>
      </c>
      <c r="V2" s="45">
        <v>-3</v>
      </c>
      <c r="W2" s="45">
        <v>-3</v>
      </c>
      <c r="X2" s="99">
        <v>-3</v>
      </c>
      <c r="Y2" s="81">
        <v>-3</v>
      </c>
      <c r="Z2" s="10">
        <f>+IF(Y2&gt;0,FIXED(Fuelbeds_english!Z2*0.3048,1,0),Y2)</f>
        <v>-3</v>
      </c>
      <c r="AA2" s="48">
        <v>-3</v>
      </c>
      <c r="AB2" s="10">
        <v>-3</v>
      </c>
      <c r="AC2" s="10">
        <v>-3</v>
      </c>
      <c r="AD2" s="10">
        <v>-3</v>
      </c>
      <c r="AE2" s="42">
        <v>100</v>
      </c>
      <c r="AF2" s="52" t="str">
        <f>+IF(AE2&gt;0,FIXED(Fuelbeds_english!AF2*0.3048,1,0),AE2)</f>
        <v>0.2</v>
      </c>
      <c r="AG2" s="36">
        <v>0</v>
      </c>
      <c r="AH2" s="52" t="str">
        <f>+IF(AE2&gt;0,FIXED(Fuelbeds_english!AH2*2.242,1,0),AE2)</f>
        <v>0.4</v>
      </c>
      <c r="AI2" s="45">
        <v>42236</v>
      </c>
      <c r="AJ2" s="45" t="s">
        <v>207</v>
      </c>
      <c r="AK2" s="45">
        <v>100</v>
      </c>
      <c r="AL2" s="34">
        <v>-3</v>
      </c>
      <c r="AM2" s="52">
        <f>+IF(AL2&gt;0,FIXED(Fuelbeds_english!AM2*2.54,1,0),AL2)</f>
        <v>-3</v>
      </c>
      <c r="AN2" s="52">
        <f>+IF(AM2&gt;0,FIXED(Fuelbeds_english!AN2*0.3048,1,0),AM2)</f>
        <v>-3</v>
      </c>
      <c r="AO2" s="52">
        <f>+IF(AN2&gt;0,FIXED(Fuelbeds_english!AO2*0.3048,1,0),AN2)</f>
        <v>-3</v>
      </c>
      <c r="AP2" s="52">
        <f>+IF(AO2&gt;0,FIXED(Fuelbeds_english!AP2*0.3048,1,0),AO2)</f>
        <v>-3</v>
      </c>
      <c r="AQ2" s="52">
        <f>+IF(AP2&gt;0,FIXED(Fuelbeds_english!AQ2*0.3048,1,0),AP2)</f>
        <v>-3</v>
      </c>
      <c r="AR2" s="36">
        <v>-3</v>
      </c>
      <c r="AS2" s="45">
        <v>-3</v>
      </c>
      <c r="AT2" s="45">
        <v>-3</v>
      </c>
      <c r="AU2" s="44">
        <v>-1</v>
      </c>
      <c r="AV2" s="52">
        <f>+IF(AU2&gt;0,FIXED(Fuelbeds_english!AV2*2.54,1,0),AU2)</f>
        <v>-1</v>
      </c>
      <c r="AW2" s="52">
        <v>-1</v>
      </c>
      <c r="AX2" s="52">
        <v>-1</v>
      </c>
      <c r="AY2" s="52">
        <f>+IF(AX2&gt;0,FIXED(Fuelbeds_english!AY2*2.54,1,0),AX2)</f>
        <v>-1</v>
      </c>
      <c r="AZ2" s="45">
        <v>2</v>
      </c>
      <c r="BA2" s="36">
        <v>65</v>
      </c>
      <c r="BB2" s="52" t="str">
        <f>+IF(BA2&gt;0,FIXED(Fuelbeds_english!BB2*2.54,1,0),BA2)</f>
        <v>1.3</v>
      </c>
      <c r="BC2" s="53">
        <v>-1</v>
      </c>
      <c r="BD2" s="53">
        <v>-1</v>
      </c>
      <c r="BE2" s="53">
        <v>-1</v>
      </c>
      <c r="BF2" s="53">
        <v>-1</v>
      </c>
      <c r="BG2" s="53">
        <v>-1</v>
      </c>
      <c r="BH2" s="53">
        <v>-1</v>
      </c>
      <c r="BI2" s="45">
        <v>100</v>
      </c>
      <c r="BJ2" s="28">
        <v>-1</v>
      </c>
      <c r="BK2" s="36">
        <v>-1</v>
      </c>
      <c r="BL2" s="52">
        <f>+IF(BK2&gt;0,FIXED(Fuelbeds_english!BL2*2.54,1,0),BK2)</f>
        <v>-1</v>
      </c>
      <c r="BM2" s="36">
        <v>-1</v>
      </c>
      <c r="BN2" s="36">
        <v>-1</v>
      </c>
      <c r="BO2" s="52">
        <f>+IF(BN2&gt;0,FIXED(Fuelbeds_english!BO2*2.54,1,0),BN2)</f>
        <v>-1</v>
      </c>
    </row>
    <row r="3" spans="1:68" x14ac:dyDescent="0.25">
      <c r="A3" s="50">
        <v>2</v>
      </c>
      <c r="B3" s="36">
        <v>1011</v>
      </c>
      <c r="C3" s="46">
        <v>1011</v>
      </c>
      <c r="D3" s="37" t="s">
        <v>6</v>
      </c>
      <c r="E3" s="25" t="s">
        <v>411</v>
      </c>
      <c r="F3" s="39">
        <v>-3</v>
      </c>
      <c r="G3" s="45">
        <v>-3</v>
      </c>
      <c r="H3" s="45">
        <f>+IF(F3&gt;0,INT(Fuelbeds_english!H3*2.471),F3)</f>
        <v>-3</v>
      </c>
      <c r="I3" s="36">
        <f>+IF(F3&gt;0,INT(Fuelbeds_english!I3*0.3048),F3)</f>
        <v>-3</v>
      </c>
      <c r="J3" s="45">
        <f>+IF(F3&gt;0,INT(Fuelbeds_english!J3*0.3048),F3)</f>
        <v>-3</v>
      </c>
      <c r="K3" s="45">
        <f>+IF(F3&gt;0,INT(Fuelbeds_english!K3*2.54),F3)</f>
        <v>-3</v>
      </c>
      <c r="L3" s="45">
        <v>-3</v>
      </c>
      <c r="M3" s="45">
        <v>-3</v>
      </c>
      <c r="N3" s="45">
        <v>-3</v>
      </c>
      <c r="O3" s="45">
        <v>-3</v>
      </c>
      <c r="P3" s="45">
        <f>+IF(O3&gt;0,INT(Fuelbeds_english!P3*2.471),O3)</f>
        <v>-3</v>
      </c>
      <c r="Q3" s="36">
        <f>+IF(O3&gt;0,INT(Fuelbeds_english!Q3*0.3048),O3)</f>
        <v>-3</v>
      </c>
      <c r="R3" s="45">
        <f>+IF(O3&gt;0,INT(Fuelbeds_english!R3*0.3048),O3)</f>
        <v>-3</v>
      </c>
      <c r="S3" s="45">
        <f>+IF(O3&gt;0,INT(Fuelbeds_english!S3*2.54),O3)</f>
        <v>-3</v>
      </c>
      <c r="T3" s="45">
        <v>-3</v>
      </c>
      <c r="U3" s="45">
        <v>-3</v>
      </c>
      <c r="V3" s="45">
        <v>-3</v>
      </c>
      <c r="W3" s="45">
        <v>-3</v>
      </c>
      <c r="X3" s="99">
        <v>-3</v>
      </c>
      <c r="Y3" s="81">
        <v>-3</v>
      </c>
      <c r="Z3" s="10">
        <f>+IF(Y3&gt;0,FIXED(Fuelbeds_english!Z3*0.3048,1,0),Y3)</f>
        <v>-3</v>
      </c>
      <c r="AA3" s="48">
        <v>-3</v>
      </c>
      <c r="AB3" s="10">
        <v>-3</v>
      </c>
      <c r="AC3" s="10">
        <v>-3</v>
      </c>
      <c r="AD3" s="10">
        <v>-3</v>
      </c>
      <c r="AE3" s="42">
        <v>100</v>
      </c>
      <c r="AF3" s="52" t="str">
        <f>+IF(AE3&gt;0,FIXED(Fuelbeds_english!AF3*0.3048,1,0),AE3)</f>
        <v>0.2</v>
      </c>
      <c r="AG3" s="45">
        <v>0</v>
      </c>
      <c r="AH3" s="52" t="str">
        <f>+IF(AE3&gt;0,FIXED(Fuelbeds_english!AH3*2.242,1,0),AE3)</f>
        <v>2.9</v>
      </c>
      <c r="AI3" s="45">
        <v>41976</v>
      </c>
      <c r="AJ3" s="45" t="s">
        <v>209</v>
      </c>
      <c r="AK3" s="45">
        <v>100</v>
      </c>
      <c r="AL3" s="34">
        <v>-3</v>
      </c>
      <c r="AM3" s="52">
        <f>+IF(AL3&gt;0,FIXED(Fuelbeds_english!AM3*2.54,1,0),AL3)</f>
        <v>-3</v>
      </c>
      <c r="AN3" s="52">
        <f>+IF(AM3&gt;0,FIXED(Fuelbeds_english!AN3*0.3048,1,0),AM3)</f>
        <v>-3</v>
      </c>
      <c r="AO3" s="52">
        <f>+IF(AN3&gt;0,FIXED(Fuelbeds_english!AO3*0.3048,1,0),AN3)</f>
        <v>-3</v>
      </c>
      <c r="AP3" s="52">
        <f>+IF(AO3&gt;0,FIXED(Fuelbeds_english!AP3*0.3048,1,0),AO3)</f>
        <v>-3</v>
      </c>
      <c r="AQ3" s="52">
        <f>+IF(AP3&gt;0,FIXED(Fuelbeds_english!AQ3*0.3048,1,0),AP3)</f>
        <v>-3</v>
      </c>
      <c r="AR3" s="36">
        <v>-3</v>
      </c>
      <c r="AS3" s="45">
        <v>-3</v>
      </c>
      <c r="AT3" s="45">
        <v>-3</v>
      </c>
      <c r="AU3" s="44">
        <v>-1</v>
      </c>
      <c r="AV3" s="52">
        <f>+IF(AU3&gt;0,FIXED(Fuelbeds_english!AV3*2.54,1,0),AU3)</f>
        <v>-1</v>
      </c>
      <c r="AW3" s="52">
        <v>-1</v>
      </c>
      <c r="AX3" s="52">
        <v>-1</v>
      </c>
      <c r="AY3" s="52">
        <f>+IF(AX3&gt;0,FIXED(Fuelbeds_english!AY3*2.54,1,0),AX3)</f>
        <v>-1</v>
      </c>
      <c r="AZ3" s="45">
        <v>2</v>
      </c>
      <c r="BA3" s="36">
        <v>65</v>
      </c>
      <c r="BB3" s="52" t="str">
        <f>+IF(BA3&gt;0,FIXED(Fuelbeds_english!BB3*2.54,1,0),BA3)</f>
        <v>1.3</v>
      </c>
      <c r="BC3" s="53">
        <v>-1</v>
      </c>
      <c r="BD3" s="53">
        <v>-1</v>
      </c>
      <c r="BE3" s="53">
        <v>-1</v>
      </c>
      <c r="BF3" s="53">
        <v>-1</v>
      </c>
      <c r="BG3" s="53">
        <v>-1</v>
      </c>
      <c r="BH3" s="53">
        <v>-1</v>
      </c>
      <c r="BI3" s="45">
        <v>100</v>
      </c>
      <c r="BJ3" s="28">
        <v>-1</v>
      </c>
      <c r="BK3" s="36">
        <v>-1</v>
      </c>
      <c r="BL3" s="52">
        <f>+IF(BK3&gt;0,FIXED(Fuelbeds_english!BL3*2.54,1,0),BK3)</f>
        <v>-1</v>
      </c>
      <c r="BM3" s="36">
        <v>-1</v>
      </c>
      <c r="BN3" s="36">
        <v>-1</v>
      </c>
      <c r="BO3" s="52">
        <f>+IF(BN3&gt;0,FIXED(Fuelbeds_english!BO3*2.54,1,0),BN3)</f>
        <v>-1</v>
      </c>
    </row>
    <row r="4" spans="1:68" x14ac:dyDescent="0.25">
      <c r="A4" s="50">
        <v>3</v>
      </c>
      <c r="B4" s="36">
        <v>1012</v>
      </c>
      <c r="C4" s="46">
        <v>1012</v>
      </c>
      <c r="D4" s="37" t="s">
        <v>6</v>
      </c>
      <c r="E4" s="25" t="s">
        <v>412</v>
      </c>
      <c r="F4" s="39">
        <v>-3</v>
      </c>
      <c r="G4" s="45">
        <v>-3</v>
      </c>
      <c r="H4" s="45">
        <f>+IF(F4&gt;0,INT(Fuelbeds_english!H4*2.471),F4)</f>
        <v>-3</v>
      </c>
      <c r="I4" s="36">
        <f>+IF(F4&gt;0,INT(Fuelbeds_english!I4*0.3048),F4)</f>
        <v>-3</v>
      </c>
      <c r="J4" s="45">
        <f>+IF(F4&gt;0,INT(Fuelbeds_english!J4*0.3048),F4)</f>
        <v>-3</v>
      </c>
      <c r="K4" s="45">
        <f>+IF(F4&gt;0,INT(Fuelbeds_english!K4*2.54),F4)</f>
        <v>-3</v>
      </c>
      <c r="L4" s="45">
        <v>-3</v>
      </c>
      <c r="M4" s="45">
        <v>-3</v>
      </c>
      <c r="N4" s="45">
        <v>-3</v>
      </c>
      <c r="O4" s="45">
        <v>-3</v>
      </c>
      <c r="P4" s="45">
        <f>+IF(O4&gt;0,INT(Fuelbeds_english!P4*2.471),O4)</f>
        <v>-3</v>
      </c>
      <c r="Q4" s="36">
        <f>+IF(O4&gt;0,INT(Fuelbeds_english!Q4*0.3048),O4)</f>
        <v>-3</v>
      </c>
      <c r="R4" s="45">
        <f>+IF(O4&gt;0,INT(Fuelbeds_english!R4*0.3048),O4)</f>
        <v>-3</v>
      </c>
      <c r="S4" s="45">
        <f>+IF(O4&gt;0,INT(Fuelbeds_english!S4*2.54),O4)</f>
        <v>-3</v>
      </c>
      <c r="T4" s="45">
        <v>-3</v>
      </c>
      <c r="U4" s="45">
        <v>-3</v>
      </c>
      <c r="V4" s="45">
        <v>-3</v>
      </c>
      <c r="W4" s="45">
        <v>-3</v>
      </c>
      <c r="X4" s="99">
        <v>-3</v>
      </c>
      <c r="Y4" s="81">
        <v>-3</v>
      </c>
      <c r="Z4" s="10">
        <f>+IF(Y4&gt;0,FIXED(Fuelbeds_english!Z4*0.3048,1,0),Y4)</f>
        <v>-3</v>
      </c>
      <c r="AA4" s="48">
        <v>-3</v>
      </c>
      <c r="AB4" s="10">
        <v>-3</v>
      </c>
      <c r="AC4" s="10">
        <v>-3</v>
      </c>
      <c r="AD4" s="10">
        <v>-3</v>
      </c>
      <c r="AE4" s="42">
        <v>100</v>
      </c>
      <c r="AF4" s="52" t="str">
        <f>+IF(AE4&gt;0,FIXED(Fuelbeds_english!AF4*0.3048,1,0),AE4)</f>
        <v>0.2</v>
      </c>
      <c r="AG4" s="62">
        <v>0</v>
      </c>
      <c r="AH4" s="52" t="str">
        <f>+IF(AE4&gt;0,FIXED(Fuelbeds_english!AH4*2.242,1,0),AE4)</f>
        <v>1.1</v>
      </c>
      <c r="AI4" s="45">
        <v>42269</v>
      </c>
      <c r="AJ4" s="45" t="s">
        <v>206</v>
      </c>
      <c r="AK4" s="45">
        <v>100</v>
      </c>
      <c r="AL4" s="34">
        <v>-3</v>
      </c>
      <c r="AM4" s="52">
        <f>+IF(AL4&gt;0,FIXED(Fuelbeds_english!AM4*2.54,1,0),AL4)</f>
        <v>-3</v>
      </c>
      <c r="AN4" s="52">
        <f>+IF(AM4&gt;0,FIXED(Fuelbeds_english!AN4*0.3048,1,0),AM4)</f>
        <v>-3</v>
      </c>
      <c r="AO4" s="52">
        <f>+IF(AN4&gt;0,FIXED(Fuelbeds_english!AO4*0.3048,1,0),AN4)</f>
        <v>-3</v>
      </c>
      <c r="AP4" s="52">
        <f>+IF(AO4&gt;0,FIXED(Fuelbeds_english!AP4*0.3048,1,0),AO4)</f>
        <v>-3</v>
      </c>
      <c r="AQ4" s="52">
        <f>+IF(AP4&gt;0,FIXED(Fuelbeds_english!AQ4*0.3048,1,0),AP4)</f>
        <v>-3</v>
      </c>
      <c r="AR4" s="36">
        <v>-3</v>
      </c>
      <c r="AS4" s="45">
        <v>-3</v>
      </c>
      <c r="AT4" s="45">
        <v>-3</v>
      </c>
      <c r="AU4" s="44">
        <v>-1</v>
      </c>
      <c r="AV4" s="52">
        <f>+IF(AU4&gt;0,FIXED(Fuelbeds_english!AV4*2.54,1,0),AU4)</f>
        <v>-1</v>
      </c>
      <c r="AW4" s="52">
        <v>-1</v>
      </c>
      <c r="AX4" s="52">
        <v>-1</v>
      </c>
      <c r="AY4" s="52">
        <f>+IF(AX4&gt;0,FIXED(Fuelbeds_english!AY4*2.54,1,0),AX4)</f>
        <v>-1</v>
      </c>
      <c r="AZ4" s="45">
        <v>2</v>
      </c>
      <c r="BA4" s="36">
        <v>65</v>
      </c>
      <c r="BB4" s="52" t="str">
        <f>+IF(BA4&gt;0,FIXED(Fuelbeds_english!BB4*2.54,1,0),BA4)</f>
        <v>1.3</v>
      </c>
      <c r="BC4" s="53">
        <v>-1</v>
      </c>
      <c r="BD4" s="53">
        <v>-1</v>
      </c>
      <c r="BE4" s="53">
        <v>-1</v>
      </c>
      <c r="BF4" s="53">
        <v>-1</v>
      </c>
      <c r="BG4" s="53">
        <v>-1</v>
      </c>
      <c r="BH4" s="53">
        <v>-1</v>
      </c>
      <c r="BI4" s="45">
        <v>100</v>
      </c>
      <c r="BJ4" s="28">
        <v>-1</v>
      </c>
      <c r="BK4" s="36">
        <v>-1</v>
      </c>
      <c r="BL4" s="52">
        <f>+IF(BK4&gt;0,FIXED(Fuelbeds_english!BL4*2.54,1,0),BK4)</f>
        <v>-1</v>
      </c>
      <c r="BM4" s="36">
        <v>-1</v>
      </c>
      <c r="BN4" s="36">
        <v>-1</v>
      </c>
      <c r="BO4" s="52">
        <f>+IF(BN4&gt;0,FIXED(Fuelbeds_english!BO4*2.54,1,0),BN4)</f>
        <v>-1</v>
      </c>
    </row>
    <row r="5" spans="1:68" x14ac:dyDescent="0.25">
      <c r="A5" s="50">
        <v>4</v>
      </c>
      <c r="B5" s="36">
        <v>1013</v>
      </c>
      <c r="C5" s="46">
        <v>1013</v>
      </c>
      <c r="D5" s="37" t="s">
        <v>6</v>
      </c>
      <c r="E5" s="25" t="s">
        <v>413</v>
      </c>
      <c r="F5" s="39">
        <v>-3</v>
      </c>
      <c r="G5" s="45">
        <v>-3</v>
      </c>
      <c r="H5" s="45">
        <f>+IF(F5&gt;0,INT(Fuelbeds_english!H5*2.471),F5)</f>
        <v>-3</v>
      </c>
      <c r="I5" s="36">
        <f>+IF(F5&gt;0,INT(Fuelbeds_english!I5*0.3048),F5)</f>
        <v>-3</v>
      </c>
      <c r="J5" s="45">
        <f>+IF(F5&gt;0,INT(Fuelbeds_english!J5*0.3048),F5)</f>
        <v>-3</v>
      </c>
      <c r="K5" s="45">
        <f>+IF(F5&gt;0,INT(Fuelbeds_english!K5*2.54),F5)</f>
        <v>-3</v>
      </c>
      <c r="L5" s="45">
        <v>-3</v>
      </c>
      <c r="M5" s="45">
        <v>-3</v>
      </c>
      <c r="N5" s="45">
        <v>-3</v>
      </c>
      <c r="O5" s="45">
        <v>-3</v>
      </c>
      <c r="P5" s="45">
        <f>+IF(O5&gt;0,INT(Fuelbeds_english!P5*2.471),O5)</f>
        <v>-3</v>
      </c>
      <c r="Q5" s="36">
        <f>+IF(O5&gt;0,INT(Fuelbeds_english!Q5*0.3048),O5)</f>
        <v>-3</v>
      </c>
      <c r="R5" s="45">
        <f>+IF(O5&gt;0,INT(Fuelbeds_english!R5*0.3048),O5)</f>
        <v>-3</v>
      </c>
      <c r="S5" s="45">
        <f>+IF(O5&gt;0,INT(Fuelbeds_english!S5*2.54),O5)</f>
        <v>-3</v>
      </c>
      <c r="T5" s="45">
        <v>-3</v>
      </c>
      <c r="U5" s="45">
        <v>-3</v>
      </c>
      <c r="V5" s="45">
        <v>-3</v>
      </c>
      <c r="W5" s="45">
        <v>-3</v>
      </c>
      <c r="X5" s="99">
        <v>-3</v>
      </c>
      <c r="Y5" s="81">
        <v>-3</v>
      </c>
      <c r="Z5" s="10">
        <f>+IF(Y5&gt;0,FIXED(Fuelbeds_english!Z5*0.3048,1,0),Y5)</f>
        <v>-3</v>
      </c>
      <c r="AA5" s="48">
        <v>-3</v>
      </c>
      <c r="AB5" s="10">
        <v>-3</v>
      </c>
      <c r="AC5" s="10">
        <v>-3</v>
      </c>
      <c r="AD5" s="10">
        <v>-3</v>
      </c>
      <c r="AE5" s="42">
        <v>100</v>
      </c>
      <c r="AF5" s="52" t="str">
        <f>+IF(AE5&gt;0,FIXED(Fuelbeds_english!AF5*0.3048,1,0),AE5)</f>
        <v>0.2</v>
      </c>
      <c r="AG5" s="45">
        <v>0</v>
      </c>
      <c r="AH5" s="52" t="str">
        <f>+IF(AE5&gt;0,FIXED(Fuelbeds_english!AH5*2.242,1,0),AE5)</f>
        <v>0.4</v>
      </c>
      <c r="AI5" s="45">
        <v>26716</v>
      </c>
      <c r="AJ5" s="45" t="s">
        <v>208</v>
      </c>
      <c r="AK5" s="45">
        <v>100</v>
      </c>
      <c r="AL5" s="34">
        <v>-3</v>
      </c>
      <c r="AM5" s="52">
        <f>+IF(AL5&gt;0,FIXED(Fuelbeds_english!AM5*2.54,1,0),AL5)</f>
        <v>-3</v>
      </c>
      <c r="AN5" s="52">
        <f>+IF(AM5&gt;0,FIXED(Fuelbeds_english!AN5*0.3048,1,0),AM5)</f>
        <v>-3</v>
      </c>
      <c r="AO5" s="52">
        <f>+IF(AN5&gt;0,FIXED(Fuelbeds_english!AO5*0.3048,1,0),AN5)</f>
        <v>-3</v>
      </c>
      <c r="AP5" s="52">
        <f>+IF(AO5&gt;0,FIXED(Fuelbeds_english!AP5*0.3048,1,0),AO5)</f>
        <v>-3</v>
      </c>
      <c r="AQ5" s="52">
        <f>+IF(AP5&gt;0,FIXED(Fuelbeds_english!AQ5*0.3048,1,0),AP5)</f>
        <v>-3</v>
      </c>
      <c r="AR5" s="36">
        <v>-3</v>
      </c>
      <c r="AS5" s="45">
        <v>-3</v>
      </c>
      <c r="AT5" s="45">
        <v>-3</v>
      </c>
      <c r="AU5" s="44">
        <v>-1</v>
      </c>
      <c r="AV5" s="52">
        <f>+IF(AU5&gt;0,FIXED(Fuelbeds_english!AV5*2.54,1,0),AU5)</f>
        <v>-1</v>
      </c>
      <c r="AW5" s="52">
        <v>-1</v>
      </c>
      <c r="AX5" s="52">
        <v>-1</v>
      </c>
      <c r="AY5" s="52">
        <f>+IF(AX5&gt;0,FIXED(Fuelbeds_english!AY5*2.54,1,0),AX5)</f>
        <v>-1</v>
      </c>
      <c r="AZ5" s="45">
        <v>2</v>
      </c>
      <c r="BA5" s="36">
        <v>65</v>
      </c>
      <c r="BB5" s="52" t="str">
        <f>+IF(BA5&gt;0,FIXED(Fuelbeds_english!BB5*2.54,1,0),BA5)</f>
        <v>1.3</v>
      </c>
      <c r="BC5" s="53">
        <v>-1</v>
      </c>
      <c r="BD5" s="53">
        <v>-1</v>
      </c>
      <c r="BE5" s="53">
        <v>-1</v>
      </c>
      <c r="BF5" s="53">
        <v>-1</v>
      </c>
      <c r="BG5" s="53">
        <v>-1</v>
      </c>
      <c r="BH5" s="53">
        <v>-1</v>
      </c>
      <c r="BI5" s="45">
        <v>100</v>
      </c>
      <c r="BJ5" s="28">
        <v>-1</v>
      </c>
      <c r="BK5" s="36">
        <v>-1</v>
      </c>
      <c r="BL5" s="52">
        <f>+IF(BK5&gt;0,FIXED(Fuelbeds_english!BL5*2.54,1,0),BK5)</f>
        <v>-1</v>
      </c>
      <c r="BM5" s="36">
        <v>-1</v>
      </c>
      <c r="BN5" s="36">
        <v>-1</v>
      </c>
      <c r="BO5" s="52">
        <f>+IF(BN5&gt;0,FIXED(Fuelbeds_english!BO5*2.54,1,0),BN5)</f>
        <v>-1</v>
      </c>
    </row>
    <row r="6" spans="1:68" x14ac:dyDescent="0.25">
      <c r="A6" s="50">
        <v>5</v>
      </c>
      <c r="B6" s="36">
        <v>1016</v>
      </c>
      <c r="C6" s="46">
        <v>1016</v>
      </c>
      <c r="D6" s="37" t="s">
        <v>6</v>
      </c>
      <c r="E6" s="25" t="s">
        <v>414</v>
      </c>
      <c r="F6" s="39">
        <v>-3</v>
      </c>
      <c r="G6" s="45">
        <v>-3</v>
      </c>
      <c r="H6" s="45">
        <f>+IF(F6&gt;0,INT(Fuelbeds_english!H6*2.471),F6)</f>
        <v>-3</v>
      </c>
      <c r="I6" s="36">
        <f>+IF(F6&gt;0,INT(Fuelbeds_english!I6*0.3048),F6)</f>
        <v>-3</v>
      </c>
      <c r="J6" s="45">
        <f>+IF(F6&gt;0,INT(Fuelbeds_english!J6*0.3048),F6)</f>
        <v>-3</v>
      </c>
      <c r="K6" s="45">
        <f>+IF(F6&gt;0,INT(Fuelbeds_english!K6*2.54),F6)</f>
        <v>-3</v>
      </c>
      <c r="L6" s="45">
        <v>-3</v>
      </c>
      <c r="M6" s="45">
        <v>-3</v>
      </c>
      <c r="N6" s="45">
        <v>-3</v>
      </c>
      <c r="O6" s="45">
        <v>-3</v>
      </c>
      <c r="P6" s="45">
        <f>+IF(O6&gt;0,INT(Fuelbeds_english!P6*2.471),O6)</f>
        <v>-3</v>
      </c>
      <c r="Q6" s="36">
        <f>+IF(O6&gt;0,INT(Fuelbeds_english!Q6*0.3048),O6)</f>
        <v>-3</v>
      </c>
      <c r="R6" s="45">
        <f>+IF(O6&gt;0,INT(Fuelbeds_english!R6*0.3048),O6)</f>
        <v>-3</v>
      </c>
      <c r="S6" s="45">
        <f>+IF(O6&gt;0,INT(Fuelbeds_english!S6*2.54),O6)</f>
        <v>-3</v>
      </c>
      <c r="T6" s="45">
        <v>-3</v>
      </c>
      <c r="U6" s="45">
        <v>-3</v>
      </c>
      <c r="V6" s="45">
        <v>-3</v>
      </c>
      <c r="W6" s="45">
        <v>-3</v>
      </c>
      <c r="X6" s="99">
        <v>-3</v>
      </c>
      <c r="Y6" s="81">
        <v>-3</v>
      </c>
      <c r="Z6" s="10">
        <f>+IF(Y6&gt;0,FIXED(Fuelbeds_english!Z6*0.3048,1,0),Y6)</f>
        <v>-3</v>
      </c>
      <c r="AA6" s="48">
        <v>-3</v>
      </c>
      <c r="AB6" s="10">
        <v>-3</v>
      </c>
      <c r="AC6" s="10">
        <v>-3</v>
      </c>
      <c r="AD6" s="10">
        <v>-3</v>
      </c>
      <c r="AE6" s="42">
        <v>100</v>
      </c>
      <c r="AF6" s="52" t="str">
        <f>+IF(AE6&gt;0,FIXED(Fuelbeds_english!AF6*0.3048,1,0),AE6)</f>
        <v>0.1</v>
      </c>
      <c r="AG6" s="62">
        <v>0</v>
      </c>
      <c r="AH6" s="52" t="str">
        <f>+IF(AE6&gt;0,FIXED(Fuelbeds_english!AH6*2.242,1,0),AE6)</f>
        <v>0.4</v>
      </c>
      <c r="AI6" s="36">
        <v>26857</v>
      </c>
      <c r="AJ6" s="43" t="s">
        <v>415</v>
      </c>
      <c r="AK6" s="36">
        <v>100</v>
      </c>
      <c r="AL6" s="34">
        <v>-3</v>
      </c>
      <c r="AM6" s="52">
        <f>+IF(AL6&gt;0,FIXED(Fuelbeds_english!AM6*2.54,1,0),AL6)</f>
        <v>-3</v>
      </c>
      <c r="AN6" s="52">
        <f>+IF(AM6&gt;0,FIXED(Fuelbeds_english!AN6*0.3048,1,0),AM6)</f>
        <v>-3</v>
      </c>
      <c r="AO6" s="52">
        <f>+IF(AN6&gt;0,FIXED(Fuelbeds_english!AO6*0.3048,1,0),AN6)</f>
        <v>-3</v>
      </c>
      <c r="AP6" s="52">
        <f>+IF(AO6&gt;0,FIXED(Fuelbeds_english!AP6*0.3048,1,0),AO6)</f>
        <v>-3</v>
      </c>
      <c r="AQ6" s="52">
        <f>+IF(AP6&gt;0,FIXED(Fuelbeds_english!AQ6*0.3048,1,0),AP6)</f>
        <v>-3</v>
      </c>
      <c r="AR6" s="36">
        <v>-3</v>
      </c>
      <c r="AS6" s="45">
        <v>-3</v>
      </c>
      <c r="AT6" s="45">
        <v>-3</v>
      </c>
      <c r="AU6" s="44">
        <v>-1</v>
      </c>
      <c r="AV6" s="52">
        <f>+IF(AU6&gt;0,FIXED(Fuelbeds_english!AV6*2.54,1,0),AU6)</f>
        <v>-1</v>
      </c>
      <c r="AW6" s="52">
        <v>-1</v>
      </c>
      <c r="AX6" s="52">
        <v>-1</v>
      </c>
      <c r="AY6" s="52">
        <f>+IF(AX6&gt;0,FIXED(Fuelbeds_english!AY6*2.54,1,0),AX6)</f>
        <v>-1</v>
      </c>
      <c r="AZ6" s="45">
        <v>2</v>
      </c>
      <c r="BA6" s="36">
        <v>65</v>
      </c>
      <c r="BB6" s="52" t="str">
        <f>+IF(BA6&gt;0,FIXED(Fuelbeds_english!BB6*2.54,1,0),BA6)</f>
        <v>1.3</v>
      </c>
      <c r="BC6" s="53">
        <v>-1</v>
      </c>
      <c r="BD6" s="53">
        <v>-1</v>
      </c>
      <c r="BE6" s="53">
        <v>-1</v>
      </c>
      <c r="BF6" s="53">
        <v>-1</v>
      </c>
      <c r="BG6" s="53">
        <v>-1</v>
      </c>
      <c r="BH6" s="53">
        <v>-1</v>
      </c>
      <c r="BI6" s="45">
        <v>100</v>
      </c>
      <c r="BJ6" s="28">
        <v>-1</v>
      </c>
      <c r="BK6" s="36">
        <v>-1</v>
      </c>
      <c r="BL6" s="52">
        <f>+IF(BK6&gt;0,FIXED(Fuelbeds_english!BL6*2.54,1,0),BK6)</f>
        <v>-1</v>
      </c>
      <c r="BM6" s="36">
        <v>-1</v>
      </c>
      <c r="BN6" s="36">
        <v>-1</v>
      </c>
      <c r="BO6" s="52">
        <f>+IF(BN6&gt;0,FIXED(Fuelbeds_english!BO6*2.54,1,0),BN6)</f>
        <v>-1</v>
      </c>
    </row>
    <row r="7" spans="1:68" x14ac:dyDescent="0.25">
      <c r="A7" s="50">
        <v>6</v>
      </c>
      <c r="B7" s="36">
        <v>1017</v>
      </c>
      <c r="C7" s="46">
        <v>1017</v>
      </c>
      <c r="D7" s="37" t="s">
        <v>6</v>
      </c>
      <c r="E7" s="25" t="s">
        <v>416</v>
      </c>
      <c r="F7" s="39">
        <v>-3</v>
      </c>
      <c r="G7" s="45">
        <v>-3</v>
      </c>
      <c r="H7" s="45">
        <f>+IF(F7&gt;0,INT(Fuelbeds_english!H7*2.471),F7)</f>
        <v>-3</v>
      </c>
      <c r="I7" s="36">
        <f>+IF(F7&gt;0,INT(Fuelbeds_english!I7*0.3048),F7)</f>
        <v>-3</v>
      </c>
      <c r="J7" s="45">
        <f>+IF(F7&gt;0,INT(Fuelbeds_english!J7*0.3048),F7)</f>
        <v>-3</v>
      </c>
      <c r="K7" s="45">
        <f>+IF(F7&gt;0,INT(Fuelbeds_english!K7*2.54),F7)</f>
        <v>-3</v>
      </c>
      <c r="L7" s="45">
        <v>-3</v>
      </c>
      <c r="M7" s="45">
        <v>-3</v>
      </c>
      <c r="N7" s="45">
        <v>-3</v>
      </c>
      <c r="O7" s="45">
        <v>-3</v>
      </c>
      <c r="P7" s="45">
        <f>+IF(O7&gt;0,INT(Fuelbeds_english!P7*2.471),O7)</f>
        <v>-3</v>
      </c>
      <c r="Q7" s="36">
        <f>+IF(O7&gt;0,INT(Fuelbeds_english!Q7*0.3048),O7)</f>
        <v>-3</v>
      </c>
      <c r="R7" s="45">
        <f>+IF(O7&gt;0,INT(Fuelbeds_english!R7*0.3048),O7)</f>
        <v>-3</v>
      </c>
      <c r="S7" s="45">
        <f>+IF(O7&gt;0,INT(Fuelbeds_english!S7*2.54),O7)</f>
        <v>-3</v>
      </c>
      <c r="T7" s="45">
        <v>-3</v>
      </c>
      <c r="U7" s="45">
        <v>-3</v>
      </c>
      <c r="V7" s="45">
        <v>-3</v>
      </c>
      <c r="W7" s="45">
        <v>-3</v>
      </c>
      <c r="X7" s="99">
        <v>-3</v>
      </c>
      <c r="Y7" s="81">
        <v>-3</v>
      </c>
      <c r="Z7" s="10">
        <f>+IF(Y7&gt;0,FIXED(Fuelbeds_english!Z7*0.3048,1,0),Y7)</f>
        <v>-3</v>
      </c>
      <c r="AA7" s="48">
        <v>-3</v>
      </c>
      <c r="AB7" s="10">
        <v>-3</v>
      </c>
      <c r="AC7" s="10">
        <v>-3</v>
      </c>
      <c r="AD7" s="10">
        <v>-3</v>
      </c>
      <c r="AE7" s="42">
        <v>75</v>
      </c>
      <c r="AF7" s="52" t="str">
        <f>+IF(AE7&gt;0,FIXED(Fuelbeds_english!AF7*0.3048,1,0),AE7)</f>
        <v>0.0</v>
      </c>
      <c r="AG7" s="62">
        <v>0</v>
      </c>
      <c r="AH7" s="52" t="str">
        <f>+IF(AE7&gt;0,FIXED(Fuelbeds_english!AH7*2.242,1,0),AE7)</f>
        <v>0.0</v>
      </c>
      <c r="AI7" s="36">
        <v>505272</v>
      </c>
      <c r="AJ7" s="43" t="s">
        <v>417</v>
      </c>
      <c r="AK7" s="36">
        <v>100</v>
      </c>
      <c r="AL7" s="34">
        <v>-3</v>
      </c>
      <c r="AM7" s="52">
        <f>+IF(AL7&gt;0,FIXED(Fuelbeds_english!AM7*2.54,1,0),AL7)</f>
        <v>-3</v>
      </c>
      <c r="AN7" s="52">
        <f>+IF(AM7&gt;0,FIXED(Fuelbeds_english!AN7*0.3048,1,0),AM7)</f>
        <v>-3</v>
      </c>
      <c r="AO7" s="52">
        <f>+IF(AN7&gt;0,FIXED(Fuelbeds_english!AO7*0.3048,1,0),AN7)</f>
        <v>-3</v>
      </c>
      <c r="AP7" s="52">
        <f>+IF(AO7&gt;0,FIXED(Fuelbeds_english!AP7*0.3048,1,0),AO7)</f>
        <v>-3</v>
      </c>
      <c r="AQ7" s="52">
        <f>+IF(AP7&gt;0,FIXED(Fuelbeds_english!AQ7*0.3048,1,0),AP7)</f>
        <v>-3</v>
      </c>
      <c r="AR7" s="36">
        <v>-3</v>
      </c>
      <c r="AS7" s="45">
        <v>-3</v>
      </c>
      <c r="AT7" s="45">
        <v>-3</v>
      </c>
      <c r="AU7" s="44">
        <v>-1</v>
      </c>
      <c r="AV7" s="52">
        <f>+IF(AU7&gt;0,FIXED(Fuelbeds_english!AV7*2.54,1,0),AU7)</f>
        <v>-1</v>
      </c>
      <c r="AW7" s="52">
        <v>-1</v>
      </c>
      <c r="AX7" s="52">
        <v>-1</v>
      </c>
      <c r="AY7" s="52">
        <f>+IF(AX7&gt;0,FIXED(Fuelbeds_english!AY7*2.54,1,0),AX7)</f>
        <v>-1</v>
      </c>
      <c r="AZ7" s="45">
        <v>2</v>
      </c>
      <c r="BA7" s="36">
        <v>65</v>
      </c>
      <c r="BB7" s="52" t="str">
        <f>+IF(BA7&gt;0,FIXED(Fuelbeds_english!BB7*2.54,1,0),BA7)</f>
        <v>1.3</v>
      </c>
      <c r="BC7" s="53">
        <v>-1</v>
      </c>
      <c r="BD7" s="53">
        <v>-1</v>
      </c>
      <c r="BE7" s="53">
        <v>-1</v>
      </c>
      <c r="BF7" s="53">
        <v>-1</v>
      </c>
      <c r="BG7" s="53">
        <v>-1</v>
      </c>
      <c r="BH7" s="53">
        <v>-1</v>
      </c>
      <c r="BI7" s="45">
        <v>100</v>
      </c>
      <c r="BJ7" s="28">
        <v>-1</v>
      </c>
      <c r="BK7" s="36">
        <v>-1</v>
      </c>
      <c r="BL7" s="52">
        <f>+IF(BK7&gt;0,FIXED(Fuelbeds_english!BL7*2.54,1,0),BK7)</f>
        <v>-1</v>
      </c>
      <c r="BM7" s="36">
        <v>-1</v>
      </c>
      <c r="BN7" s="36">
        <v>-1</v>
      </c>
      <c r="BO7" s="52">
        <f>+IF(BN7&gt;0,FIXED(Fuelbeds_english!BO7*2.54,1,0),BN7)</f>
        <v>-1</v>
      </c>
    </row>
    <row r="8" spans="1:68" s="60" customFormat="1" ht="15" customHeight="1" x14ac:dyDescent="0.25">
      <c r="A8" s="50">
        <v>7</v>
      </c>
      <c r="B8" s="36">
        <v>1018</v>
      </c>
      <c r="C8" s="46">
        <v>1018</v>
      </c>
      <c r="D8" s="37" t="s">
        <v>6</v>
      </c>
      <c r="E8" s="25" t="s">
        <v>418</v>
      </c>
      <c r="F8" s="39">
        <v>-3</v>
      </c>
      <c r="G8" s="45">
        <v>-3</v>
      </c>
      <c r="H8" s="45">
        <f>+IF(F8&gt;0,INT(Fuelbeds_english!H8*2.471),F8)</f>
        <v>-3</v>
      </c>
      <c r="I8" s="36">
        <f>+IF(F8&gt;0,INT(Fuelbeds_english!I8*0.3048),F8)</f>
        <v>-3</v>
      </c>
      <c r="J8" s="45">
        <f>+IF(F8&gt;0,INT(Fuelbeds_english!J8*0.3048),F8)</f>
        <v>-3</v>
      </c>
      <c r="K8" s="45">
        <f>+IF(F8&gt;0,INT(Fuelbeds_english!K8*2.54),F8)</f>
        <v>-3</v>
      </c>
      <c r="L8" s="45">
        <v>-3</v>
      </c>
      <c r="M8" s="45">
        <v>-3</v>
      </c>
      <c r="N8" s="45">
        <v>-3</v>
      </c>
      <c r="O8" s="45">
        <v>-3</v>
      </c>
      <c r="P8" s="45">
        <f>+IF(O8&gt;0,INT(Fuelbeds_english!P8*2.471),O8)</f>
        <v>-3</v>
      </c>
      <c r="Q8" s="36">
        <f>+IF(O8&gt;0,INT(Fuelbeds_english!Q8*0.3048),O8)</f>
        <v>-3</v>
      </c>
      <c r="R8" s="45">
        <f>+IF(O8&gt;0,INT(Fuelbeds_english!R8*0.3048),O8)</f>
        <v>-3</v>
      </c>
      <c r="S8" s="45">
        <f>+IF(O8&gt;0,INT(Fuelbeds_english!S8*2.54),O8)</f>
        <v>-3</v>
      </c>
      <c r="T8" s="45">
        <v>-3</v>
      </c>
      <c r="U8" s="45">
        <v>-3</v>
      </c>
      <c r="V8" s="45">
        <v>-3</v>
      </c>
      <c r="W8" s="45">
        <v>-3</v>
      </c>
      <c r="X8" s="99">
        <v>-3</v>
      </c>
      <c r="Y8" s="81">
        <v>-3</v>
      </c>
      <c r="Z8" s="10">
        <f>+IF(Y8&gt;0,FIXED(Fuelbeds_english!Z8*0.3048,1,0),Y8)</f>
        <v>-3</v>
      </c>
      <c r="AA8" s="48">
        <v>-3</v>
      </c>
      <c r="AB8" s="10">
        <v>-3</v>
      </c>
      <c r="AC8" s="10">
        <v>-3</v>
      </c>
      <c r="AD8" s="10">
        <v>-3</v>
      </c>
      <c r="AE8" s="42">
        <v>100</v>
      </c>
      <c r="AF8" s="52" t="str">
        <f>+IF(AE8&gt;0,FIXED(Fuelbeds_english!AF8*0.3048,1,0),AE8)</f>
        <v>0.2</v>
      </c>
      <c r="AG8" s="62">
        <v>0</v>
      </c>
      <c r="AH8" s="52" t="str">
        <f>+IF(AE8&gt;0,FIXED(Fuelbeds_english!AH8*2.242,1,0),AE8)</f>
        <v>2.7</v>
      </c>
      <c r="AI8" s="45">
        <v>41088</v>
      </c>
      <c r="AJ8" s="45" t="s">
        <v>420</v>
      </c>
      <c r="AK8" s="45">
        <v>100</v>
      </c>
      <c r="AL8" s="34">
        <v>-3</v>
      </c>
      <c r="AM8" s="52">
        <f>+IF(AL8&gt;0,FIXED(Fuelbeds_english!AM8*2.54,1,0),AL8)</f>
        <v>-3</v>
      </c>
      <c r="AN8" s="52">
        <f>+IF(AM8&gt;0,FIXED(Fuelbeds_english!AN8*0.3048,1,0),AM8)</f>
        <v>-3</v>
      </c>
      <c r="AO8" s="52">
        <f>+IF(AN8&gt;0,FIXED(Fuelbeds_english!AO8*0.3048,1,0),AN8)</f>
        <v>-3</v>
      </c>
      <c r="AP8" s="52">
        <f>+IF(AO8&gt;0,FIXED(Fuelbeds_english!AP8*0.3048,1,0),AO8)</f>
        <v>-3</v>
      </c>
      <c r="AQ8" s="52">
        <f>+IF(AP8&gt;0,FIXED(Fuelbeds_english!AQ8*0.3048,1,0),AP8)</f>
        <v>-3</v>
      </c>
      <c r="AR8" s="36">
        <v>-3</v>
      </c>
      <c r="AS8" s="45">
        <v>-3</v>
      </c>
      <c r="AT8" s="45">
        <v>-3</v>
      </c>
      <c r="AU8" s="44">
        <v>-1</v>
      </c>
      <c r="AV8" s="52">
        <f>+IF(AU8&gt;0,FIXED(Fuelbeds_english!AV8*2.54,1,0),AU8)</f>
        <v>-1</v>
      </c>
      <c r="AW8" s="52">
        <v>-1</v>
      </c>
      <c r="AX8" s="52">
        <v>-1</v>
      </c>
      <c r="AY8" s="52">
        <f>+IF(AX8&gt;0,FIXED(Fuelbeds_english!AY8*2.54,1,0),AX8)</f>
        <v>-1</v>
      </c>
      <c r="AZ8" s="45">
        <v>2</v>
      </c>
      <c r="BA8" s="36">
        <v>65</v>
      </c>
      <c r="BB8" s="52" t="str">
        <f>+IF(BA8&gt;0,FIXED(Fuelbeds_english!BB8*2.54,1,0),BA8)</f>
        <v>1.3</v>
      </c>
      <c r="BC8" s="53">
        <v>-1</v>
      </c>
      <c r="BD8" s="53">
        <v>-1</v>
      </c>
      <c r="BE8" s="53">
        <v>-1</v>
      </c>
      <c r="BF8" s="53">
        <v>-1</v>
      </c>
      <c r="BG8" s="53">
        <v>-1</v>
      </c>
      <c r="BH8" s="53">
        <v>-1</v>
      </c>
      <c r="BI8" s="45">
        <v>100</v>
      </c>
      <c r="BJ8" s="28">
        <v>-1</v>
      </c>
      <c r="BK8" s="36">
        <v>-1</v>
      </c>
      <c r="BL8" s="52">
        <f>+IF(BK8&gt;0,FIXED(Fuelbeds_english!BL8*2.54,1,0),BK8)</f>
        <v>-1</v>
      </c>
      <c r="BM8" s="36">
        <v>-1</v>
      </c>
      <c r="BN8" s="36">
        <v>-1</v>
      </c>
      <c r="BO8" s="52">
        <f>+IF(BN8&gt;0,FIXED(Fuelbeds_english!BO8*2.54,1,0),BN8)</f>
        <v>-1</v>
      </c>
      <c r="BP8" s="59"/>
    </row>
    <row r="9" spans="1:68" s="60" customFormat="1" ht="15" customHeight="1" x14ac:dyDescent="0.25">
      <c r="A9" s="50">
        <v>8</v>
      </c>
      <c r="B9" s="36">
        <v>1019</v>
      </c>
      <c r="C9" s="46">
        <v>1019</v>
      </c>
      <c r="D9" s="37" t="s">
        <v>6</v>
      </c>
      <c r="E9" s="25" t="s">
        <v>419</v>
      </c>
      <c r="F9" s="39">
        <v>-3</v>
      </c>
      <c r="G9" s="45">
        <v>-3</v>
      </c>
      <c r="H9" s="45">
        <f>+IF(F9&gt;0,INT(Fuelbeds_english!H9*2.471),F9)</f>
        <v>-3</v>
      </c>
      <c r="I9" s="36">
        <f>+IF(F9&gt;0,INT(Fuelbeds_english!I9*0.3048),F9)</f>
        <v>-3</v>
      </c>
      <c r="J9" s="45">
        <f>+IF(F9&gt;0,INT(Fuelbeds_english!J9*0.3048),F9)</f>
        <v>-3</v>
      </c>
      <c r="K9" s="45">
        <f>+IF(F9&gt;0,INT(Fuelbeds_english!K9*2.54),F9)</f>
        <v>-3</v>
      </c>
      <c r="L9" s="45">
        <v>-3</v>
      </c>
      <c r="M9" s="45">
        <v>-3</v>
      </c>
      <c r="N9" s="45">
        <v>-3</v>
      </c>
      <c r="O9" s="45">
        <v>-3</v>
      </c>
      <c r="P9" s="45">
        <f>+IF(O9&gt;0,INT(Fuelbeds_english!P9*2.471),O9)</f>
        <v>-3</v>
      </c>
      <c r="Q9" s="36">
        <f>+IF(O9&gt;0,INT(Fuelbeds_english!Q9*0.3048),O9)</f>
        <v>-3</v>
      </c>
      <c r="R9" s="45">
        <f>+IF(O9&gt;0,INT(Fuelbeds_english!R9*0.3048),O9)</f>
        <v>-3</v>
      </c>
      <c r="S9" s="45">
        <f>+IF(O9&gt;0,INT(Fuelbeds_english!S9*2.54),O9)</f>
        <v>-3</v>
      </c>
      <c r="T9" s="45">
        <v>-3</v>
      </c>
      <c r="U9" s="45">
        <v>-3</v>
      </c>
      <c r="V9" s="45">
        <v>-3</v>
      </c>
      <c r="W9" s="45">
        <v>-3</v>
      </c>
      <c r="X9" s="99">
        <v>-3</v>
      </c>
      <c r="Y9" s="81">
        <v>-3</v>
      </c>
      <c r="Z9" s="10">
        <f>+IF(Y9&gt;0,FIXED(Fuelbeds_english!Z9*0.3048,1,0),Y9)</f>
        <v>-3</v>
      </c>
      <c r="AA9" s="48">
        <v>-3</v>
      </c>
      <c r="AB9" s="10">
        <v>-3</v>
      </c>
      <c r="AC9" s="10">
        <v>-3</v>
      </c>
      <c r="AD9" s="10">
        <v>-3</v>
      </c>
      <c r="AE9" s="42">
        <v>100</v>
      </c>
      <c r="AF9" s="52" t="str">
        <f>+IF(AE9&gt;0,FIXED(Fuelbeds_english!AF9*0.3048,1,0),AE9)</f>
        <v>3.0</v>
      </c>
      <c r="AG9" s="62">
        <v>100</v>
      </c>
      <c r="AH9" s="52" t="str">
        <f>+IF(AE9&gt;0,FIXED(Fuelbeds_english!AH9*2.242,1,0),AE9)</f>
        <v>9.1</v>
      </c>
      <c r="AI9" s="45">
        <v>42058</v>
      </c>
      <c r="AJ9" s="45" t="s">
        <v>421</v>
      </c>
      <c r="AK9" s="62">
        <v>100</v>
      </c>
      <c r="AL9" s="34">
        <v>-3</v>
      </c>
      <c r="AM9" s="52">
        <f>+IF(AL9&gt;0,FIXED(Fuelbeds_english!AM9*2.54,1,0),AL9)</f>
        <v>-3</v>
      </c>
      <c r="AN9" s="52">
        <f>+IF(AM9&gt;0,FIXED(Fuelbeds_english!AN9*0.3048,1,0),AM9)</f>
        <v>-3</v>
      </c>
      <c r="AO9" s="52">
        <f>+IF(AN9&gt;0,FIXED(Fuelbeds_english!AO9*0.3048,1,0),AN9)</f>
        <v>-3</v>
      </c>
      <c r="AP9" s="52">
        <f>+IF(AO9&gt;0,FIXED(Fuelbeds_english!AP9*0.3048,1,0),AO9)</f>
        <v>-3</v>
      </c>
      <c r="AQ9" s="52">
        <f>+IF(AP9&gt;0,FIXED(Fuelbeds_english!AQ9*0.3048,1,0),AP9)</f>
        <v>-3</v>
      </c>
      <c r="AR9" s="36">
        <v>-3</v>
      </c>
      <c r="AS9" s="45">
        <v>-3</v>
      </c>
      <c r="AT9" s="45">
        <v>-3</v>
      </c>
      <c r="AU9" s="44">
        <v>-1</v>
      </c>
      <c r="AV9" s="52">
        <f>+IF(AU9&gt;0,FIXED(Fuelbeds_english!AV9*2.54,1,0),AU9)</f>
        <v>-1</v>
      </c>
      <c r="AW9" s="52">
        <v>-1</v>
      </c>
      <c r="AX9" s="52">
        <v>-1</v>
      </c>
      <c r="AY9" s="52">
        <f>+IF(AX9&gt;0,FIXED(Fuelbeds_english!AY9*2.54,1,0),AX9)</f>
        <v>-1</v>
      </c>
      <c r="AZ9" s="45">
        <v>2</v>
      </c>
      <c r="BA9" s="36">
        <v>65</v>
      </c>
      <c r="BB9" s="52" t="str">
        <f>+IF(BA9&gt;0,FIXED(Fuelbeds_english!BB9*2.54,1,0),BA9)</f>
        <v>1.3</v>
      </c>
      <c r="BC9" s="53">
        <v>-1</v>
      </c>
      <c r="BD9" s="53">
        <v>-1</v>
      </c>
      <c r="BE9" s="53">
        <v>-1</v>
      </c>
      <c r="BF9" s="53">
        <v>-1</v>
      </c>
      <c r="BG9" s="53">
        <v>-1</v>
      </c>
      <c r="BH9" s="53">
        <v>-1</v>
      </c>
      <c r="BI9" s="45">
        <v>100</v>
      </c>
      <c r="BJ9" s="28">
        <v>-1</v>
      </c>
      <c r="BK9" s="36">
        <v>-1</v>
      </c>
      <c r="BL9" s="52">
        <f>+IF(BK9&gt;0,FIXED(Fuelbeds_english!BL9*2.54,1,0),BK9)</f>
        <v>-1</v>
      </c>
      <c r="BM9" s="36">
        <v>-1</v>
      </c>
      <c r="BN9" s="36">
        <v>-1</v>
      </c>
      <c r="BO9" s="52">
        <f>+IF(BN9&gt;0,FIXED(Fuelbeds_english!BO9*2.54,1,0),BN9)</f>
        <v>-1</v>
      </c>
      <c r="BP9" s="59"/>
    </row>
    <row r="10" spans="1:68" s="60" customFormat="1" ht="15" customHeight="1" x14ac:dyDescent="0.25">
      <c r="A10" s="50">
        <v>9</v>
      </c>
      <c r="B10" s="36">
        <v>1020</v>
      </c>
      <c r="C10" s="46">
        <v>1020</v>
      </c>
      <c r="D10" s="37" t="s">
        <v>6</v>
      </c>
      <c r="E10" s="38" t="s">
        <v>427</v>
      </c>
      <c r="F10" s="39">
        <v>32</v>
      </c>
      <c r="G10" s="45">
        <v>17</v>
      </c>
      <c r="H10" s="45">
        <f>+IF(F10&gt;0,INT(Fuelbeds_english!H10*2.471),F10)</f>
        <v>19</v>
      </c>
      <c r="I10" s="36">
        <f>+IF(F10&gt;0,INT(Fuelbeds_english!I10*0.3048),F10)</f>
        <v>20</v>
      </c>
      <c r="J10" s="45">
        <f>+IF(F10&gt;0,INT(Fuelbeds_english!J10*0.3048),F10)</f>
        <v>10</v>
      </c>
      <c r="K10" s="45">
        <f>+IF(F10&gt;0,INT(Fuelbeds_english!K10*2.54),F10)</f>
        <v>30</v>
      </c>
      <c r="L10" s="36">
        <v>29027</v>
      </c>
      <c r="M10" s="45" t="s">
        <v>369</v>
      </c>
      <c r="N10" s="45">
        <v>100</v>
      </c>
      <c r="O10" s="45">
        <v>32</v>
      </c>
      <c r="P10" s="45">
        <f>+IF(O10&gt;0,INT(Fuelbeds_english!P10*2.471),O10)</f>
        <v>123</v>
      </c>
      <c r="Q10" s="36">
        <f>+IF(O10&gt;0,INT(Fuelbeds_english!Q10*0.3048),O10)</f>
        <v>10</v>
      </c>
      <c r="R10" s="45">
        <f>+IF(O10&gt;0,INT(Fuelbeds_english!R10*0.3048),O10)</f>
        <v>3</v>
      </c>
      <c r="S10" s="45">
        <f>+IF(O10&gt;0,INT(Fuelbeds_english!S10*2.54),O10)</f>
        <v>12</v>
      </c>
      <c r="T10" s="45">
        <v>29027</v>
      </c>
      <c r="U10" s="45" t="s">
        <v>369</v>
      </c>
      <c r="V10" s="45">
        <v>100</v>
      </c>
      <c r="W10" s="45">
        <v>1</v>
      </c>
      <c r="X10" s="99">
        <v>5</v>
      </c>
      <c r="Y10" s="29">
        <v>28</v>
      </c>
      <c r="Z10" s="88" t="str">
        <f>+IF(Y10&gt;0,FIXED(Fuelbeds_english!Z10*0.3048,1,0),Y10)</f>
        <v>1.6</v>
      </c>
      <c r="AA10" s="36">
        <v>85</v>
      </c>
      <c r="AB10" s="45">
        <v>19092</v>
      </c>
      <c r="AC10" s="45" t="s">
        <v>160</v>
      </c>
      <c r="AD10" s="45">
        <v>100</v>
      </c>
      <c r="AE10" s="42">
        <v>60</v>
      </c>
      <c r="AF10" s="52" t="str">
        <f>+IF(AE10&gt;0,FIXED(Fuelbeds_english!AF10*0.3048,1,0),AE10)</f>
        <v>0.2</v>
      </c>
      <c r="AG10" s="45">
        <v>0</v>
      </c>
      <c r="AH10" s="52" t="str">
        <f>+IF(AE10&gt;0,FIXED(Fuelbeds_english!AH10*2.242,1,0),AE10)</f>
        <v>0.2</v>
      </c>
      <c r="AI10" s="45">
        <v>42236</v>
      </c>
      <c r="AJ10" s="45" t="s">
        <v>207</v>
      </c>
      <c r="AK10" s="45">
        <v>100</v>
      </c>
      <c r="AL10" s="34">
        <v>22</v>
      </c>
      <c r="AM10" s="52" t="str">
        <f>+IF(AL10&gt;0,FIXED(Fuelbeds_english!AM10*2.54,1,0),AL10)</f>
        <v>3.6</v>
      </c>
      <c r="AN10" s="52" t="str">
        <f>+IF($AM10&gt;0,FIXED(Fuelbeds_english!AN10*2.242,1,0),$AM10)</f>
        <v>0.3</v>
      </c>
      <c r="AO10" s="52" t="str">
        <f>+IF($AM10&gt;0,FIXED(Fuelbeds_english!AO10*2.242,1,0),$AM10)</f>
        <v>0.9</v>
      </c>
      <c r="AP10" s="52" t="str">
        <f>+IF($AM10&gt;0,FIXED(Fuelbeds_english!AP10*2.242,1,0),$AM10)</f>
        <v>1.1</v>
      </c>
      <c r="AQ10" s="52" t="str">
        <f>+IF($AM10&gt;0,FIXED(Fuelbeds_english!AQ10*2.242,1,0),$AM10)</f>
        <v>3.4</v>
      </c>
      <c r="AR10" s="36">
        <v>29027</v>
      </c>
      <c r="AS10" s="45" t="s">
        <v>369</v>
      </c>
      <c r="AT10" s="45">
        <v>100</v>
      </c>
      <c r="AU10" s="44">
        <v>-1</v>
      </c>
      <c r="AV10" s="52">
        <f>+IF(AU10&gt;0,FIXED(Fuelbeds_english!AV10*2.54,1,0),AU10)</f>
        <v>-1</v>
      </c>
      <c r="AW10" s="52">
        <v>-1</v>
      </c>
      <c r="AX10" s="52">
        <v>-1</v>
      </c>
      <c r="AY10" s="52">
        <f>+IF(AX10&gt;0,FIXED(Fuelbeds_english!AY10*2.54,1,0),AX10)</f>
        <v>-1</v>
      </c>
      <c r="AZ10" s="45">
        <v>2</v>
      </c>
      <c r="BA10" s="36">
        <v>41</v>
      </c>
      <c r="BB10" s="52" t="str">
        <f>+IF(BA10&gt;0,FIXED(Fuelbeds_english!BB10*2.54,1,0),BA10)</f>
        <v>2.8</v>
      </c>
      <c r="BC10" s="53">
        <v>-1</v>
      </c>
      <c r="BD10" s="53">
        <v>-1</v>
      </c>
      <c r="BE10" s="53">
        <v>-1</v>
      </c>
      <c r="BF10" s="53">
        <v>-1</v>
      </c>
      <c r="BG10" s="53">
        <v>100</v>
      </c>
      <c r="BH10" s="53">
        <v>-1</v>
      </c>
      <c r="BI10" s="45">
        <v>-1</v>
      </c>
      <c r="BJ10" s="28">
        <v>1</v>
      </c>
      <c r="BK10" s="55">
        <v>41</v>
      </c>
      <c r="BL10" s="52" t="str">
        <f>+IF(BK10&gt;0,FIXED(Fuelbeds_english!BL10*2.54,1,0),BK10)</f>
        <v>1.8</v>
      </c>
      <c r="BM10" s="53">
        <v>3</v>
      </c>
      <c r="BN10" s="55">
        <v>41</v>
      </c>
      <c r="BO10" s="52" t="str">
        <f>+IF(BN10&gt;0,FIXED(Fuelbeds_english!BO10*2.54,1,0),BN10)</f>
        <v>1.8</v>
      </c>
      <c r="BP10" s="59"/>
    </row>
    <row r="11" spans="1:68" s="60" customFormat="1" ht="15" customHeight="1" x14ac:dyDescent="0.25">
      <c r="A11" s="50">
        <v>10</v>
      </c>
      <c r="B11" s="36">
        <v>1021</v>
      </c>
      <c r="C11" s="46">
        <v>1021</v>
      </c>
      <c r="D11" s="37" t="s">
        <v>6</v>
      </c>
      <c r="E11" s="38" t="s">
        <v>426</v>
      </c>
      <c r="F11" s="39">
        <v>33</v>
      </c>
      <c r="G11" s="45">
        <v>17</v>
      </c>
      <c r="H11" s="45">
        <f>+IF(F11&gt;0,INT(Fuelbeds_english!H11*2.471),F11)</f>
        <v>19</v>
      </c>
      <c r="I11" s="36">
        <f>+IF(F11&gt;0,INT(Fuelbeds_english!I11*0.3048),F11)</f>
        <v>20</v>
      </c>
      <c r="J11" s="45">
        <f>+IF(F11&gt;0,INT(Fuelbeds_english!J11*0.3048),F11)</f>
        <v>10</v>
      </c>
      <c r="K11" s="45">
        <f>+IF(F11&gt;0,INT(Fuelbeds_english!K11*2.54),F11)</f>
        <v>27</v>
      </c>
      <c r="L11" s="36">
        <v>29027</v>
      </c>
      <c r="M11" s="45" t="s">
        <v>369</v>
      </c>
      <c r="N11" s="45">
        <v>100</v>
      </c>
      <c r="O11" s="45">
        <v>33</v>
      </c>
      <c r="P11" s="45">
        <f>+IF(O11&gt;0,INT(Fuelbeds_english!P11*2.471),O11)</f>
        <v>126</v>
      </c>
      <c r="Q11" s="36">
        <f>+IF(O11&gt;0,INT(Fuelbeds_english!Q11*0.3048),O11)</f>
        <v>10</v>
      </c>
      <c r="R11" s="45">
        <f>+IF(O11&gt;0,INT(Fuelbeds_english!R11*0.3048),O11)</f>
        <v>3</v>
      </c>
      <c r="S11" s="45">
        <f>+IF(O11&gt;0,INT(Fuelbeds_english!S11*2.54),O11)</f>
        <v>12</v>
      </c>
      <c r="T11" s="45">
        <v>29027</v>
      </c>
      <c r="U11" s="45" t="s">
        <v>369</v>
      </c>
      <c r="V11" s="45">
        <v>100</v>
      </c>
      <c r="W11" s="45">
        <v>1</v>
      </c>
      <c r="X11" s="99">
        <v>5</v>
      </c>
      <c r="Y11" s="29">
        <v>27</v>
      </c>
      <c r="Z11" s="88" t="str">
        <f>+IF(Y11&gt;0,FIXED(Fuelbeds_english!Z11*0.3048,1,0),Y11)</f>
        <v>1.6</v>
      </c>
      <c r="AA11" s="36">
        <v>85</v>
      </c>
      <c r="AB11" s="45">
        <v>19092</v>
      </c>
      <c r="AC11" s="45" t="s">
        <v>160</v>
      </c>
      <c r="AD11" s="45">
        <v>100</v>
      </c>
      <c r="AE11" s="42">
        <v>60</v>
      </c>
      <c r="AF11" s="52" t="str">
        <f>+IF(AE11&gt;0,FIXED(Fuelbeds_english!AF11*0.3048,1,0),AE11)</f>
        <v>0.2</v>
      </c>
      <c r="AG11" s="36">
        <v>0</v>
      </c>
      <c r="AH11" s="52" t="str">
        <f>+IF(AE11&gt;0,FIXED(Fuelbeds_english!AH11*2.242,1,0),AE11)</f>
        <v>1.7</v>
      </c>
      <c r="AI11" s="45">
        <v>41976</v>
      </c>
      <c r="AJ11" s="45" t="s">
        <v>209</v>
      </c>
      <c r="AK11" s="45">
        <v>100</v>
      </c>
      <c r="AL11" s="34">
        <v>22</v>
      </c>
      <c r="AM11" s="52" t="str">
        <f>+IF(AL11&gt;0,FIXED(Fuelbeds_english!AM11*2.54,1,0),AL11)</f>
        <v>3.6</v>
      </c>
      <c r="AN11" s="52" t="str">
        <f>+IF($AM11&gt;0,FIXED(Fuelbeds_english!AN11*2.242,1,0),$AM11)</f>
        <v>0.3</v>
      </c>
      <c r="AO11" s="52" t="str">
        <f>+IF($AM11&gt;0,FIXED(Fuelbeds_english!AO11*2.242,1,0),$AM11)</f>
        <v>1.0</v>
      </c>
      <c r="AP11" s="52" t="str">
        <f>+IF($AM11&gt;0,FIXED(Fuelbeds_english!AP11*2.242,1,0),$AM11)</f>
        <v>1.2</v>
      </c>
      <c r="AQ11" s="52" t="str">
        <f>+IF($AM11&gt;0,FIXED(Fuelbeds_english!AQ11*2.242,1,0),$AM11)</f>
        <v>3.5</v>
      </c>
      <c r="AR11" s="36">
        <v>29027</v>
      </c>
      <c r="AS11" s="45" t="s">
        <v>369</v>
      </c>
      <c r="AT11" s="45">
        <v>100</v>
      </c>
      <c r="AU11" s="44">
        <v>-1</v>
      </c>
      <c r="AV11" s="52">
        <f>+IF(AU11&gt;0,FIXED(Fuelbeds_english!AV11*2.54,1,0),AU11)</f>
        <v>-1</v>
      </c>
      <c r="AW11" s="52">
        <v>-1</v>
      </c>
      <c r="AX11" s="52">
        <v>-1</v>
      </c>
      <c r="AY11" s="52">
        <f>+IF(AX11&gt;0,FIXED(Fuelbeds_english!AY11*2.54,1,0),AX11)</f>
        <v>-1</v>
      </c>
      <c r="AZ11" s="45">
        <v>2</v>
      </c>
      <c r="BA11" s="36">
        <v>42</v>
      </c>
      <c r="BB11" s="52" t="str">
        <f>+IF(BA11&gt;0,FIXED(Fuelbeds_english!BB11*2.54,1,0),BA11)</f>
        <v>2.8</v>
      </c>
      <c r="BC11" s="53">
        <v>-1</v>
      </c>
      <c r="BD11" s="53">
        <v>-1</v>
      </c>
      <c r="BE11" s="53">
        <v>-1</v>
      </c>
      <c r="BF11" s="53">
        <v>-1</v>
      </c>
      <c r="BG11" s="53">
        <v>100</v>
      </c>
      <c r="BH11" s="53">
        <v>-1</v>
      </c>
      <c r="BI11" s="45">
        <v>-1</v>
      </c>
      <c r="BJ11" s="28">
        <v>1</v>
      </c>
      <c r="BK11" s="55">
        <v>42</v>
      </c>
      <c r="BL11" s="52" t="str">
        <f>+IF(BK11&gt;0,FIXED(Fuelbeds_english!BL11*2.54,1,0),BK11)</f>
        <v>1.8</v>
      </c>
      <c r="BM11" s="53">
        <v>3</v>
      </c>
      <c r="BN11" s="55">
        <v>42</v>
      </c>
      <c r="BO11" s="52" t="str">
        <f>+IF(BN11&gt;0,FIXED(Fuelbeds_english!BO11*2.54,1,0),BN11)</f>
        <v>1.8</v>
      </c>
      <c r="BP11" s="59"/>
    </row>
    <row r="12" spans="1:68" s="60" customFormat="1" ht="15" customHeight="1" x14ac:dyDescent="0.25">
      <c r="A12" s="50">
        <v>11</v>
      </c>
      <c r="B12" s="36">
        <v>1022</v>
      </c>
      <c r="C12" s="46">
        <v>1022</v>
      </c>
      <c r="D12" s="37" t="s">
        <v>6</v>
      </c>
      <c r="E12" s="38" t="s">
        <v>428</v>
      </c>
      <c r="F12" s="39">
        <v>24</v>
      </c>
      <c r="G12" s="45">
        <v>13</v>
      </c>
      <c r="H12" s="45">
        <f>+IF(F12&gt;0,INT(Fuelbeds_english!H12*2.471),F12)</f>
        <v>14</v>
      </c>
      <c r="I12" s="36">
        <f>+IF(F12&gt;0,INT(Fuelbeds_english!I12*0.3048),F12)</f>
        <v>17</v>
      </c>
      <c r="J12" s="45">
        <f>+IF(F12&gt;0,INT(Fuelbeds_english!J12*0.3048),F12)</f>
        <v>9</v>
      </c>
      <c r="K12" s="45">
        <f>+IF(F12&gt;0,INT(Fuelbeds_english!K12*2.54),F12)</f>
        <v>20</v>
      </c>
      <c r="L12" s="36">
        <v>29027</v>
      </c>
      <c r="M12" s="45" t="s">
        <v>369</v>
      </c>
      <c r="N12" s="45">
        <v>100</v>
      </c>
      <c r="O12" s="45">
        <v>24</v>
      </c>
      <c r="P12" s="45">
        <f>+IF(O12&gt;0,INT(Fuelbeds_english!P12*2.471),O12)</f>
        <v>93</v>
      </c>
      <c r="Q12" s="36">
        <f>+IF(O12&gt;0,INT(Fuelbeds_english!Q12*0.3048),O12)</f>
        <v>9</v>
      </c>
      <c r="R12" s="45">
        <f>+IF(O12&gt;0,INT(Fuelbeds_english!R12*0.3048),O12)</f>
        <v>3</v>
      </c>
      <c r="S12" s="45">
        <f>+IF(O12&gt;0,INT(Fuelbeds_english!S12*2.54),O12)</f>
        <v>10</v>
      </c>
      <c r="T12" s="45">
        <v>29027</v>
      </c>
      <c r="U12" s="45" t="s">
        <v>369</v>
      </c>
      <c r="V12" s="45">
        <v>100</v>
      </c>
      <c r="W12" s="45">
        <v>1</v>
      </c>
      <c r="X12" s="99">
        <v>5</v>
      </c>
      <c r="Y12" s="29">
        <v>31</v>
      </c>
      <c r="Z12" s="88" t="str">
        <f>+IF(Y12&gt;0,FIXED(Fuelbeds_english!Z12*0.3048,1,0),Y12)</f>
        <v>1.6</v>
      </c>
      <c r="AA12" s="36">
        <v>85</v>
      </c>
      <c r="AB12" s="45">
        <v>19092</v>
      </c>
      <c r="AC12" s="45" t="s">
        <v>160</v>
      </c>
      <c r="AD12" s="45">
        <v>100</v>
      </c>
      <c r="AE12" s="42">
        <v>60</v>
      </c>
      <c r="AF12" s="52" t="str">
        <f>+IF(AE12&gt;0,FIXED(Fuelbeds_english!AF12*0.3048,1,0),AE12)</f>
        <v>0.2</v>
      </c>
      <c r="AG12" s="45">
        <v>0</v>
      </c>
      <c r="AH12" s="52" t="str">
        <f>+IF(AE12&gt;0,FIXED(Fuelbeds_english!AH12*2.242,1,0),AE12)</f>
        <v>0.7</v>
      </c>
      <c r="AI12" s="45">
        <v>42269</v>
      </c>
      <c r="AJ12" s="45" t="s">
        <v>206</v>
      </c>
      <c r="AK12" s="45">
        <v>100</v>
      </c>
      <c r="AL12" s="34">
        <v>16</v>
      </c>
      <c r="AM12" s="52" t="str">
        <f>+IF(AL12&gt;0,FIXED(Fuelbeds_english!AM12*2.54,1,0),AL12)</f>
        <v>3.6</v>
      </c>
      <c r="AN12" s="52" t="str">
        <f>+IF($AM12&gt;0,FIXED(Fuelbeds_english!AN12*2.242,1,0),$AM12)</f>
        <v>0.2</v>
      </c>
      <c r="AO12" s="52" t="str">
        <f>+IF($AM12&gt;0,FIXED(Fuelbeds_english!AO12*2.242,1,0),$AM12)</f>
        <v>0.7</v>
      </c>
      <c r="AP12" s="52" t="str">
        <f>+IF($AM12&gt;0,FIXED(Fuelbeds_english!AP12*2.242,1,0),$AM12)</f>
        <v>0.9</v>
      </c>
      <c r="AQ12" s="52" t="str">
        <f>+IF($AM12&gt;0,FIXED(Fuelbeds_english!AQ12*2.242,1,0),$AM12)</f>
        <v>2.6</v>
      </c>
      <c r="AR12" s="36">
        <v>29027</v>
      </c>
      <c r="AS12" s="45" t="s">
        <v>369</v>
      </c>
      <c r="AT12" s="45">
        <v>100</v>
      </c>
      <c r="AU12" s="44">
        <v>-1</v>
      </c>
      <c r="AV12" s="52">
        <f>+IF(AU12&gt;0,FIXED(Fuelbeds_english!AV12*2.54,1,0),AU12)</f>
        <v>-1</v>
      </c>
      <c r="AW12" s="52">
        <v>-1</v>
      </c>
      <c r="AX12" s="52">
        <v>-1</v>
      </c>
      <c r="AY12" s="52">
        <f>+IF(AX12&gt;0,FIXED(Fuelbeds_english!AY12*2.54,1,0),AX12)</f>
        <v>-1</v>
      </c>
      <c r="AZ12" s="45">
        <v>2</v>
      </c>
      <c r="BA12" s="36">
        <v>32</v>
      </c>
      <c r="BB12" s="52" t="str">
        <f>+IF(BA12&gt;0,FIXED(Fuelbeds_english!BB12*2.54,1,0),BA12)</f>
        <v>2.8</v>
      </c>
      <c r="BC12" s="53">
        <v>-1</v>
      </c>
      <c r="BD12" s="53">
        <v>-1</v>
      </c>
      <c r="BE12" s="53">
        <v>-1</v>
      </c>
      <c r="BF12" s="53">
        <v>-1</v>
      </c>
      <c r="BG12" s="53">
        <v>100</v>
      </c>
      <c r="BH12" s="53">
        <v>-1</v>
      </c>
      <c r="BI12" s="45">
        <v>-1</v>
      </c>
      <c r="BJ12" s="28">
        <v>1</v>
      </c>
      <c r="BK12" s="55">
        <v>32</v>
      </c>
      <c r="BL12" s="52" t="str">
        <f>+IF(BK12&gt;0,FIXED(Fuelbeds_english!BL12*2.54,1,0),BK12)</f>
        <v>1.8</v>
      </c>
      <c r="BM12" s="53">
        <v>3</v>
      </c>
      <c r="BN12" s="55">
        <v>32</v>
      </c>
      <c r="BO12" s="52" t="str">
        <f>+IF(BN12&gt;0,FIXED(Fuelbeds_english!BO12*2.54,1,0),BN12)</f>
        <v>1.8</v>
      </c>
      <c r="BP12" s="59"/>
    </row>
    <row r="13" spans="1:68" s="60" customFormat="1" ht="15" customHeight="1" x14ac:dyDescent="0.25">
      <c r="A13" s="50">
        <v>12</v>
      </c>
      <c r="B13" s="36">
        <v>1023</v>
      </c>
      <c r="C13" s="46">
        <v>1023</v>
      </c>
      <c r="D13" s="37" t="s">
        <v>6</v>
      </c>
      <c r="E13" s="38" t="s">
        <v>429</v>
      </c>
      <c r="F13" s="39">
        <v>18</v>
      </c>
      <c r="G13" s="45">
        <v>9</v>
      </c>
      <c r="H13" s="45">
        <f>+IF(F13&gt;0,INT(Fuelbeds_english!H13*2.471),F13)</f>
        <v>9</v>
      </c>
      <c r="I13" s="36">
        <f>+IF(F13&gt;0,INT(Fuelbeds_english!I13*0.3048),F13)</f>
        <v>14</v>
      </c>
      <c r="J13" s="45">
        <f>+IF(F13&gt;0,INT(Fuelbeds_english!J13*0.3048),F13)</f>
        <v>7</v>
      </c>
      <c r="K13" s="45">
        <f>+IF(F13&gt;0,INT(Fuelbeds_english!K13*2.54),F13)</f>
        <v>15</v>
      </c>
      <c r="L13" s="36">
        <v>29027</v>
      </c>
      <c r="M13" s="45" t="s">
        <v>369</v>
      </c>
      <c r="N13" s="45">
        <v>100</v>
      </c>
      <c r="O13" s="45">
        <v>18</v>
      </c>
      <c r="P13" s="45">
        <f>+IF(O13&gt;0,INT(Fuelbeds_english!P13*2.471),O13)</f>
        <v>71</v>
      </c>
      <c r="Q13" s="36">
        <f>+IF(O13&gt;0,INT(Fuelbeds_english!Q13*0.3048),O13)</f>
        <v>7</v>
      </c>
      <c r="R13" s="45">
        <f>+IF(O13&gt;0,INT(Fuelbeds_english!R13*0.3048),O13)</f>
        <v>2</v>
      </c>
      <c r="S13" s="45">
        <f>+IF(O13&gt;0,INT(Fuelbeds_english!S13*2.54),O13)</f>
        <v>7</v>
      </c>
      <c r="T13" s="45">
        <v>29027</v>
      </c>
      <c r="U13" s="45" t="s">
        <v>369</v>
      </c>
      <c r="V13" s="45">
        <v>100</v>
      </c>
      <c r="W13" s="45">
        <v>1</v>
      </c>
      <c r="X13" s="99">
        <v>5</v>
      </c>
      <c r="Y13" s="29">
        <v>33</v>
      </c>
      <c r="Z13" s="88" t="str">
        <f>+IF(Y13&gt;0,FIXED(Fuelbeds_english!Z13*0.3048,1,0),Y13)</f>
        <v>1.6</v>
      </c>
      <c r="AA13" s="36">
        <v>85</v>
      </c>
      <c r="AB13" s="45">
        <v>19092</v>
      </c>
      <c r="AC13" s="45" t="s">
        <v>160</v>
      </c>
      <c r="AD13" s="45">
        <v>100</v>
      </c>
      <c r="AE13" s="42">
        <v>60</v>
      </c>
      <c r="AF13" s="52" t="str">
        <f>+IF(AE13&gt;0,FIXED(Fuelbeds_english!AF13*0.3048,1,0),AE13)</f>
        <v>0.2</v>
      </c>
      <c r="AG13" s="45">
        <v>0</v>
      </c>
      <c r="AH13" s="52" t="str">
        <f>+IF(AE13&gt;0,FIXED(Fuelbeds_english!AH13*2.242,1,0),AE13)</f>
        <v>0.2</v>
      </c>
      <c r="AI13" s="45">
        <v>26716</v>
      </c>
      <c r="AJ13" s="45" t="s">
        <v>208</v>
      </c>
      <c r="AK13" s="45">
        <v>100</v>
      </c>
      <c r="AL13" s="34">
        <v>12</v>
      </c>
      <c r="AM13" s="52" t="str">
        <f>+IF(AL13&gt;0,FIXED(Fuelbeds_english!AM13*2.54,1,0),AL13)</f>
        <v>3.6</v>
      </c>
      <c r="AN13" s="52" t="str">
        <f>+IF($AM13&gt;0,FIXED(Fuelbeds_english!AN13*2.242,1,0),$AM13)</f>
        <v>0.2</v>
      </c>
      <c r="AO13" s="52" t="str">
        <f>+IF($AM13&gt;0,FIXED(Fuelbeds_english!AO13*2.242,1,0),$AM13)</f>
        <v>0.5</v>
      </c>
      <c r="AP13" s="52" t="str">
        <f>+IF($AM13&gt;0,FIXED(Fuelbeds_english!AP13*2.242,1,0),$AM13)</f>
        <v>0.7</v>
      </c>
      <c r="AQ13" s="52" t="str">
        <f>+IF($AM13&gt;0,FIXED(Fuelbeds_english!AQ13*2.242,1,0),$AM13)</f>
        <v>1.9</v>
      </c>
      <c r="AR13" s="36">
        <v>29027</v>
      </c>
      <c r="AS13" s="45" t="s">
        <v>369</v>
      </c>
      <c r="AT13" s="45">
        <v>100</v>
      </c>
      <c r="AU13" s="44">
        <v>-1</v>
      </c>
      <c r="AV13" s="52">
        <f>+IF(AU13&gt;0,FIXED(Fuelbeds_english!AV13*2.54,1,0),AU13)</f>
        <v>-1</v>
      </c>
      <c r="AW13" s="52">
        <v>-1</v>
      </c>
      <c r="AX13" s="52">
        <v>-1</v>
      </c>
      <c r="AY13" s="52">
        <f>+IF(AX13&gt;0,FIXED(Fuelbeds_english!AY13*2.54,1,0),AX13)</f>
        <v>-1</v>
      </c>
      <c r="AZ13" s="45">
        <v>2</v>
      </c>
      <c r="BA13" s="36">
        <v>24</v>
      </c>
      <c r="BB13" s="52" t="str">
        <f>+IF(BA13&gt;0,FIXED(Fuelbeds_english!BB13*2.54,1,0),BA13)</f>
        <v>2.8</v>
      </c>
      <c r="BC13" s="53">
        <v>-1</v>
      </c>
      <c r="BD13" s="53">
        <v>-1</v>
      </c>
      <c r="BE13" s="53">
        <v>-1</v>
      </c>
      <c r="BF13" s="53">
        <v>-1</v>
      </c>
      <c r="BG13" s="53">
        <v>100</v>
      </c>
      <c r="BH13" s="53">
        <v>-1</v>
      </c>
      <c r="BI13" s="45">
        <v>-1</v>
      </c>
      <c r="BJ13" s="28">
        <v>1</v>
      </c>
      <c r="BK13" s="55">
        <v>24</v>
      </c>
      <c r="BL13" s="52" t="str">
        <f>+IF(BK13&gt;0,FIXED(Fuelbeds_english!BL13*2.54,1,0),BK13)</f>
        <v>1.8</v>
      </c>
      <c r="BM13" s="53">
        <v>3</v>
      </c>
      <c r="BN13" s="55">
        <v>24</v>
      </c>
      <c r="BO13" s="52" t="str">
        <f>+IF(BN13&gt;0,FIXED(Fuelbeds_english!BO13*2.54,1,0),BN13)</f>
        <v>1.8</v>
      </c>
      <c r="BP13" s="59"/>
    </row>
    <row r="14" spans="1:68" s="60" customFormat="1" ht="15" customHeight="1" x14ac:dyDescent="0.25">
      <c r="A14" s="50">
        <v>13</v>
      </c>
      <c r="B14" s="36">
        <v>1026</v>
      </c>
      <c r="C14" s="46">
        <v>1026</v>
      </c>
      <c r="D14" s="37" t="s">
        <v>6</v>
      </c>
      <c r="E14" s="38" t="s">
        <v>430</v>
      </c>
      <c r="F14" s="39">
        <v>21</v>
      </c>
      <c r="G14" s="45">
        <v>11</v>
      </c>
      <c r="H14" s="45">
        <f>+IF(F14&gt;0,INT(Fuelbeds_english!H14*2.471),F14)</f>
        <v>12</v>
      </c>
      <c r="I14" s="36">
        <f>+IF(F14&gt;0,INT(Fuelbeds_english!I14*0.3048),F14)</f>
        <v>14</v>
      </c>
      <c r="J14" s="45">
        <f>+IF(F14&gt;0,INT(Fuelbeds_english!J14*0.3048),F14)</f>
        <v>7</v>
      </c>
      <c r="K14" s="45">
        <f>+IF(F14&gt;0,INT(Fuelbeds_english!K14*2.54),F14)</f>
        <v>15</v>
      </c>
      <c r="L14" s="36">
        <v>29027</v>
      </c>
      <c r="M14" s="45" t="s">
        <v>369</v>
      </c>
      <c r="N14" s="45">
        <v>100</v>
      </c>
      <c r="O14" s="45">
        <v>21</v>
      </c>
      <c r="P14" s="45">
        <f>+IF(O14&gt;0,INT(Fuelbeds_english!P14*2.471),O14)</f>
        <v>84</v>
      </c>
      <c r="Q14" s="36">
        <f>+IF(O14&gt;0,INT(Fuelbeds_english!Q14*0.3048),O14)</f>
        <v>7</v>
      </c>
      <c r="R14" s="45">
        <f>+IF(O14&gt;0,INT(Fuelbeds_english!R14*0.3048),O14)</f>
        <v>2</v>
      </c>
      <c r="S14" s="45">
        <f>+IF(O14&gt;0,INT(Fuelbeds_english!S14*2.54),O14)</f>
        <v>7</v>
      </c>
      <c r="T14" s="45">
        <v>29027</v>
      </c>
      <c r="U14" s="45" t="s">
        <v>369</v>
      </c>
      <c r="V14" s="45">
        <v>100</v>
      </c>
      <c r="W14" s="45">
        <v>1</v>
      </c>
      <c r="X14" s="99">
        <v>5</v>
      </c>
      <c r="Y14" s="29">
        <v>32</v>
      </c>
      <c r="Z14" s="88" t="str">
        <f>+IF(Y14&gt;0,FIXED(Fuelbeds_english!Z14*0.3048,1,0),Y14)</f>
        <v>1.6</v>
      </c>
      <c r="AA14" s="36">
        <v>85</v>
      </c>
      <c r="AB14" s="45">
        <v>19092</v>
      </c>
      <c r="AC14" s="45" t="s">
        <v>160</v>
      </c>
      <c r="AD14" s="45">
        <v>100</v>
      </c>
      <c r="AE14" s="42">
        <v>60</v>
      </c>
      <c r="AF14" s="52" t="str">
        <f>+IF(AE14&gt;0,FIXED(Fuelbeds_english!AF14*0.3048,1,0),AE14)</f>
        <v>0.1</v>
      </c>
      <c r="AG14" s="45">
        <v>0</v>
      </c>
      <c r="AH14" s="52" t="str">
        <f>+IF(AE14&gt;0,FIXED(Fuelbeds_english!AH14*2.242,1,0),AE14)</f>
        <v>0.2</v>
      </c>
      <c r="AI14" s="36">
        <v>26857</v>
      </c>
      <c r="AJ14" s="43" t="s">
        <v>415</v>
      </c>
      <c r="AK14" s="36">
        <v>100</v>
      </c>
      <c r="AL14" s="34">
        <v>15</v>
      </c>
      <c r="AM14" s="52" t="str">
        <f>+IF(AL14&gt;0,FIXED(Fuelbeds_english!AM14*2.54,1,0),AL14)</f>
        <v>3.6</v>
      </c>
      <c r="AN14" s="52" t="str">
        <f>+IF($AM14&gt;0,FIXED(Fuelbeds_english!AN14*2.242,1,0),$AM14)</f>
        <v>0.2</v>
      </c>
      <c r="AO14" s="52" t="str">
        <f>+IF($AM14&gt;0,FIXED(Fuelbeds_english!AO14*2.242,1,0),$AM14)</f>
        <v>0.6</v>
      </c>
      <c r="AP14" s="52" t="str">
        <f>+IF($AM14&gt;0,FIXED(Fuelbeds_english!AP14*2.242,1,0),$AM14)</f>
        <v>0.8</v>
      </c>
      <c r="AQ14" s="52" t="str">
        <f>+IF($AM14&gt;0,FIXED(Fuelbeds_english!AQ14*2.242,1,0),$AM14)</f>
        <v>2.3</v>
      </c>
      <c r="AR14" s="36">
        <v>29027</v>
      </c>
      <c r="AS14" s="45" t="s">
        <v>369</v>
      </c>
      <c r="AT14" s="45">
        <v>100</v>
      </c>
      <c r="AU14" s="44">
        <v>-1</v>
      </c>
      <c r="AV14" s="52">
        <f>+IF(AU14&gt;0,FIXED(Fuelbeds_english!AV14*2.54,1,0),AU14)</f>
        <v>-1</v>
      </c>
      <c r="AW14" s="52">
        <v>-1</v>
      </c>
      <c r="AX14" s="52">
        <v>-1</v>
      </c>
      <c r="AY14" s="52">
        <f>+IF(AX14&gt;0,FIXED(Fuelbeds_english!AY14*2.54,1,0),AX14)</f>
        <v>-1</v>
      </c>
      <c r="AZ14" s="45">
        <v>2</v>
      </c>
      <c r="BA14" s="36">
        <v>28</v>
      </c>
      <c r="BB14" s="52" t="str">
        <f>+IF(BA14&gt;0,FIXED(Fuelbeds_english!BB14*2.54,1,0),BA14)</f>
        <v>2.8</v>
      </c>
      <c r="BC14" s="53">
        <v>-1</v>
      </c>
      <c r="BD14" s="53">
        <v>-1</v>
      </c>
      <c r="BE14" s="53">
        <v>-1</v>
      </c>
      <c r="BF14" s="53">
        <v>-1</v>
      </c>
      <c r="BG14" s="53">
        <v>100</v>
      </c>
      <c r="BH14" s="53">
        <v>-1</v>
      </c>
      <c r="BI14" s="45">
        <v>-1</v>
      </c>
      <c r="BJ14" s="28">
        <v>1</v>
      </c>
      <c r="BK14" s="55">
        <v>28</v>
      </c>
      <c r="BL14" s="52" t="str">
        <f>+IF(BK14&gt;0,FIXED(Fuelbeds_english!BL14*2.54,1,0),BK14)</f>
        <v>1.8</v>
      </c>
      <c r="BM14" s="53">
        <v>3</v>
      </c>
      <c r="BN14" s="55">
        <v>28</v>
      </c>
      <c r="BO14" s="52" t="str">
        <f>+IF(BN14&gt;0,FIXED(Fuelbeds_english!BO14*2.54,1,0),BN14)</f>
        <v>1.8</v>
      </c>
      <c r="BP14" s="59"/>
    </row>
    <row r="15" spans="1:68" s="60" customFormat="1" ht="15" customHeight="1" x14ac:dyDescent="0.25">
      <c r="A15" s="50">
        <v>14</v>
      </c>
      <c r="B15" s="36">
        <v>1027</v>
      </c>
      <c r="C15" s="46">
        <v>1027</v>
      </c>
      <c r="D15" s="37" t="s">
        <v>6</v>
      </c>
      <c r="E15" s="38" t="s">
        <v>431</v>
      </c>
      <c r="F15" s="39">
        <v>50</v>
      </c>
      <c r="G15" s="45">
        <v>26</v>
      </c>
      <c r="H15" s="45">
        <f>+IF(F15&gt;0,INT(Fuelbeds_english!H15*2.471),F15)</f>
        <v>29</v>
      </c>
      <c r="I15" s="36">
        <f>+IF(F15&gt;0,INT(Fuelbeds_english!I15*0.3048),F15)</f>
        <v>30</v>
      </c>
      <c r="J15" s="45">
        <f>+IF(F15&gt;0,INT(Fuelbeds_english!J15*0.3048),F15)</f>
        <v>16</v>
      </c>
      <c r="K15" s="45">
        <f>+IF(F15&gt;0,INT(Fuelbeds_english!K15*2.54),F15)</f>
        <v>60</v>
      </c>
      <c r="L15" s="36">
        <v>29027</v>
      </c>
      <c r="M15" s="45" t="s">
        <v>369</v>
      </c>
      <c r="N15" s="45">
        <v>100</v>
      </c>
      <c r="O15" s="45">
        <v>50</v>
      </c>
      <c r="P15" s="45">
        <f>+IF(O15&gt;0,INT(Fuelbeds_english!P15*2.471),O15)</f>
        <v>195</v>
      </c>
      <c r="Q15" s="36">
        <f>+IF(O15&gt;0,INT(Fuelbeds_english!Q15*0.3048),O15)</f>
        <v>15</v>
      </c>
      <c r="R15" s="45">
        <f>+IF(O15&gt;0,INT(Fuelbeds_english!R15*0.3048),O15)</f>
        <v>5</v>
      </c>
      <c r="S15" s="45">
        <f>+IF(O15&gt;0,INT(Fuelbeds_english!S15*2.54),O15)</f>
        <v>17</v>
      </c>
      <c r="T15" s="45">
        <v>29027</v>
      </c>
      <c r="U15" s="45" t="s">
        <v>369</v>
      </c>
      <c r="V15" s="45">
        <v>100</v>
      </c>
      <c r="W15" s="45">
        <v>1</v>
      </c>
      <c r="X15" s="99">
        <v>5</v>
      </c>
      <c r="Y15" s="29">
        <v>31</v>
      </c>
      <c r="Z15" s="88" t="str">
        <f>+IF(Y15&gt;0,FIXED(Fuelbeds_english!Z15*0.3048,1,0),Y15)</f>
        <v>1.6</v>
      </c>
      <c r="AA15" s="36">
        <v>85</v>
      </c>
      <c r="AB15" s="45">
        <v>19092</v>
      </c>
      <c r="AC15" s="45" t="s">
        <v>160</v>
      </c>
      <c r="AD15" s="45">
        <v>100</v>
      </c>
      <c r="AE15" s="42">
        <v>50</v>
      </c>
      <c r="AF15" s="52" t="str">
        <f>+IF(AE15&gt;0,FIXED(Fuelbeds_english!AF15*0.3048,1,0),AE15)</f>
        <v>0.0</v>
      </c>
      <c r="AG15" s="45">
        <v>0</v>
      </c>
      <c r="AH15" s="52" t="str">
        <f>+IF(AE15&gt;0,FIXED(Fuelbeds_english!AH15*2.242,1,0),AE15)</f>
        <v>0.0</v>
      </c>
      <c r="AI15" s="36">
        <v>505272</v>
      </c>
      <c r="AJ15" s="43" t="s">
        <v>417</v>
      </c>
      <c r="AK15" s="36">
        <v>100</v>
      </c>
      <c r="AL15" s="34">
        <v>34</v>
      </c>
      <c r="AM15" s="52" t="str">
        <f>+IF(AL15&gt;0,FIXED(Fuelbeds_english!AM15*2.54,1,0),AL15)</f>
        <v>3.6</v>
      </c>
      <c r="AN15" s="52" t="str">
        <f>+IF($AM15&gt;0,FIXED(Fuelbeds_english!AN15*2.242,1,0),$AM15)</f>
        <v>0.4</v>
      </c>
      <c r="AO15" s="52" t="str">
        <f>+IF($AM15&gt;0,FIXED(Fuelbeds_english!AO15*2.242,1,0),$AM15)</f>
        <v>1.5</v>
      </c>
      <c r="AP15" s="52" t="str">
        <f>+IF($AM15&gt;0,FIXED(Fuelbeds_english!AP15*2.242,1,0),$AM15)</f>
        <v>1.8</v>
      </c>
      <c r="AQ15" s="52" t="str">
        <f>+IF($AM15&gt;0,FIXED(Fuelbeds_english!AQ15*2.242,1,0),$AM15)</f>
        <v>5.3</v>
      </c>
      <c r="AR15" s="36">
        <v>29027</v>
      </c>
      <c r="AS15" s="45" t="s">
        <v>369</v>
      </c>
      <c r="AT15" s="45">
        <v>100</v>
      </c>
      <c r="AU15" s="44">
        <v>-1</v>
      </c>
      <c r="AV15" s="52">
        <f>+IF(AU15&gt;0,FIXED(Fuelbeds_english!AV15*2.54,1,0),AU15)</f>
        <v>-1</v>
      </c>
      <c r="AW15" s="52">
        <v>-1</v>
      </c>
      <c r="AX15" s="52">
        <v>-1</v>
      </c>
      <c r="AY15" s="52">
        <f>+IF(AX15&gt;0,FIXED(Fuelbeds_english!AY15*2.54,1,0),AX15)</f>
        <v>-1</v>
      </c>
      <c r="AZ15" s="45">
        <v>2</v>
      </c>
      <c r="BA15" s="36">
        <v>65</v>
      </c>
      <c r="BB15" s="52" t="str">
        <f>+IF(BA15&gt;0,FIXED(Fuelbeds_english!BB15*2.54,1,0),BA15)</f>
        <v>2.8</v>
      </c>
      <c r="BC15" s="53">
        <v>-1</v>
      </c>
      <c r="BD15" s="53">
        <v>-1</v>
      </c>
      <c r="BE15" s="53">
        <v>-1</v>
      </c>
      <c r="BF15" s="53">
        <v>-1</v>
      </c>
      <c r="BG15" s="53">
        <v>100</v>
      </c>
      <c r="BH15" s="53">
        <v>-1</v>
      </c>
      <c r="BI15" s="45">
        <v>-1</v>
      </c>
      <c r="BJ15" s="28">
        <v>1</v>
      </c>
      <c r="BK15" s="55">
        <v>65</v>
      </c>
      <c r="BL15" s="52" t="str">
        <f>+IF(BK15&gt;0,FIXED(Fuelbeds_english!BL15*2.54,1,0),BK15)</f>
        <v>1.8</v>
      </c>
      <c r="BM15" s="53">
        <v>3</v>
      </c>
      <c r="BN15" s="55">
        <v>65</v>
      </c>
      <c r="BO15" s="52" t="str">
        <f>+IF(BN15&gt;0,FIXED(Fuelbeds_english!BO15*2.54,1,0),BN15)</f>
        <v>1.8</v>
      </c>
      <c r="BP15" s="59"/>
    </row>
    <row r="16" spans="1:68" ht="15" customHeight="1" x14ac:dyDescent="0.25">
      <c r="A16" s="50">
        <v>15</v>
      </c>
      <c r="B16" s="36">
        <v>1028</v>
      </c>
      <c r="C16" s="36">
        <v>1028</v>
      </c>
      <c r="D16" s="37" t="s">
        <v>6</v>
      </c>
      <c r="E16" s="38" t="s">
        <v>432</v>
      </c>
      <c r="F16" s="39">
        <v>26</v>
      </c>
      <c r="G16" s="36">
        <v>14</v>
      </c>
      <c r="H16" s="45">
        <f>+IF(F16&gt;0,INT(Fuelbeds_english!H16*2.471),F16)</f>
        <v>14</v>
      </c>
      <c r="I16" s="36">
        <f>+IF(F16&gt;0,INT(Fuelbeds_english!I16*0.3048),F16)</f>
        <v>13</v>
      </c>
      <c r="J16" s="45">
        <f>+IF(F16&gt;0,INT(Fuelbeds_english!J16*0.3048),F16)</f>
        <v>7</v>
      </c>
      <c r="K16" s="45">
        <f>+IF(F16&gt;0,INT(Fuelbeds_english!K16*2.54),F16)</f>
        <v>12</v>
      </c>
      <c r="L16" s="36">
        <v>29027</v>
      </c>
      <c r="M16" s="36" t="s">
        <v>369</v>
      </c>
      <c r="N16" s="36">
        <v>100</v>
      </c>
      <c r="O16" s="36">
        <v>26</v>
      </c>
      <c r="P16" s="45">
        <f>+IF(O16&gt;0,INT(Fuelbeds_english!P16*2.471),O16)</f>
        <v>101</v>
      </c>
      <c r="Q16" s="36">
        <f>+IF(O16&gt;0,INT(Fuelbeds_english!Q16*0.3048),O16)</f>
        <v>7</v>
      </c>
      <c r="R16" s="45">
        <f>+IF(O16&gt;0,INT(Fuelbeds_english!R16*0.3048),O16)</f>
        <v>2</v>
      </c>
      <c r="S16" s="45">
        <f>+IF(O16&gt;0,INT(Fuelbeds_english!S16*2.54),O16)</f>
        <v>7</v>
      </c>
      <c r="T16" s="36">
        <v>29027</v>
      </c>
      <c r="U16" s="36" t="s">
        <v>369</v>
      </c>
      <c r="V16" s="36">
        <v>100</v>
      </c>
      <c r="W16" s="36">
        <v>1</v>
      </c>
      <c r="X16" s="98">
        <v>5</v>
      </c>
      <c r="Y16" s="29">
        <v>30</v>
      </c>
      <c r="Z16" s="88" t="str">
        <f>+IF(Y16&gt;0,FIXED(Fuelbeds_english!Z16*0.3048,1,0),Y16)</f>
        <v>1.6</v>
      </c>
      <c r="AA16" s="46">
        <v>85</v>
      </c>
      <c r="AB16" s="50">
        <v>19092</v>
      </c>
      <c r="AC16" s="50" t="s">
        <v>160</v>
      </c>
      <c r="AD16" s="50">
        <v>100</v>
      </c>
      <c r="AE16" s="42">
        <v>60</v>
      </c>
      <c r="AF16" s="52" t="str">
        <f>+IF(AE16&gt;0,FIXED(Fuelbeds_english!AF16*0.3048,1,0),AE16)</f>
        <v>0.2</v>
      </c>
      <c r="AG16" s="36">
        <v>0</v>
      </c>
      <c r="AH16" s="52" t="str">
        <f>+IF(AE16&gt;0,FIXED(Fuelbeds_english!AH16*2.242,1,0),AE16)</f>
        <v>0.4</v>
      </c>
      <c r="AI16" s="45">
        <v>41088</v>
      </c>
      <c r="AJ16" s="45" t="s">
        <v>420</v>
      </c>
      <c r="AK16" s="45">
        <v>100</v>
      </c>
      <c r="AL16" s="34">
        <v>18</v>
      </c>
      <c r="AM16" s="52" t="str">
        <f>+IF(AL16&gt;0,FIXED(Fuelbeds_english!AM16*2.54,1,0),AL16)</f>
        <v>3.6</v>
      </c>
      <c r="AN16" s="52" t="str">
        <f>+IF($AM16&gt;0,FIXED(Fuelbeds_english!AN16*2.242,1,0),$AM16)</f>
        <v>0.2</v>
      </c>
      <c r="AO16" s="52" t="str">
        <f>+IF($AM16&gt;0,FIXED(Fuelbeds_english!AO16*2.242,1,0),$AM16)</f>
        <v>0.8</v>
      </c>
      <c r="AP16" s="52" t="str">
        <f>+IF($AM16&gt;0,FIXED(Fuelbeds_english!AP16*2.242,1,0),$AM16)</f>
        <v>0.9</v>
      </c>
      <c r="AQ16" s="52" t="str">
        <f>+IF($AM16&gt;0,FIXED(Fuelbeds_english!AQ16*2.242,1,0),$AM16)</f>
        <v>2.8</v>
      </c>
      <c r="AR16" s="36">
        <v>29027</v>
      </c>
      <c r="AS16" s="45" t="s">
        <v>369</v>
      </c>
      <c r="AT16" s="45">
        <v>100</v>
      </c>
      <c r="AU16" s="44">
        <v>-1</v>
      </c>
      <c r="AV16" s="52">
        <f>+IF(AU16&gt;0,FIXED(Fuelbeds_english!AV16*2.54,1,0),AU16)</f>
        <v>-1</v>
      </c>
      <c r="AW16" s="52">
        <v>-1</v>
      </c>
      <c r="AX16" s="52">
        <v>-1</v>
      </c>
      <c r="AY16" s="52">
        <f>+IF(AX16&gt;0,FIXED(Fuelbeds_english!AY16*2.54,1,0),AX16)</f>
        <v>-1</v>
      </c>
      <c r="AZ16" s="45">
        <v>2</v>
      </c>
      <c r="BA16" s="36">
        <v>34</v>
      </c>
      <c r="BB16" s="52" t="str">
        <f>+IF(BA16&gt;0,FIXED(Fuelbeds_english!BB16*2.54,1,0),BA16)</f>
        <v>2.8</v>
      </c>
      <c r="BC16" s="53">
        <v>-1</v>
      </c>
      <c r="BD16" s="53">
        <v>-1</v>
      </c>
      <c r="BE16" s="53">
        <v>-1</v>
      </c>
      <c r="BF16" s="53">
        <v>-1</v>
      </c>
      <c r="BG16" s="53">
        <v>100</v>
      </c>
      <c r="BH16" s="53">
        <v>-1</v>
      </c>
      <c r="BI16" s="45">
        <v>-1</v>
      </c>
      <c r="BJ16" s="28">
        <v>1</v>
      </c>
      <c r="BK16" s="55">
        <v>34</v>
      </c>
      <c r="BL16" s="52" t="str">
        <f>+IF(BK16&gt;0,FIXED(Fuelbeds_english!BL16*2.54,1,0),BK16)</f>
        <v>1.8</v>
      </c>
      <c r="BM16" s="45">
        <v>3</v>
      </c>
      <c r="BN16" s="55">
        <v>34</v>
      </c>
      <c r="BO16" s="52" t="str">
        <f>+IF(BN16&gt;0,FIXED(Fuelbeds_english!BO16*2.54,1,0),BN16)</f>
        <v>1.8</v>
      </c>
    </row>
    <row r="17" spans="1:67" s="50" customFormat="1" x14ac:dyDescent="0.25">
      <c r="A17" s="50">
        <v>16</v>
      </c>
      <c r="B17" s="36">
        <v>1029</v>
      </c>
      <c r="C17" s="36">
        <v>1029</v>
      </c>
      <c r="D17" s="37" t="s">
        <v>6</v>
      </c>
      <c r="E17" s="38" t="s">
        <v>433</v>
      </c>
      <c r="F17" s="39">
        <v>30</v>
      </c>
      <c r="G17" s="36">
        <v>15</v>
      </c>
      <c r="H17" s="45">
        <f>+IF(F17&gt;0,INT(Fuelbeds_english!H17*2.471),F17)</f>
        <v>17</v>
      </c>
      <c r="I17" s="36">
        <f>+IF(F17&gt;0,INT(Fuelbeds_english!I17*0.3048),F17)</f>
        <v>19</v>
      </c>
      <c r="J17" s="45">
        <f>+IF(F17&gt;0,INT(Fuelbeds_english!J17*0.3048),F17)</f>
        <v>10</v>
      </c>
      <c r="K17" s="45">
        <f>+IF(F17&gt;0,INT(Fuelbeds_english!K17*2.54),F17)</f>
        <v>27</v>
      </c>
      <c r="L17" s="36">
        <v>29027</v>
      </c>
      <c r="M17" s="36" t="s">
        <v>369</v>
      </c>
      <c r="N17" s="36">
        <v>100</v>
      </c>
      <c r="O17" s="36">
        <v>30</v>
      </c>
      <c r="P17" s="45">
        <f>+IF(O17&gt;0,INT(Fuelbeds_english!P17*2.471),O17)</f>
        <v>116</v>
      </c>
      <c r="Q17" s="36">
        <f>+IF(O17&gt;0,INT(Fuelbeds_english!Q17*0.3048),O17)</f>
        <v>10</v>
      </c>
      <c r="R17" s="45">
        <f>+IF(O17&gt;0,INT(Fuelbeds_english!R17*0.3048),O17)</f>
        <v>3</v>
      </c>
      <c r="S17" s="45">
        <f>+IF(O17&gt;0,INT(Fuelbeds_english!S17*2.54),O17)</f>
        <v>12</v>
      </c>
      <c r="T17" s="36">
        <v>29027</v>
      </c>
      <c r="U17" s="36" t="s">
        <v>369</v>
      </c>
      <c r="V17" s="36">
        <v>100</v>
      </c>
      <c r="W17" s="36">
        <v>1</v>
      </c>
      <c r="X17" s="98">
        <v>5</v>
      </c>
      <c r="Y17" s="29">
        <v>28</v>
      </c>
      <c r="Z17" s="88" t="str">
        <f>+IF(Y17&gt;0,FIXED(Fuelbeds_english!Z17*0.3048,1,0),Y17)</f>
        <v>1.6</v>
      </c>
      <c r="AA17" s="46">
        <v>85</v>
      </c>
      <c r="AB17" s="50">
        <v>19092</v>
      </c>
      <c r="AC17" s="50" t="s">
        <v>160</v>
      </c>
      <c r="AD17" s="50">
        <v>100</v>
      </c>
      <c r="AE17" s="42">
        <v>60</v>
      </c>
      <c r="AF17" s="52" t="str">
        <f>+IF(AE17&gt;0,FIXED(Fuelbeds_english!AF17*0.3048,1,0),AE17)</f>
        <v>3.0</v>
      </c>
      <c r="AG17" s="36">
        <v>100</v>
      </c>
      <c r="AH17" s="52" t="str">
        <f>+IF(AE17&gt;0,FIXED(Fuelbeds_english!AH17*2.242,1,0),AE17)</f>
        <v>5.4</v>
      </c>
      <c r="AI17" s="45">
        <v>42058</v>
      </c>
      <c r="AJ17" s="45" t="s">
        <v>421</v>
      </c>
      <c r="AK17" s="62">
        <v>100</v>
      </c>
      <c r="AL17" s="34">
        <v>20</v>
      </c>
      <c r="AM17" s="52" t="str">
        <f>+IF(AL17&gt;0,FIXED(Fuelbeds_english!AM17*2.54,1,0),AL17)</f>
        <v>3.6</v>
      </c>
      <c r="AN17" s="52" t="str">
        <f>+IF($AM17&gt;0,FIXED(Fuelbeds_english!AN17*2.242,1,0),$AM17)</f>
        <v>0.2</v>
      </c>
      <c r="AO17" s="52" t="str">
        <f>+IF($AM17&gt;0,FIXED(Fuelbeds_english!AO17*2.242,1,0),$AM17)</f>
        <v>0.9</v>
      </c>
      <c r="AP17" s="52" t="str">
        <f>+IF($AM17&gt;0,FIXED(Fuelbeds_english!AP17*2.242,1,0),$AM17)</f>
        <v>1.1</v>
      </c>
      <c r="AQ17" s="52" t="str">
        <f>+IF($AM17&gt;0,FIXED(Fuelbeds_english!AQ17*2.242,1,0),$AM17)</f>
        <v>3.1</v>
      </c>
      <c r="AR17" s="36">
        <v>29027</v>
      </c>
      <c r="AS17" s="45" t="s">
        <v>369</v>
      </c>
      <c r="AT17" s="45">
        <v>100</v>
      </c>
      <c r="AU17" s="44">
        <v>-1</v>
      </c>
      <c r="AV17" s="52">
        <f>+IF(AU17&gt;0,FIXED(Fuelbeds_english!AV17*2.54,1,0),AU17)</f>
        <v>-1</v>
      </c>
      <c r="AW17" s="52">
        <v>-1</v>
      </c>
      <c r="AX17" s="52">
        <v>-1</v>
      </c>
      <c r="AY17" s="52">
        <f>+IF(AX17&gt;0,FIXED(Fuelbeds_english!AY17*2.54,1,0),AX17)</f>
        <v>-1</v>
      </c>
      <c r="AZ17" s="45">
        <v>2</v>
      </c>
      <c r="BA17" s="36">
        <v>39</v>
      </c>
      <c r="BB17" s="52" t="str">
        <f>+IF(BA17&gt;0,FIXED(Fuelbeds_english!BB17*2.54,1,0),BA17)</f>
        <v>2.8</v>
      </c>
      <c r="BC17" s="53">
        <v>-1</v>
      </c>
      <c r="BD17" s="53">
        <v>-1</v>
      </c>
      <c r="BE17" s="53">
        <v>-1</v>
      </c>
      <c r="BF17" s="53">
        <v>-1</v>
      </c>
      <c r="BG17" s="53">
        <v>100</v>
      </c>
      <c r="BH17" s="53">
        <v>-1</v>
      </c>
      <c r="BI17" s="45">
        <v>-1</v>
      </c>
      <c r="BJ17" s="28">
        <v>1</v>
      </c>
      <c r="BK17" s="55">
        <v>39</v>
      </c>
      <c r="BL17" s="52" t="str">
        <f>+IF(BK17&gt;0,FIXED(Fuelbeds_english!BL17*2.54,1,0),BK17)</f>
        <v>1.8</v>
      </c>
      <c r="BM17" s="45">
        <v>3</v>
      </c>
      <c r="BN17" s="55">
        <v>39</v>
      </c>
      <c r="BO17" s="52" t="str">
        <f>+IF(BN17&gt;0,FIXED(Fuelbeds_english!BO17*2.54,1,0),BN17)</f>
        <v>1.8</v>
      </c>
    </row>
    <row r="18" spans="1:67" s="50" customFormat="1" x14ac:dyDescent="0.25">
      <c r="A18" s="50">
        <v>17</v>
      </c>
      <c r="B18" s="51" t="s">
        <v>503</v>
      </c>
      <c r="C18" s="51">
        <v>911030</v>
      </c>
      <c r="D18" s="21" t="s">
        <v>6</v>
      </c>
      <c r="E18" s="39" t="s">
        <v>461</v>
      </c>
      <c r="F18" s="39">
        <v>15</v>
      </c>
      <c r="G18" s="36">
        <v>8</v>
      </c>
      <c r="H18" s="45">
        <f>+IF(F18&gt;0,INT(Fuelbeds_english!H18*2.471),F18)</f>
        <v>9</v>
      </c>
      <c r="I18" s="36">
        <f>+IF(F18&gt;0,INT(Fuelbeds_english!I18*0.3048),F18)</f>
        <v>14</v>
      </c>
      <c r="J18" s="45">
        <f>+IF(F18&gt;0,INT(Fuelbeds_english!J18*0.3048),F18)</f>
        <v>7</v>
      </c>
      <c r="K18" s="45">
        <f>+IF(F18&gt;0,INT(Fuelbeds_english!K18*2.54),F18)</f>
        <v>15</v>
      </c>
      <c r="L18" s="36">
        <v>29027</v>
      </c>
      <c r="M18" s="36" t="s">
        <v>369</v>
      </c>
      <c r="N18" s="36">
        <v>100</v>
      </c>
      <c r="O18" s="36">
        <v>15</v>
      </c>
      <c r="P18" s="45">
        <f>+IF(O18&gt;0,INT(Fuelbeds_english!P18*2.471),O18)</f>
        <v>56</v>
      </c>
      <c r="Q18" s="36">
        <f>+IF(O18&gt;0,INT(Fuelbeds_english!Q18*0.3048),O18)</f>
        <v>7</v>
      </c>
      <c r="R18" s="45">
        <f>+IF(O18&gt;0,INT(Fuelbeds_english!R18*0.3048),O18)</f>
        <v>2</v>
      </c>
      <c r="S18" s="45">
        <f>+IF(O18&gt;0,INT(Fuelbeds_english!S18*2.54),O18)</f>
        <v>7</v>
      </c>
      <c r="T18" s="36">
        <v>29027</v>
      </c>
      <c r="U18" s="36" t="s">
        <v>369</v>
      </c>
      <c r="V18" s="36">
        <v>100</v>
      </c>
      <c r="W18" s="36">
        <v>1</v>
      </c>
      <c r="X18" s="98">
        <v>5</v>
      </c>
      <c r="Y18" s="29">
        <v>64</v>
      </c>
      <c r="Z18" s="88" t="str">
        <f>+IF(Y18&gt;0,FIXED(Fuelbeds_english!Z18*0.3048,1,0),Y18)</f>
        <v>1.6</v>
      </c>
      <c r="AA18" s="46">
        <v>85</v>
      </c>
      <c r="AB18" s="50">
        <v>19092</v>
      </c>
      <c r="AC18" s="50" t="s">
        <v>160</v>
      </c>
      <c r="AD18" s="50">
        <v>100</v>
      </c>
      <c r="AE18" s="42">
        <v>30</v>
      </c>
      <c r="AF18" s="52" t="str">
        <f>+IF(AE18&gt;0,FIXED(Fuelbeds_english!AF18*0.3048,1,0),AE18)</f>
        <v>0.2</v>
      </c>
      <c r="AG18" s="36">
        <v>0</v>
      </c>
      <c r="AH18" s="52" t="str">
        <f>+IF(AE18&gt;0,FIXED(Fuelbeds_english!AH18*2.242,1,0),AE18)</f>
        <v>0.1</v>
      </c>
      <c r="AI18" s="45">
        <v>42236</v>
      </c>
      <c r="AJ18" s="45" t="s">
        <v>207</v>
      </c>
      <c r="AK18" s="45">
        <v>100</v>
      </c>
      <c r="AL18" s="34">
        <v>10</v>
      </c>
      <c r="AM18" s="52" t="str">
        <f>+IF(AL18&gt;0,FIXED(Fuelbeds_english!AM18*2.54,1,0),AL18)</f>
        <v>3.6</v>
      </c>
      <c r="AN18" s="52" t="str">
        <f>+IF($AM18&gt;0,FIXED(Fuelbeds_english!AN18*2.242,1,0),$AM18)</f>
        <v>0.1</v>
      </c>
      <c r="AO18" s="52" t="str">
        <f>+IF($AM18&gt;0,FIXED(Fuelbeds_english!AO18*2.242,1,0),$AM18)</f>
        <v>0.4</v>
      </c>
      <c r="AP18" s="52" t="str">
        <f>+IF($AM18&gt;0,FIXED(Fuelbeds_english!AP18*2.242,1,0),$AM18)</f>
        <v>0.5</v>
      </c>
      <c r="AQ18" s="52" t="str">
        <f>+IF($AM18&gt;0,FIXED(Fuelbeds_english!AQ18*2.242,1,0),$AM18)</f>
        <v>1.6</v>
      </c>
      <c r="AR18" s="36">
        <v>29027</v>
      </c>
      <c r="AS18" s="45" t="s">
        <v>369</v>
      </c>
      <c r="AT18" s="45">
        <v>100</v>
      </c>
      <c r="AU18" s="44">
        <v>-1</v>
      </c>
      <c r="AV18" s="52">
        <f>+IF(AU18&gt;0,FIXED(Fuelbeds_english!AV18*2.54,1,0),AU18)</f>
        <v>-1</v>
      </c>
      <c r="AW18" s="52">
        <v>-1</v>
      </c>
      <c r="AX18" s="52">
        <v>-1</v>
      </c>
      <c r="AY18" s="52">
        <f>+IF(AX18&gt;0,FIXED(Fuelbeds_english!AY18*2.54,1,0),AX18)</f>
        <v>-1</v>
      </c>
      <c r="AZ18" s="45">
        <v>1</v>
      </c>
      <c r="BA18" s="36">
        <v>19</v>
      </c>
      <c r="BB18" s="52" t="str">
        <f>+IF(BA18&gt;0,FIXED(Fuelbeds_english!BB18*2.54,1,0),BA18)</f>
        <v>2.8</v>
      </c>
      <c r="BC18" s="53">
        <v>-1</v>
      </c>
      <c r="BD18" s="53">
        <v>-1</v>
      </c>
      <c r="BE18" s="53">
        <v>-1</v>
      </c>
      <c r="BF18" s="53">
        <v>-1</v>
      </c>
      <c r="BG18" s="53">
        <v>100</v>
      </c>
      <c r="BH18" s="53">
        <v>-1</v>
      </c>
      <c r="BI18" s="45">
        <v>-1</v>
      </c>
      <c r="BJ18" s="28">
        <v>1</v>
      </c>
      <c r="BK18" s="55">
        <v>19</v>
      </c>
      <c r="BL18" s="52" t="str">
        <f>+IF(BK18&gt;0,FIXED(Fuelbeds_english!BL18*2.54,1,0),BK18)</f>
        <v>1.8</v>
      </c>
      <c r="BM18" s="45">
        <v>3</v>
      </c>
      <c r="BN18" s="55">
        <v>19</v>
      </c>
      <c r="BO18" s="52" t="str">
        <f>+IF(BN18&gt;0,FIXED(Fuelbeds_english!BO18*2.54,1,0),BN18)</f>
        <v>1.8</v>
      </c>
    </row>
    <row r="19" spans="1:67" s="50" customFormat="1" x14ac:dyDescent="0.25">
      <c r="A19" s="50">
        <v>18</v>
      </c>
      <c r="B19" s="51" t="s">
        <v>504</v>
      </c>
      <c r="C19" s="51">
        <v>921030</v>
      </c>
      <c r="D19" s="21" t="s">
        <v>6</v>
      </c>
      <c r="E19" s="39" t="s">
        <v>461</v>
      </c>
      <c r="F19" s="39">
        <v>55</v>
      </c>
      <c r="G19" s="41">
        <v>29</v>
      </c>
      <c r="H19" s="45">
        <f>+IF(F19&gt;0,INT(Fuelbeds_english!H19*2.471),F19)</f>
        <v>32</v>
      </c>
      <c r="I19" s="36">
        <f>+IF(F19&gt;0,INT(Fuelbeds_english!I19*0.3048),F19)</f>
        <v>24</v>
      </c>
      <c r="J19" s="45">
        <f>+IF(F19&gt;0,INT(Fuelbeds_english!J19*0.3048),F19)</f>
        <v>13</v>
      </c>
      <c r="K19" s="45">
        <f>+IF(F19&gt;0,INT(Fuelbeds_english!K19*2.54),F19)</f>
        <v>40</v>
      </c>
      <c r="L19" s="36">
        <v>29027</v>
      </c>
      <c r="M19" s="36" t="s">
        <v>369</v>
      </c>
      <c r="N19" s="36">
        <v>100</v>
      </c>
      <c r="O19" s="36">
        <v>55</v>
      </c>
      <c r="P19" s="45">
        <f>+IF(O19&gt;0,INT(Fuelbeds_english!P19*2.471),O19)</f>
        <v>214</v>
      </c>
      <c r="Q19" s="36">
        <f>+IF(O19&gt;0,INT(Fuelbeds_english!Q19*0.3048),O19)</f>
        <v>12</v>
      </c>
      <c r="R19" s="45">
        <f>+IF(O19&gt;0,INT(Fuelbeds_english!R19*0.3048),O19)</f>
        <v>4</v>
      </c>
      <c r="S19" s="45">
        <f>+IF(O19&gt;0,INT(Fuelbeds_english!S19*2.54),O19)</f>
        <v>12</v>
      </c>
      <c r="T19" s="36">
        <v>29027</v>
      </c>
      <c r="U19" s="36" t="s">
        <v>369</v>
      </c>
      <c r="V19" s="36">
        <v>100</v>
      </c>
      <c r="W19" s="36">
        <v>1</v>
      </c>
      <c r="X19" s="98">
        <v>5</v>
      </c>
      <c r="Y19" s="29">
        <v>49</v>
      </c>
      <c r="Z19" s="88" t="str">
        <f>+IF(Y19&gt;0,FIXED(Fuelbeds_english!Z19*0.3048,1,0),Y19)</f>
        <v>1.6</v>
      </c>
      <c r="AA19" s="46">
        <v>85</v>
      </c>
      <c r="AB19" s="50">
        <v>19092</v>
      </c>
      <c r="AC19" s="50" t="s">
        <v>160</v>
      </c>
      <c r="AD19" s="50">
        <v>100</v>
      </c>
      <c r="AE19" s="42">
        <v>30</v>
      </c>
      <c r="AF19" s="52" t="str">
        <f>+IF(AE19&gt;0,FIXED(Fuelbeds_english!AF19*0.3048,1,0),AE19)</f>
        <v>0.2</v>
      </c>
      <c r="AG19" s="36">
        <v>0</v>
      </c>
      <c r="AH19" s="52" t="str">
        <f>+IF(AE19&gt;0,FIXED(Fuelbeds_english!AH19*2.242,1,0),AE19)</f>
        <v>0.1</v>
      </c>
      <c r="AI19" s="45">
        <v>42236</v>
      </c>
      <c r="AJ19" s="45" t="s">
        <v>207</v>
      </c>
      <c r="AK19" s="45">
        <v>100</v>
      </c>
      <c r="AL19" s="34">
        <v>37</v>
      </c>
      <c r="AM19" s="52" t="str">
        <f>+IF(AL19&gt;0,FIXED(Fuelbeds_english!AM19*2.54,1,0),AL19)</f>
        <v>3.6</v>
      </c>
      <c r="AN19" s="52" t="str">
        <f>+IF($AM19&gt;0,FIXED(Fuelbeds_english!AN19*2.242,1,0),$AM19)</f>
        <v>0.4</v>
      </c>
      <c r="AO19" s="52" t="str">
        <f>+IF($AM19&gt;0,FIXED(Fuelbeds_english!AO19*2.242,1,0),$AM19)</f>
        <v>1.6</v>
      </c>
      <c r="AP19" s="52" t="str">
        <f>+IF($AM19&gt;0,FIXED(Fuelbeds_english!AP19*2.242,1,0),$AM19)</f>
        <v>2.0</v>
      </c>
      <c r="AQ19" s="52" t="str">
        <f>+IF($AM19&gt;0,FIXED(Fuelbeds_english!AQ19*2.242,1,0),$AM19)</f>
        <v>5.8</v>
      </c>
      <c r="AR19" s="36">
        <v>29027</v>
      </c>
      <c r="AS19" s="45" t="s">
        <v>369</v>
      </c>
      <c r="AT19" s="45">
        <v>100</v>
      </c>
      <c r="AU19" s="44">
        <v>-1</v>
      </c>
      <c r="AV19" s="52">
        <f>+IF(AU19&gt;0,FIXED(Fuelbeds_english!AV19*2.54,1,0),AU19)</f>
        <v>-1</v>
      </c>
      <c r="AW19" s="52">
        <v>-1</v>
      </c>
      <c r="AX19" s="52">
        <v>-1</v>
      </c>
      <c r="AY19" s="52">
        <f>+IF(AX19&gt;0,FIXED(Fuelbeds_english!AY19*2.54,1,0),AX19)</f>
        <v>-1</v>
      </c>
      <c r="AZ19" s="45">
        <v>1</v>
      </c>
      <c r="BA19" s="36">
        <v>71</v>
      </c>
      <c r="BB19" s="52" t="str">
        <f>+IF(BA19&gt;0,FIXED(Fuelbeds_english!BB19*2.54,1,0),BA19)</f>
        <v>2.8</v>
      </c>
      <c r="BC19" s="45">
        <v>-1</v>
      </c>
      <c r="BD19" s="45">
        <v>-1</v>
      </c>
      <c r="BE19" s="45">
        <v>-1</v>
      </c>
      <c r="BF19" s="45">
        <v>-1</v>
      </c>
      <c r="BG19" s="45">
        <v>100</v>
      </c>
      <c r="BH19" s="45">
        <v>-1</v>
      </c>
      <c r="BI19" s="45">
        <v>-1</v>
      </c>
      <c r="BJ19" s="28">
        <v>1</v>
      </c>
      <c r="BK19" s="36">
        <v>71</v>
      </c>
      <c r="BL19" s="52" t="str">
        <f>+IF(BK19&gt;0,FIXED(Fuelbeds_english!BL19*2.54,1,0),BK19)</f>
        <v>1.8</v>
      </c>
      <c r="BM19" s="45">
        <v>3</v>
      </c>
      <c r="BN19" s="36">
        <v>71</v>
      </c>
      <c r="BO19" s="52" t="str">
        <f>+IF(BN19&gt;0,FIXED(Fuelbeds_english!BO19*2.54,1,0),BN19)</f>
        <v>1.8</v>
      </c>
    </row>
    <row r="20" spans="1:67" s="50" customFormat="1" x14ac:dyDescent="0.25">
      <c r="A20" s="50">
        <v>19</v>
      </c>
      <c r="B20" s="51" t="s">
        <v>505</v>
      </c>
      <c r="C20" s="51">
        <v>931030</v>
      </c>
      <c r="D20" s="37" t="s">
        <v>6</v>
      </c>
      <c r="E20" s="39" t="s">
        <v>461</v>
      </c>
      <c r="F20" s="39">
        <v>77</v>
      </c>
      <c r="G20" s="41">
        <v>40</v>
      </c>
      <c r="H20" s="45">
        <f>+IF(F20&gt;0,INT(Fuelbeds_english!H20*2.471),F20)</f>
        <v>46</v>
      </c>
      <c r="I20" s="36">
        <f>+IF(F20&gt;0,INT(Fuelbeds_english!I20*0.3048),F20)</f>
        <v>31</v>
      </c>
      <c r="J20" s="45">
        <f>+IF(F20&gt;0,INT(Fuelbeds_english!J20*0.3048),F20)</f>
        <v>16</v>
      </c>
      <c r="K20" s="45">
        <f>+IF(F20&gt;0,INT(Fuelbeds_english!K20*2.54),F20)</f>
        <v>66</v>
      </c>
      <c r="L20" s="36">
        <v>29027</v>
      </c>
      <c r="M20" s="36" t="s">
        <v>369</v>
      </c>
      <c r="N20" s="36">
        <v>100</v>
      </c>
      <c r="O20" s="36">
        <v>77</v>
      </c>
      <c r="P20" s="45">
        <f>+IF(O20&gt;0,INT(Fuelbeds_english!P20*2.471),O20)</f>
        <v>301</v>
      </c>
      <c r="Q20" s="36">
        <f>+IF(O20&gt;0,INT(Fuelbeds_english!Q20*0.3048),O20)</f>
        <v>16</v>
      </c>
      <c r="R20" s="45">
        <f>+IF(O20&gt;0,INT(Fuelbeds_english!R20*0.3048),O20)</f>
        <v>5</v>
      </c>
      <c r="S20" s="45">
        <f>+IF(O20&gt;0,INT(Fuelbeds_english!S20*2.54),O20)</f>
        <v>20</v>
      </c>
      <c r="T20" s="36">
        <v>29027</v>
      </c>
      <c r="U20" s="36" t="s">
        <v>369</v>
      </c>
      <c r="V20" s="36">
        <v>100</v>
      </c>
      <c r="W20" s="36">
        <v>1</v>
      </c>
      <c r="X20" s="98">
        <v>5</v>
      </c>
      <c r="Y20" s="29">
        <v>47</v>
      </c>
      <c r="Z20" s="88" t="str">
        <f>+IF(Y20&gt;0,FIXED(Fuelbeds_english!Z20*0.3048,1,0),Y20)</f>
        <v>1.6</v>
      </c>
      <c r="AA20" s="46">
        <v>85</v>
      </c>
      <c r="AB20" s="50">
        <v>19092</v>
      </c>
      <c r="AC20" s="50" t="s">
        <v>160</v>
      </c>
      <c r="AD20" s="50">
        <v>100</v>
      </c>
      <c r="AE20" s="42">
        <v>22.8</v>
      </c>
      <c r="AF20" s="52" t="str">
        <f>+IF(AE20&gt;0,FIXED(Fuelbeds_english!AF20*0.3048,1,0),AE20)</f>
        <v>0.2</v>
      </c>
      <c r="AG20" s="36">
        <v>0</v>
      </c>
      <c r="AH20" s="52" t="str">
        <f>+IF(AE20&gt;0,FIXED(Fuelbeds_english!AH20*2.242,1,0),AE20)</f>
        <v>0.1</v>
      </c>
      <c r="AI20" s="45">
        <v>42236</v>
      </c>
      <c r="AJ20" s="45" t="s">
        <v>207</v>
      </c>
      <c r="AK20" s="45">
        <v>100</v>
      </c>
      <c r="AL20" s="34">
        <v>52</v>
      </c>
      <c r="AM20" s="52" t="str">
        <f>+IF(AL20&gt;0,FIXED(Fuelbeds_english!AM20*2.54,1,0),AL20)</f>
        <v>3.6</v>
      </c>
      <c r="AN20" s="52" t="str">
        <f>+IF($AM20&gt;0,FIXED(Fuelbeds_english!AN20*2.242,1,0),$AM20)</f>
        <v>0.6</v>
      </c>
      <c r="AO20" s="52" t="str">
        <f>+IF($AM20&gt;0,FIXED(Fuelbeds_english!AO20*2.242,1,0),$AM20)</f>
        <v>2.3</v>
      </c>
      <c r="AP20" s="52" t="str">
        <f>+IF($AM20&gt;0,FIXED(Fuelbeds_english!AP20*2.242,1,0),$AM20)</f>
        <v>2.8</v>
      </c>
      <c r="AQ20" s="52" t="str">
        <f>+IF($AM20&gt;0,FIXED(Fuelbeds_english!AQ20*2.242,1,0),$AM20)</f>
        <v>8.2</v>
      </c>
      <c r="AR20" s="36">
        <v>29027</v>
      </c>
      <c r="AS20" s="45" t="s">
        <v>369</v>
      </c>
      <c r="AT20" s="45">
        <v>100</v>
      </c>
      <c r="AU20" s="44">
        <v>-1</v>
      </c>
      <c r="AV20" s="52">
        <f>+IF(AU20&gt;0,FIXED(Fuelbeds_english!AV20*2.54,1,0),AU20)</f>
        <v>-1</v>
      </c>
      <c r="AW20" s="52">
        <v>-1</v>
      </c>
      <c r="AX20" s="52">
        <v>-1</v>
      </c>
      <c r="AY20" s="52">
        <f>+IF(AX20&gt;0,FIXED(Fuelbeds_english!AY20*2.54,1,0),AX20)</f>
        <v>-1</v>
      </c>
      <c r="AZ20" s="45">
        <v>1</v>
      </c>
      <c r="BA20" s="36">
        <v>100</v>
      </c>
      <c r="BB20" s="52" t="str">
        <f>+IF(BA20&gt;0,FIXED(Fuelbeds_english!BB20*2.54,1,0),BA20)</f>
        <v>2.8</v>
      </c>
      <c r="BC20" s="45">
        <v>-1</v>
      </c>
      <c r="BD20" s="45">
        <v>-1</v>
      </c>
      <c r="BE20" s="45">
        <v>-1</v>
      </c>
      <c r="BF20" s="45">
        <v>-1</v>
      </c>
      <c r="BG20" s="45">
        <v>100</v>
      </c>
      <c r="BH20" s="45">
        <v>-1</v>
      </c>
      <c r="BI20" s="45">
        <v>-1</v>
      </c>
      <c r="BJ20" s="28">
        <v>1</v>
      </c>
      <c r="BK20" s="36">
        <v>100</v>
      </c>
      <c r="BL20" s="52" t="str">
        <f>+IF(BK20&gt;0,FIXED(Fuelbeds_english!BL20*2.54,1,0),BK20)</f>
        <v>1.8</v>
      </c>
      <c r="BM20" s="45">
        <v>3</v>
      </c>
      <c r="BN20" s="36">
        <v>100</v>
      </c>
      <c r="BO20" s="52" t="str">
        <f>+IF(BN20&gt;0,FIXED(Fuelbeds_english!BO20*2.54,1,0),BN20)</f>
        <v>1.8</v>
      </c>
    </row>
    <row r="21" spans="1:67" s="50" customFormat="1" x14ac:dyDescent="0.25">
      <c r="A21" s="50">
        <v>20</v>
      </c>
      <c r="B21" s="51" t="s">
        <v>506</v>
      </c>
      <c r="C21" s="51">
        <v>911031</v>
      </c>
      <c r="D21" s="37" t="s">
        <v>6</v>
      </c>
      <c r="E21" s="39" t="s">
        <v>460</v>
      </c>
      <c r="F21" s="39">
        <v>21</v>
      </c>
      <c r="G21" s="41">
        <v>11</v>
      </c>
      <c r="H21" s="45">
        <f>+IF(F21&gt;0,INT(Fuelbeds_english!H21*2.471),F21)</f>
        <v>12</v>
      </c>
      <c r="I21" s="36">
        <f>+IF(F21&gt;0,INT(Fuelbeds_english!I21*0.3048),F21)</f>
        <v>17</v>
      </c>
      <c r="J21" s="45">
        <f>+IF(F21&gt;0,INT(Fuelbeds_english!J21*0.3048),F21)</f>
        <v>9</v>
      </c>
      <c r="K21" s="45">
        <f>+IF(F21&gt;0,INT(Fuelbeds_english!K21*2.54),F21)</f>
        <v>22</v>
      </c>
      <c r="L21" s="36">
        <v>29027</v>
      </c>
      <c r="M21" s="36" t="s">
        <v>369</v>
      </c>
      <c r="N21" s="36">
        <v>100</v>
      </c>
      <c r="O21" s="36">
        <v>21</v>
      </c>
      <c r="P21" s="45">
        <f>+IF(O21&gt;0,INT(Fuelbeds_english!P21*2.471),O21)</f>
        <v>79</v>
      </c>
      <c r="Q21" s="36">
        <f>+IF(O21&gt;0,INT(Fuelbeds_english!Q21*0.3048),O21)</f>
        <v>9</v>
      </c>
      <c r="R21" s="45">
        <f>+IF(O21&gt;0,INT(Fuelbeds_english!R21*0.3048),O21)</f>
        <v>3</v>
      </c>
      <c r="S21" s="45">
        <f>+IF(O21&gt;0,INT(Fuelbeds_english!S21*2.54),O21)</f>
        <v>10</v>
      </c>
      <c r="T21" s="36">
        <v>29027</v>
      </c>
      <c r="U21" s="36" t="s">
        <v>369</v>
      </c>
      <c r="V21" s="36">
        <v>100</v>
      </c>
      <c r="W21" s="36">
        <v>1</v>
      </c>
      <c r="X21" s="98">
        <v>5</v>
      </c>
      <c r="Y21" s="29">
        <v>62</v>
      </c>
      <c r="Z21" s="88" t="str">
        <f>+IF(Y21&gt;0,FIXED(Fuelbeds_english!Z21*0.3048,1,0),Y21)</f>
        <v>1.6</v>
      </c>
      <c r="AA21" s="46">
        <v>85</v>
      </c>
      <c r="AB21" s="50">
        <v>19092</v>
      </c>
      <c r="AC21" s="50" t="s">
        <v>160</v>
      </c>
      <c r="AD21" s="50">
        <v>100</v>
      </c>
      <c r="AE21" s="42">
        <v>30</v>
      </c>
      <c r="AF21" s="52" t="str">
        <f>+IF(AE21&gt;0,FIXED(Fuelbeds_english!AF21*0.3048,1,0),AE21)</f>
        <v>0.2</v>
      </c>
      <c r="AG21" s="36">
        <v>0</v>
      </c>
      <c r="AH21" s="52" t="str">
        <f>+IF(AE21&gt;0,FIXED(Fuelbeds_english!AH21*2.242,1,0),AE21)</f>
        <v>0.9</v>
      </c>
      <c r="AI21" s="45">
        <v>41976</v>
      </c>
      <c r="AJ21" s="45" t="s">
        <v>209</v>
      </c>
      <c r="AK21" s="45">
        <v>100</v>
      </c>
      <c r="AL21" s="34">
        <v>14</v>
      </c>
      <c r="AM21" s="52" t="str">
        <f>+IF(AL21&gt;0,FIXED(Fuelbeds_english!AM21*2.54,1,0),AL21)</f>
        <v>3.6</v>
      </c>
      <c r="AN21" s="52" t="str">
        <f>+IF($AM21&gt;0,FIXED(Fuelbeds_english!AN21*2.242,1,0),$AM21)</f>
        <v>0.2</v>
      </c>
      <c r="AO21" s="52" t="str">
        <f>+IF($AM21&gt;0,FIXED(Fuelbeds_english!AO21*2.242,1,0),$AM21)</f>
        <v>0.6</v>
      </c>
      <c r="AP21" s="52" t="str">
        <f>+IF($AM21&gt;0,FIXED(Fuelbeds_english!AP21*2.242,1,0),$AM21)</f>
        <v>0.7</v>
      </c>
      <c r="AQ21" s="52" t="str">
        <f>+IF($AM21&gt;0,FIXED(Fuelbeds_english!AQ21*2.242,1,0),$AM21)</f>
        <v>2.2</v>
      </c>
      <c r="AR21" s="36">
        <v>29027</v>
      </c>
      <c r="AS21" s="45" t="s">
        <v>369</v>
      </c>
      <c r="AT21" s="45">
        <v>100</v>
      </c>
      <c r="AU21" s="44">
        <v>-1</v>
      </c>
      <c r="AV21" s="52">
        <f>+IF(AU21&gt;0,FIXED(Fuelbeds_english!AV21*2.54,1,0),AU21)</f>
        <v>-1</v>
      </c>
      <c r="AW21" s="52">
        <v>-1</v>
      </c>
      <c r="AX21" s="52">
        <v>-1</v>
      </c>
      <c r="AY21" s="52">
        <f>+IF(AX21&gt;0,FIXED(Fuelbeds_english!AY21*2.54,1,0),AX21)</f>
        <v>-1</v>
      </c>
      <c r="AZ21" s="45">
        <v>1</v>
      </c>
      <c r="BA21" s="36">
        <v>27</v>
      </c>
      <c r="BB21" s="52" t="str">
        <f>+IF(BA21&gt;0,FIXED(Fuelbeds_english!BB21*2.54,1,0),BA21)</f>
        <v>2.8</v>
      </c>
      <c r="BC21" s="45">
        <v>-1</v>
      </c>
      <c r="BD21" s="45">
        <v>-1</v>
      </c>
      <c r="BE21" s="45">
        <v>-1</v>
      </c>
      <c r="BF21" s="45">
        <v>-1</v>
      </c>
      <c r="BG21" s="45">
        <v>100</v>
      </c>
      <c r="BH21" s="45">
        <v>-1</v>
      </c>
      <c r="BI21" s="45">
        <v>-1</v>
      </c>
      <c r="BJ21" s="28">
        <v>1</v>
      </c>
      <c r="BK21" s="36">
        <v>27</v>
      </c>
      <c r="BL21" s="52" t="str">
        <f>+IF(BK21&gt;0,FIXED(Fuelbeds_english!BL21*2.54,1,0),BK21)</f>
        <v>1.8</v>
      </c>
      <c r="BM21" s="45">
        <v>3</v>
      </c>
      <c r="BN21" s="36">
        <v>27</v>
      </c>
      <c r="BO21" s="52" t="str">
        <f>+IF(BN21&gt;0,FIXED(Fuelbeds_english!BO21*2.54,1,0),BN21)</f>
        <v>1.8</v>
      </c>
    </row>
    <row r="22" spans="1:67" s="50" customFormat="1" x14ac:dyDescent="0.25">
      <c r="A22" s="50">
        <v>21</v>
      </c>
      <c r="B22" s="51" t="s">
        <v>507</v>
      </c>
      <c r="C22" s="51">
        <v>921031</v>
      </c>
      <c r="D22" s="37" t="s">
        <v>6</v>
      </c>
      <c r="E22" s="39" t="s">
        <v>460</v>
      </c>
      <c r="F22" s="39">
        <v>53</v>
      </c>
      <c r="G22" s="41">
        <v>28</v>
      </c>
      <c r="H22" s="45">
        <f>+IF(F22&gt;0,INT(Fuelbeds_english!H22*2.471),F22)</f>
        <v>32</v>
      </c>
      <c r="I22" s="36">
        <f>+IF(F22&gt;0,INT(Fuelbeds_english!I22*0.3048),F22)</f>
        <v>23</v>
      </c>
      <c r="J22" s="45">
        <f>+IF(F22&gt;0,INT(Fuelbeds_english!J22*0.3048),F22)</f>
        <v>12</v>
      </c>
      <c r="K22" s="45">
        <f>+IF(F22&gt;0,INT(Fuelbeds_english!K22*2.54),F22)</f>
        <v>38</v>
      </c>
      <c r="L22" s="36">
        <v>29027</v>
      </c>
      <c r="M22" s="36" t="s">
        <v>369</v>
      </c>
      <c r="N22" s="36">
        <v>100</v>
      </c>
      <c r="O22" s="36">
        <v>53</v>
      </c>
      <c r="P22" s="45">
        <f>+IF(O22&gt;0,INT(Fuelbeds_english!P22*2.471),O22)</f>
        <v>207</v>
      </c>
      <c r="Q22" s="36">
        <f>+IF(O22&gt;0,INT(Fuelbeds_english!Q22*0.3048),O22)</f>
        <v>12</v>
      </c>
      <c r="R22" s="45">
        <f>+IF(O22&gt;0,INT(Fuelbeds_english!R22*0.3048),O22)</f>
        <v>3</v>
      </c>
      <c r="S22" s="45">
        <f>+IF(O22&gt;0,INT(Fuelbeds_english!S22*2.54),O22)</f>
        <v>10</v>
      </c>
      <c r="T22" s="36">
        <v>29027</v>
      </c>
      <c r="U22" s="36" t="s">
        <v>369</v>
      </c>
      <c r="V22" s="36">
        <v>100</v>
      </c>
      <c r="W22" s="36">
        <v>1</v>
      </c>
      <c r="X22" s="98">
        <v>5</v>
      </c>
      <c r="Y22" s="29">
        <v>49</v>
      </c>
      <c r="Z22" s="88" t="str">
        <f>+IF(Y22&gt;0,FIXED(Fuelbeds_english!Z22*0.3048,1,0),Y22)</f>
        <v>1.6</v>
      </c>
      <c r="AA22" s="46">
        <v>85</v>
      </c>
      <c r="AB22" s="50">
        <v>19092</v>
      </c>
      <c r="AC22" s="50" t="s">
        <v>160</v>
      </c>
      <c r="AD22" s="50">
        <v>100</v>
      </c>
      <c r="AE22" s="42">
        <v>30</v>
      </c>
      <c r="AF22" s="52" t="str">
        <f>+IF(AE22&gt;0,FIXED(Fuelbeds_english!AF22*0.3048,1,0),AE22)</f>
        <v>0.2</v>
      </c>
      <c r="AG22" s="36">
        <v>0</v>
      </c>
      <c r="AH22" s="52" t="str">
        <f>+IF(AE22&gt;0,FIXED(Fuelbeds_english!AH22*2.242,1,0),AE22)</f>
        <v>0.9</v>
      </c>
      <c r="AI22" s="45">
        <v>41976</v>
      </c>
      <c r="AJ22" s="45" t="s">
        <v>209</v>
      </c>
      <c r="AK22" s="45">
        <v>100</v>
      </c>
      <c r="AL22" s="34">
        <v>36</v>
      </c>
      <c r="AM22" s="52" t="str">
        <f>+IF(AL22&gt;0,FIXED(Fuelbeds_english!AM22*2.54,1,0),AL22)</f>
        <v>3.6</v>
      </c>
      <c r="AN22" s="52" t="str">
        <f>+IF($AM22&gt;0,FIXED(Fuelbeds_english!AN22*2.242,1,0),$AM22)</f>
        <v>0.4</v>
      </c>
      <c r="AO22" s="52" t="str">
        <f>+IF($AM22&gt;0,FIXED(Fuelbeds_english!AO22*2.242,1,0),$AM22)</f>
        <v>1.6</v>
      </c>
      <c r="AP22" s="52" t="str">
        <f>+IF($AM22&gt;0,FIXED(Fuelbeds_english!AP22*2.242,1,0),$AM22)</f>
        <v>1.9</v>
      </c>
      <c r="AQ22" s="52" t="str">
        <f>+IF($AM22&gt;0,FIXED(Fuelbeds_english!AQ22*2.242,1,0),$AM22)</f>
        <v>5.6</v>
      </c>
      <c r="AR22" s="36">
        <v>29027</v>
      </c>
      <c r="AS22" s="45" t="s">
        <v>369</v>
      </c>
      <c r="AT22" s="45">
        <v>100</v>
      </c>
      <c r="AU22" s="44">
        <v>-1</v>
      </c>
      <c r="AV22" s="52">
        <f>+IF(AU22&gt;0,FIXED(Fuelbeds_english!AV22*2.54,1,0),AU22)</f>
        <v>-1</v>
      </c>
      <c r="AW22" s="52">
        <v>-1</v>
      </c>
      <c r="AX22" s="52">
        <v>-1</v>
      </c>
      <c r="AY22" s="52">
        <f>+IF(AX22&gt;0,FIXED(Fuelbeds_english!AY22*2.54,1,0),AX22)</f>
        <v>-1</v>
      </c>
      <c r="AZ22" s="45">
        <v>1</v>
      </c>
      <c r="BA22" s="36">
        <v>69</v>
      </c>
      <c r="BB22" s="52" t="str">
        <f>+IF(BA22&gt;0,FIXED(Fuelbeds_english!BB22*2.54,1,0),BA22)</f>
        <v>2.8</v>
      </c>
      <c r="BC22" s="45">
        <v>-1</v>
      </c>
      <c r="BD22" s="45">
        <v>-1</v>
      </c>
      <c r="BE22" s="45">
        <v>-1</v>
      </c>
      <c r="BF22" s="45">
        <v>-1</v>
      </c>
      <c r="BG22" s="45">
        <v>100</v>
      </c>
      <c r="BH22" s="45">
        <v>-1</v>
      </c>
      <c r="BI22" s="45">
        <v>-1</v>
      </c>
      <c r="BJ22" s="28">
        <v>1</v>
      </c>
      <c r="BK22" s="36">
        <v>69</v>
      </c>
      <c r="BL22" s="52" t="str">
        <f>+IF(BK22&gt;0,FIXED(Fuelbeds_english!BL22*2.54,1,0),BK22)</f>
        <v>1.8</v>
      </c>
      <c r="BM22" s="45">
        <v>3</v>
      </c>
      <c r="BN22" s="36">
        <v>69</v>
      </c>
      <c r="BO22" s="52" t="str">
        <f>+IF(BN22&gt;0,FIXED(Fuelbeds_english!BO22*2.54,1,0),BN22)</f>
        <v>1.8</v>
      </c>
    </row>
    <row r="23" spans="1:67" s="50" customFormat="1" x14ac:dyDescent="0.25">
      <c r="A23" s="50">
        <v>22</v>
      </c>
      <c r="B23" s="51" t="s">
        <v>508</v>
      </c>
      <c r="C23" s="51">
        <v>931031</v>
      </c>
      <c r="D23" s="37" t="s">
        <v>6</v>
      </c>
      <c r="E23" s="39" t="s">
        <v>460</v>
      </c>
      <c r="F23" s="39">
        <v>77</v>
      </c>
      <c r="G23" s="41">
        <v>40</v>
      </c>
      <c r="H23" s="45">
        <f>+IF(F23&gt;0,INT(Fuelbeds_english!H23*2.471),F23)</f>
        <v>46</v>
      </c>
      <c r="I23" s="36">
        <f>+IF(F23&gt;0,INT(Fuelbeds_english!I23*0.3048),F23)</f>
        <v>29</v>
      </c>
      <c r="J23" s="45">
        <f>+IF(F23&gt;0,INT(Fuelbeds_english!J23*0.3048),F23)</f>
        <v>15</v>
      </c>
      <c r="K23" s="45">
        <f>+IF(F23&gt;0,INT(Fuelbeds_english!K23*2.54),F23)</f>
        <v>58</v>
      </c>
      <c r="L23" s="36">
        <v>29027</v>
      </c>
      <c r="M23" s="36" t="s">
        <v>369</v>
      </c>
      <c r="N23" s="36">
        <v>100</v>
      </c>
      <c r="O23" s="36">
        <v>77</v>
      </c>
      <c r="P23" s="45">
        <f>+IF(O23&gt;0,INT(Fuelbeds_english!P23*2.471),O23)</f>
        <v>298</v>
      </c>
      <c r="Q23" s="36">
        <f>+IF(O23&gt;0,INT(Fuelbeds_english!Q23*0.3048),O23)</f>
        <v>15</v>
      </c>
      <c r="R23" s="45">
        <f>+IF(O23&gt;0,INT(Fuelbeds_english!R23*0.3048),O23)</f>
        <v>4</v>
      </c>
      <c r="S23" s="45">
        <f>+IF(O23&gt;0,INT(Fuelbeds_english!S23*2.54),O23)</f>
        <v>17</v>
      </c>
      <c r="T23" s="36">
        <v>29027</v>
      </c>
      <c r="U23" s="36" t="s">
        <v>369</v>
      </c>
      <c r="V23" s="36">
        <v>100</v>
      </c>
      <c r="W23" s="36">
        <v>1</v>
      </c>
      <c r="X23" s="98">
        <v>5</v>
      </c>
      <c r="Y23" s="29">
        <v>47</v>
      </c>
      <c r="Z23" s="88" t="str">
        <f>+IF(Y23&gt;0,FIXED(Fuelbeds_english!Z23*0.3048,1,0),Y23)</f>
        <v>1.6</v>
      </c>
      <c r="AA23" s="46">
        <v>85</v>
      </c>
      <c r="AB23" s="50">
        <v>19092</v>
      </c>
      <c r="AC23" s="50" t="s">
        <v>160</v>
      </c>
      <c r="AD23" s="50">
        <v>100</v>
      </c>
      <c r="AE23" s="42">
        <v>23.3</v>
      </c>
      <c r="AF23" s="52" t="str">
        <f>+IF(AE23&gt;0,FIXED(Fuelbeds_english!AF23*0.3048,1,0),AE23)</f>
        <v>0.2</v>
      </c>
      <c r="AG23" s="36">
        <v>0</v>
      </c>
      <c r="AH23" s="52" t="str">
        <f>+IF(AE23&gt;0,FIXED(Fuelbeds_english!AH23*2.242,1,0),AE23)</f>
        <v>0.7</v>
      </c>
      <c r="AI23" s="45">
        <v>41976</v>
      </c>
      <c r="AJ23" s="45" t="s">
        <v>209</v>
      </c>
      <c r="AK23" s="45">
        <v>100</v>
      </c>
      <c r="AL23" s="34">
        <v>52</v>
      </c>
      <c r="AM23" s="52" t="str">
        <f>+IF(AL23&gt;0,FIXED(Fuelbeds_english!AM23*2.54,1,0),AL23)</f>
        <v>3.6</v>
      </c>
      <c r="AN23" s="52" t="str">
        <f>+IF($AM23&gt;0,FIXED(Fuelbeds_english!AN23*2.242,1,0),$AM23)</f>
        <v>0.6</v>
      </c>
      <c r="AO23" s="52" t="str">
        <f>+IF($AM23&gt;0,FIXED(Fuelbeds_english!AO23*2.242,1,0),$AM23)</f>
        <v>2.2</v>
      </c>
      <c r="AP23" s="52" t="str">
        <f>+IF($AM23&gt;0,FIXED(Fuelbeds_english!AP23*2.242,1,0),$AM23)</f>
        <v>2.8</v>
      </c>
      <c r="AQ23" s="52" t="str">
        <f>+IF($AM23&gt;0,FIXED(Fuelbeds_english!AQ23*2.242,1,0),$AM23)</f>
        <v>8.1</v>
      </c>
      <c r="AR23" s="36">
        <v>29027</v>
      </c>
      <c r="AS23" s="45" t="s">
        <v>369</v>
      </c>
      <c r="AT23" s="45">
        <v>100</v>
      </c>
      <c r="AU23" s="44">
        <v>-1</v>
      </c>
      <c r="AV23" s="52">
        <f>+IF(AU23&gt;0,FIXED(Fuelbeds_english!AV23*2.54,1,0),AU23)</f>
        <v>-1</v>
      </c>
      <c r="AW23" s="52">
        <v>-1</v>
      </c>
      <c r="AX23" s="52">
        <v>-1</v>
      </c>
      <c r="AY23" s="52">
        <f>+IF(AX23&gt;0,FIXED(Fuelbeds_english!AY23*2.54,1,0),AX23)</f>
        <v>-1</v>
      </c>
      <c r="AZ23" s="45">
        <v>1</v>
      </c>
      <c r="BA23" s="36">
        <v>100</v>
      </c>
      <c r="BB23" s="52" t="str">
        <f>+IF(BA23&gt;0,FIXED(Fuelbeds_english!BB23*2.54,1,0),BA23)</f>
        <v>2.8</v>
      </c>
      <c r="BC23" s="45">
        <v>-1</v>
      </c>
      <c r="BD23" s="45">
        <v>-1</v>
      </c>
      <c r="BE23" s="45">
        <v>-1</v>
      </c>
      <c r="BF23" s="45">
        <v>-1</v>
      </c>
      <c r="BG23" s="45">
        <v>100</v>
      </c>
      <c r="BH23" s="45">
        <v>-1</v>
      </c>
      <c r="BI23" s="45">
        <v>-1</v>
      </c>
      <c r="BJ23" s="28">
        <v>1</v>
      </c>
      <c r="BK23" s="36">
        <v>100</v>
      </c>
      <c r="BL23" s="52" t="str">
        <f>+IF(BK23&gt;0,FIXED(Fuelbeds_english!BL23*2.54,1,0),BK23)</f>
        <v>1.8</v>
      </c>
      <c r="BM23" s="45">
        <v>3</v>
      </c>
      <c r="BN23" s="36">
        <v>100</v>
      </c>
      <c r="BO23" s="52" t="str">
        <f>+IF(BN23&gt;0,FIXED(Fuelbeds_english!BO23*2.54,1,0),BN23)</f>
        <v>1.8</v>
      </c>
    </row>
    <row r="24" spans="1:67" s="50" customFormat="1" x14ac:dyDescent="0.25">
      <c r="A24" s="50">
        <v>23</v>
      </c>
      <c r="B24" s="51" t="s">
        <v>509</v>
      </c>
      <c r="C24" s="51">
        <v>911032</v>
      </c>
      <c r="D24" s="37" t="s">
        <v>6</v>
      </c>
      <c r="E24" s="39" t="s">
        <v>462</v>
      </c>
      <c r="F24" s="39">
        <v>16</v>
      </c>
      <c r="G24" s="41">
        <v>9</v>
      </c>
      <c r="H24" s="45">
        <f>+IF(F24&gt;0,INT(Fuelbeds_english!H24*2.471),F24)</f>
        <v>9</v>
      </c>
      <c r="I24" s="36">
        <f>+IF(F24&gt;0,INT(Fuelbeds_english!I24*0.3048),F24)</f>
        <v>16</v>
      </c>
      <c r="J24" s="45">
        <f>+IF(F24&gt;0,INT(Fuelbeds_english!J24*0.3048),F24)</f>
        <v>8</v>
      </c>
      <c r="K24" s="45">
        <f>+IF(F24&gt;0,INT(Fuelbeds_english!K24*2.54),F24)</f>
        <v>20</v>
      </c>
      <c r="L24" s="36">
        <v>29027</v>
      </c>
      <c r="M24" s="36" t="s">
        <v>369</v>
      </c>
      <c r="N24" s="36">
        <v>100</v>
      </c>
      <c r="O24" s="36">
        <v>16</v>
      </c>
      <c r="P24" s="45">
        <f>+IF(O24&gt;0,INT(Fuelbeds_english!P24*2.471),O24)</f>
        <v>64</v>
      </c>
      <c r="Q24" s="36">
        <f>+IF(O24&gt;0,INT(Fuelbeds_english!Q24*0.3048),O24)</f>
        <v>8</v>
      </c>
      <c r="R24" s="45">
        <f>+IF(O24&gt;0,INT(Fuelbeds_english!R24*0.3048),O24)</f>
        <v>2</v>
      </c>
      <c r="S24" s="45">
        <f>+IF(O24&gt;0,INT(Fuelbeds_english!S24*2.54),O24)</f>
        <v>10</v>
      </c>
      <c r="T24" s="36">
        <v>29027</v>
      </c>
      <c r="U24" s="36" t="s">
        <v>369</v>
      </c>
      <c r="V24" s="36">
        <v>100</v>
      </c>
      <c r="W24" s="36">
        <v>1</v>
      </c>
      <c r="X24" s="98">
        <v>5</v>
      </c>
      <c r="Y24" s="29">
        <v>64</v>
      </c>
      <c r="Z24" s="88" t="str">
        <f>+IF(Y24&gt;0,FIXED(Fuelbeds_english!Z24*0.3048,1,0),Y24)</f>
        <v>1.6</v>
      </c>
      <c r="AA24" s="46">
        <v>85</v>
      </c>
      <c r="AB24" s="50">
        <v>19092</v>
      </c>
      <c r="AC24" s="50" t="s">
        <v>160</v>
      </c>
      <c r="AD24" s="50">
        <v>100</v>
      </c>
      <c r="AE24" s="42">
        <v>30</v>
      </c>
      <c r="AF24" s="52" t="str">
        <f>+IF(AE24&gt;0,FIXED(Fuelbeds_english!AF24*0.3048,1,0),AE24)</f>
        <v>0.2</v>
      </c>
      <c r="AG24" s="36">
        <v>0</v>
      </c>
      <c r="AH24" s="52" t="str">
        <f>+IF(AE24&gt;0,FIXED(Fuelbeds_english!AH24*2.242,1,0),AE24)</f>
        <v>0.3</v>
      </c>
      <c r="AI24" s="45">
        <v>42269</v>
      </c>
      <c r="AJ24" s="45" t="s">
        <v>206</v>
      </c>
      <c r="AK24" s="45">
        <v>100</v>
      </c>
      <c r="AL24" s="34">
        <v>11</v>
      </c>
      <c r="AM24" s="52" t="str">
        <f>+IF(AL24&gt;0,FIXED(Fuelbeds_english!AM24*2.54,1,0),AL24)</f>
        <v>3.6</v>
      </c>
      <c r="AN24" s="52" t="str">
        <f>+IF($AM24&gt;0,FIXED(Fuelbeds_english!AN24*2.242,1,0),$AM24)</f>
        <v>0.1</v>
      </c>
      <c r="AO24" s="52" t="str">
        <f>+IF($AM24&gt;0,FIXED(Fuelbeds_english!AO24*2.242,1,0),$AM24)</f>
        <v>0.5</v>
      </c>
      <c r="AP24" s="52" t="str">
        <f>+IF($AM24&gt;0,FIXED(Fuelbeds_english!AP24*2.242,1,0),$AM24)</f>
        <v>0.6</v>
      </c>
      <c r="AQ24" s="52" t="str">
        <f>+IF($AM24&gt;0,FIXED(Fuelbeds_english!AQ24*2.242,1,0),$AM24)</f>
        <v>1.7</v>
      </c>
      <c r="AR24" s="36">
        <v>29027</v>
      </c>
      <c r="AS24" s="45" t="s">
        <v>369</v>
      </c>
      <c r="AT24" s="45">
        <v>100</v>
      </c>
      <c r="AU24" s="44">
        <v>-1</v>
      </c>
      <c r="AV24" s="52">
        <f>+IF(AU24&gt;0,FIXED(Fuelbeds_english!AV24*2.54,1,0),AU24)</f>
        <v>-1</v>
      </c>
      <c r="AW24" s="52">
        <v>-1</v>
      </c>
      <c r="AX24" s="52">
        <v>-1</v>
      </c>
      <c r="AY24" s="52">
        <f>+IF(AX24&gt;0,FIXED(Fuelbeds_english!AY24*2.54,1,0),AX24)</f>
        <v>-1</v>
      </c>
      <c r="AZ24" s="45">
        <v>1</v>
      </c>
      <c r="BA24" s="36">
        <v>21</v>
      </c>
      <c r="BB24" s="52" t="str">
        <f>+IF(BA24&gt;0,FIXED(Fuelbeds_english!BB24*2.54,1,0),BA24)</f>
        <v>2.8</v>
      </c>
      <c r="BC24" s="45">
        <v>-1</v>
      </c>
      <c r="BD24" s="45">
        <v>-1</v>
      </c>
      <c r="BE24" s="45">
        <v>-1</v>
      </c>
      <c r="BF24" s="45">
        <v>-1</v>
      </c>
      <c r="BG24" s="45">
        <v>100</v>
      </c>
      <c r="BH24" s="45">
        <v>-1</v>
      </c>
      <c r="BI24" s="45">
        <v>-1</v>
      </c>
      <c r="BJ24" s="28">
        <v>1</v>
      </c>
      <c r="BK24" s="36">
        <v>21</v>
      </c>
      <c r="BL24" s="52" t="str">
        <f>+IF(BK24&gt;0,FIXED(Fuelbeds_english!BL24*2.54,1,0),BK24)</f>
        <v>1.8</v>
      </c>
      <c r="BM24" s="45">
        <v>3</v>
      </c>
      <c r="BN24" s="36">
        <v>21</v>
      </c>
      <c r="BO24" s="52" t="str">
        <f>+IF(BN24&gt;0,FIXED(Fuelbeds_english!BO24*2.54,1,0),BN24)</f>
        <v>1.8</v>
      </c>
    </row>
    <row r="25" spans="1:67" s="50" customFormat="1" x14ac:dyDescent="0.25">
      <c r="A25" s="50">
        <v>24</v>
      </c>
      <c r="B25" s="51" t="s">
        <v>510</v>
      </c>
      <c r="C25" s="51">
        <v>921032</v>
      </c>
      <c r="D25" s="37" t="s">
        <v>6</v>
      </c>
      <c r="E25" s="39" t="s">
        <v>462</v>
      </c>
      <c r="F25" s="39">
        <v>53</v>
      </c>
      <c r="G25" s="41">
        <v>28</v>
      </c>
      <c r="H25" s="45">
        <f>+IF(F25&gt;0,INT(Fuelbeds_english!H25*2.471),F25)</f>
        <v>32</v>
      </c>
      <c r="I25" s="36">
        <f>+IF(F25&gt;0,INT(Fuelbeds_english!I25*0.3048),F25)</f>
        <v>22</v>
      </c>
      <c r="J25" s="45">
        <f>+IF(F25&gt;0,INT(Fuelbeds_english!J25*0.3048),F25)</f>
        <v>11</v>
      </c>
      <c r="K25" s="45">
        <f>+IF(F25&gt;0,INT(Fuelbeds_english!K25*2.54),F25)</f>
        <v>33</v>
      </c>
      <c r="L25" s="36">
        <v>29027</v>
      </c>
      <c r="M25" s="36" t="s">
        <v>369</v>
      </c>
      <c r="N25" s="36">
        <v>100</v>
      </c>
      <c r="O25" s="36">
        <v>53</v>
      </c>
      <c r="P25" s="45">
        <f>+IF(O25&gt;0,INT(Fuelbeds_english!P25*2.471),O25)</f>
        <v>207</v>
      </c>
      <c r="Q25" s="36">
        <f>+IF(O25&gt;0,INT(Fuelbeds_english!Q25*0.3048),O25)</f>
        <v>11</v>
      </c>
      <c r="R25" s="45">
        <f>+IF(O25&gt;0,INT(Fuelbeds_english!R25*0.3048),O25)</f>
        <v>3</v>
      </c>
      <c r="S25" s="45">
        <f>+IF(O25&gt;0,INT(Fuelbeds_english!S25*2.54),O25)</f>
        <v>10</v>
      </c>
      <c r="T25" s="36">
        <v>29027</v>
      </c>
      <c r="U25" s="36" t="s">
        <v>369</v>
      </c>
      <c r="V25" s="36">
        <v>100</v>
      </c>
      <c r="W25" s="36">
        <v>1</v>
      </c>
      <c r="X25" s="98">
        <v>5</v>
      </c>
      <c r="Y25" s="29">
        <v>49</v>
      </c>
      <c r="Z25" s="88" t="str">
        <f>+IF(Y25&gt;0,FIXED(Fuelbeds_english!Z25*0.3048,1,0),Y25)</f>
        <v>1.6</v>
      </c>
      <c r="AA25" s="46">
        <v>85</v>
      </c>
      <c r="AB25" s="50">
        <v>19092</v>
      </c>
      <c r="AC25" s="50" t="s">
        <v>160</v>
      </c>
      <c r="AD25" s="50">
        <v>100</v>
      </c>
      <c r="AE25" s="42">
        <v>30</v>
      </c>
      <c r="AF25" s="52" t="str">
        <f>+IF(AE25&gt;0,FIXED(Fuelbeds_english!AF25*0.3048,1,0),AE25)</f>
        <v>0.2</v>
      </c>
      <c r="AG25" s="36">
        <v>0</v>
      </c>
      <c r="AH25" s="52" t="str">
        <f>+IF(AE25&gt;0,FIXED(Fuelbeds_english!AH25*2.242,1,0),AE25)</f>
        <v>0.3</v>
      </c>
      <c r="AI25" s="45">
        <v>42269</v>
      </c>
      <c r="AJ25" s="45" t="s">
        <v>206</v>
      </c>
      <c r="AK25" s="45">
        <v>100</v>
      </c>
      <c r="AL25" s="34">
        <v>36</v>
      </c>
      <c r="AM25" s="52" t="str">
        <f>+IF(AL25&gt;0,FIXED(Fuelbeds_english!AM25*2.54,1,0),AL25)</f>
        <v>3.6</v>
      </c>
      <c r="AN25" s="52" t="str">
        <f>+IF($AM25&gt;0,FIXED(Fuelbeds_english!AN25*2.242,1,0),$AM25)</f>
        <v>0.4</v>
      </c>
      <c r="AO25" s="52" t="str">
        <f>+IF($AM25&gt;0,FIXED(Fuelbeds_english!AO25*2.242,1,0),$AM25)</f>
        <v>1.6</v>
      </c>
      <c r="AP25" s="52" t="str">
        <f>+IF($AM25&gt;0,FIXED(Fuelbeds_english!AP25*2.242,1,0),$AM25)</f>
        <v>1.9</v>
      </c>
      <c r="AQ25" s="52" t="str">
        <f>+IF($AM25&gt;0,FIXED(Fuelbeds_english!AQ25*2.242,1,0),$AM25)</f>
        <v>5.6</v>
      </c>
      <c r="AR25" s="36">
        <v>29027</v>
      </c>
      <c r="AS25" s="45" t="s">
        <v>369</v>
      </c>
      <c r="AT25" s="45">
        <v>100</v>
      </c>
      <c r="AU25" s="44">
        <v>-1</v>
      </c>
      <c r="AV25" s="52">
        <f>+IF(AU25&gt;0,FIXED(Fuelbeds_english!AV25*2.54,1,0),AU25)</f>
        <v>-1</v>
      </c>
      <c r="AW25" s="52">
        <v>-1</v>
      </c>
      <c r="AX25" s="52">
        <v>-1</v>
      </c>
      <c r="AY25" s="52">
        <f>+IF(AX25&gt;0,FIXED(Fuelbeds_english!AY25*2.54,1,0),AX25)</f>
        <v>-1</v>
      </c>
      <c r="AZ25" s="45">
        <v>1</v>
      </c>
      <c r="BA25" s="36">
        <v>69</v>
      </c>
      <c r="BB25" s="52" t="str">
        <f>+IF(BA25&gt;0,FIXED(Fuelbeds_english!BB25*2.54,1,0),BA25)</f>
        <v>2.8</v>
      </c>
      <c r="BC25" s="45">
        <v>-1</v>
      </c>
      <c r="BD25" s="45">
        <v>-1</v>
      </c>
      <c r="BE25" s="45">
        <v>-1</v>
      </c>
      <c r="BF25" s="45">
        <v>-1</v>
      </c>
      <c r="BG25" s="45">
        <v>100</v>
      </c>
      <c r="BH25" s="45">
        <v>-1</v>
      </c>
      <c r="BI25" s="45">
        <v>-1</v>
      </c>
      <c r="BJ25" s="28">
        <v>1</v>
      </c>
      <c r="BK25" s="36">
        <v>69</v>
      </c>
      <c r="BL25" s="52" t="str">
        <f>+IF(BK25&gt;0,FIXED(Fuelbeds_english!BL25*2.54,1,0),BK25)</f>
        <v>1.8</v>
      </c>
      <c r="BM25" s="45">
        <v>3</v>
      </c>
      <c r="BN25" s="36">
        <v>69</v>
      </c>
      <c r="BO25" s="52" t="str">
        <f>+IF(BN25&gt;0,FIXED(Fuelbeds_english!BO25*2.54,1,0),BN25)</f>
        <v>1.8</v>
      </c>
    </row>
    <row r="26" spans="1:67" s="50" customFormat="1" x14ac:dyDescent="0.25">
      <c r="A26" s="50">
        <v>25</v>
      </c>
      <c r="B26" s="51" t="s">
        <v>511</v>
      </c>
      <c r="C26" s="51">
        <v>931032</v>
      </c>
      <c r="D26" s="37" t="s">
        <v>6</v>
      </c>
      <c r="E26" s="39" t="s">
        <v>462</v>
      </c>
      <c r="F26" s="39">
        <v>76</v>
      </c>
      <c r="G26" s="41">
        <v>40</v>
      </c>
      <c r="H26" s="45">
        <f>+IF(F26&gt;0,INT(Fuelbeds_english!H26*2.471),F26)</f>
        <v>46</v>
      </c>
      <c r="I26" s="36">
        <f>+IF(F26&gt;0,INT(Fuelbeds_english!I26*0.3048),F26)</f>
        <v>29</v>
      </c>
      <c r="J26" s="45">
        <f>+IF(F26&gt;0,INT(Fuelbeds_english!J26*0.3048),F26)</f>
        <v>15</v>
      </c>
      <c r="K26" s="45">
        <f>+IF(F26&gt;0,INT(Fuelbeds_english!K26*2.54),F26)</f>
        <v>58</v>
      </c>
      <c r="L26" s="36">
        <v>29027</v>
      </c>
      <c r="M26" s="36" t="s">
        <v>369</v>
      </c>
      <c r="N26" s="36">
        <v>100</v>
      </c>
      <c r="O26" s="36">
        <v>76</v>
      </c>
      <c r="P26" s="45">
        <f>+IF(O26&gt;0,INT(Fuelbeds_english!P26*2.471),O26)</f>
        <v>296</v>
      </c>
      <c r="Q26" s="36">
        <f>+IF(O26&gt;0,INT(Fuelbeds_english!Q26*0.3048),O26)</f>
        <v>15</v>
      </c>
      <c r="R26" s="45">
        <f>+IF(O26&gt;0,INT(Fuelbeds_english!R26*0.3048),O26)</f>
        <v>5</v>
      </c>
      <c r="S26" s="45">
        <f>+IF(O26&gt;0,INT(Fuelbeds_english!S26*2.54),O26)</f>
        <v>17</v>
      </c>
      <c r="T26" s="36">
        <v>29027</v>
      </c>
      <c r="U26" s="36" t="s">
        <v>369</v>
      </c>
      <c r="V26" s="36">
        <v>100</v>
      </c>
      <c r="W26" s="36">
        <v>1</v>
      </c>
      <c r="X26" s="98">
        <v>5</v>
      </c>
      <c r="Y26" s="29">
        <v>46</v>
      </c>
      <c r="Z26" s="88" t="str">
        <f>+IF(Y26&gt;0,FIXED(Fuelbeds_english!Z26*0.3048,1,0),Y26)</f>
        <v>1.6</v>
      </c>
      <c r="AA26" s="46">
        <v>85</v>
      </c>
      <c r="AB26" s="50">
        <v>19092</v>
      </c>
      <c r="AC26" s="50" t="s">
        <v>160</v>
      </c>
      <c r="AD26" s="50">
        <v>100</v>
      </c>
      <c r="AE26" s="42">
        <v>23.9</v>
      </c>
      <c r="AF26" s="52" t="str">
        <f>+IF(AE26&gt;0,FIXED(Fuelbeds_english!AF26*0.3048,1,0),AE26)</f>
        <v>0.2</v>
      </c>
      <c r="AG26" s="36">
        <v>0</v>
      </c>
      <c r="AH26" s="52" t="str">
        <f>+IF(AE26&gt;0,FIXED(Fuelbeds_english!AH26*2.242,1,0),AE26)</f>
        <v>0.2</v>
      </c>
      <c r="AI26" s="45">
        <v>42269</v>
      </c>
      <c r="AJ26" s="45" t="s">
        <v>206</v>
      </c>
      <c r="AK26" s="45">
        <v>100</v>
      </c>
      <c r="AL26" s="34">
        <v>51</v>
      </c>
      <c r="AM26" s="52" t="str">
        <f>+IF(AL26&gt;0,FIXED(Fuelbeds_english!AM26*2.54,1,0),AL26)</f>
        <v>3.6</v>
      </c>
      <c r="AN26" s="52" t="str">
        <f>+IF($AM26&gt;0,FIXED(Fuelbeds_english!AN26*2.242,1,0),$AM26)</f>
        <v>0.6</v>
      </c>
      <c r="AO26" s="52" t="str">
        <f>+IF($AM26&gt;0,FIXED(Fuelbeds_english!AO26*2.242,1,0),$AM26)</f>
        <v>2.2</v>
      </c>
      <c r="AP26" s="52" t="str">
        <f>+IF($AM26&gt;0,FIXED(Fuelbeds_english!AP26*2.242,1,0),$AM26)</f>
        <v>2.7</v>
      </c>
      <c r="AQ26" s="52" t="str">
        <f>+IF($AM26&gt;0,FIXED(Fuelbeds_english!AQ26*2.242,1,0),$AM26)</f>
        <v>8.1</v>
      </c>
      <c r="AR26" s="36">
        <v>29027</v>
      </c>
      <c r="AS26" s="45" t="s">
        <v>369</v>
      </c>
      <c r="AT26" s="45">
        <v>100</v>
      </c>
      <c r="AU26" s="44">
        <v>-1</v>
      </c>
      <c r="AV26" s="52">
        <f>+IF(AU26&gt;0,FIXED(Fuelbeds_english!AV26*2.54,1,0),AU26)</f>
        <v>-1</v>
      </c>
      <c r="AW26" s="52">
        <v>-1</v>
      </c>
      <c r="AX26" s="52">
        <v>-1</v>
      </c>
      <c r="AY26" s="52">
        <f>+IF(AX26&gt;0,FIXED(Fuelbeds_english!AY26*2.54,1,0),AX26)</f>
        <v>-1</v>
      </c>
      <c r="AZ26" s="45">
        <v>1</v>
      </c>
      <c r="BA26" s="36">
        <v>99</v>
      </c>
      <c r="BB26" s="52" t="str">
        <f>+IF(BA26&gt;0,FIXED(Fuelbeds_english!BB26*2.54,1,0),BA26)</f>
        <v>2.8</v>
      </c>
      <c r="BC26" s="45">
        <v>-1</v>
      </c>
      <c r="BD26" s="45">
        <v>-1</v>
      </c>
      <c r="BE26" s="45">
        <v>-1</v>
      </c>
      <c r="BF26" s="45">
        <v>-1</v>
      </c>
      <c r="BG26" s="45">
        <v>100</v>
      </c>
      <c r="BH26" s="45">
        <v>-1</v>
      </c>
      <c r="BI26" s="45">
        <v>-1</v>
      </c>
      <c r="BJ26" s="28">
        <v>1</v>
      </c>
      <c r="BK26" s="36">
        <v>99</v>
      </c>
      <c r="BL26" s="52" t="str">
        <f>+IF(BK26&gt;0,FIXED(Fuelbeds_english!BL26*2.54,1,0),BK26)</f>
        <v>1.8</v>
      </c>
      <c r="BM26" s="45">
        <v>3</v>
      </c>
      <c r="BN26" s="36">
        <v>99</v>
      </c>
      <c r="BO26" s="52" t="str">
        <f>+IF(BN26&gt;0,FIXED(Fuelbeds_english!BO26*2.54,1,0),BN26)</f>
        <v>1.8</v>
      </c>
    </row>
    <row r="27" spans="1:67" s="50" customFormat="1" x14ac:dyDescent="0.25">
      <c r="A27" s="50">
        <v>26</v>
      </c>
      <c r="B27" s="51">
        <v>1033</v>
      </c>
      <c r="C27" s="51">
        <v>1033</v>
      </c>
      <c r="D27" s="37" t="s">
        <v>6</v>
      </c>
      <c r="E27" s="39" t="s">
        <v>463</v>
      </c>
      <c r="F27" s="39">
        <v>14</v>
      </c>
      <c r="G27" s="36">
        <v>7</v>
      </c>
      <c r="H27" s="45">
        <f>+IF(F27&gt;0,INT(Fuelbeds_english!H27*2.471),F27)</f>
        <v>7</v>
      </c>
      <c r="I27" s="36">
        <f>+IF(F27&gt;0,INT(Fuelbeds_english!I27*0.3048),F27)</f>
        <v>13</v>
      </c>
      <c r="J27" s="45">
        <f>+IF(F27&gt;0,INT(Fuelbeds_english!J27*0.3048),F27)</f>
        <v>7</v>
      </c>
      <c r="K27" s="45">
        <f>+IF(F27&gt;0,INT(Fuelbeds_english!K27*2.54),F27)</f>
        <v>12</v>
      </c>
      <c r="L27" s="36">
        <v>29027</v>
      </c>
      <c r="M27" s="36" t="s">
        <v>369</v>
      </c>
      <c r="N27" s="36">
        <v>100</v>
      </c>
      <c r="O27" s="36">
        <v>14</v>
      </c>
      <c r="P27" s="45">
        <f>+IF(O27&gt;0,INT(Fuelbeds_english!P27*2.471),O27)</f>
        <v>54</v>
      </c>
      <c r="Q27" s="36">
        <f>+IF(O27&gt;0,INT(Fuelbeds_english!Q27*0.3048),O27)</f>
        <v>7</v>
      </c>
      <c r="R27" s="45">
        <f>+IF(O27&gt;0,INT(Fuelbeds_english!R27*0.3048),O27)</f>
        <v>2</v>
      </c>
      <c r="S27" s="45">
        <f>+IF(O27&gt;0,INT(Fuelbeds_english!S27*2.54),O27)</f>
        <v>7</v>
      </c>
      <c r="T27" s="36">
        <v>29027</v>
      </c>
      <c r="U27" s="36" t="s">
        <v>369</v>
      </c>
      <c r="V27" s="36">
        <v>100</v>
      </c>
      <c r="W27" s="36">
        <v>1</v>
      </c>
      <c r="X27" s="98">
        <v>5</v>
      </c>
      <c r="Y27" s="29">
        <v>65</v>
      </c>
      <c r="Z27" s="88" t="str">
        <f>+IF(Y27&gt;0,FIXED(Fuelbeds_english!Z27*0.3048,1,0),Y27)</f>
        <v>1.6</v>
      </c>
      <c r="AA27" s="46">
        <v>85</v>
      </c>
      <c r="AB27" s="50">
        <v>19092</v>
      </c>
      <c r="AC27" s="50" t="s">
        <v>160</v>
      </c>
      <c r="AD27" s="50">
        <v>100</v>
      </c>
      <c r="AE27" s="42">
        <v>30</v>
      </c>
      <c r="AF27" s="52" t="str">
        <f>+IF(AE27&gt;0,FIXED(Fuelbeds_english!AF27*0.3048,1,0),AE27)</f>
        <v>0.2</v>
      </c>
      <c r="AG27" s="36">
        <v>0</v>
      </c>
      <c r="AH27" s="52" t="str">
        <f>+IF(AE27&gt;0,FIXED(Fuelbeds_english!AH27*2.242,1,0),AE27)</f>
        <v>0.1</v>
      </c>
      <c r="AI27" s="45">
        <v>26716</v>
      </c>
      <c r="AJ27" s="45" t="s">
        <v>208</v>
      </c>
      <c r="AK27" s="45">
        <v>100</v>
      </c>
      <c r="AL27" s="34">
        <v>9</v>
      </c>
      <c r="AM27" s="52" t="str">
        <f>+IF(AL27&gt;0,FIXED(Fuelbeds_english!AM27*2.54,1,0),AL27)</f>
        <v>3.6</v>
      </c>
      <c r="AN27" s="52" t="str">
        <f>+IF($AM27&gt;0,FIXED(Fuelbeds_english!AN27*2.242,1,0),$AM27)</f>
        <v>0.1</v>
      </c>
      <c r="AO27" s="52" t="str">
        <f>+IF($AM27&gt;0,FIXED(Fuelbeds_english!AO27*2.242,1,0),$AM27)</f>
        <v>0.4</v>
      </c>
      <c r="AP27" s="52" t="str">
        <f>+IF($AM27&gt;0,FIXED(Fuelbeds_english!AP27*2.242,1,0),$AM27)</f>
        <v>0.5</v>
      </c>
      <c r="AQ27" s="52" t="str">
        <f>+IF($AM27&gt;0,FIXED(Fuelbeds_english!AQ27*2.242,1,0),$AM27)</f>
        <v>1.5</v>
      </c>
      <c r="AR27" s="36">
        <v>29027</v>
      </c>
      <c r="AS27" s="45" t="s">
        <v>369</v>
      </c>
      <c r="AT27" s="45">
        <v>100</v>
      </c>
      <c r="AU27" s="44">
        <v>-1</v>
      </c>
      <c r="AV27" s="52">
        <f>+IF(AU27&gt;0,FIXED(Fuelbeds_english!AV27*2.54,1,0),AU27)</f>
        <v>-1</v>
      </c>
      <c r="AW27" s="52">
        <v>-1</v>
      </c>
      <c r="AX27" s="52">
        <v>-1</v>
      </c>
      <c r="AY27" s="52">
        <f>+IF(AX27&gt;0,FIXED(Fuelbeds_english!AY27*2.54,1,0),AX27)</f>
        <v>-1</v>
      </c>
      <c r="AZ27" s="45">
        <v>1</v>
      </c>
      <c r="BA27" s="36">
        <v>18</v>
      </c>
      <c r="BB27" s="52" t="str">
        <f>+IF(BA27&gt;0,FIXED(Fuelbeds_english!BB27*2.54,1,0),BA27)</f>
        <v>2.8</v>
      </c>
      <c r="BC27" s="45">
        <v>-1</v>
      </c>
      <c r="BD27" s="45">
        <v>-1</v>
      </c>
      <c r="BE27" s="45">
        <v>-1</v>
      </c>
      <c r="BF27" s="45">
        <v>-1</v>
      </c>
      <c r="BG27" s="45">
        <v>100</v>
      </c>
      <c r="BH27" s="45">
        <v>-1</v>
      </c>
      <c r="BI27" s="45">
        <v>-1</v>
      </c>
      <c r="BJ27" s="28">
        <v>1</v>
      </c>
      <c r="BK27" s="36">
        <v>18</v>
      </c>
      <c r="BL27" s="52" t="str">
        <f>+IF(BK27&gt;0,FIXED(Fuelbeds_english!BL27*2.54,1,0),BK27)</f>
        <v>1.8</v>
      </c>
      <c r="BM27" s="45">
        <v>3</v>
      </c>
      <c r="BN27" s="36">
        <v>18</v>
      </c>
      <c r="BO27" s="52" t="str">
        <f>+IF(BN27&gt;0,FIXED(Fuelbeds_english!BO27*2.54,1,0),BN27)</f>
        <v>1.8</v>
      </c>
    </row>
    <row r="28" spans="1:67" s="50" customFormat="1" x14ac:dyDescent="0.25">
      <c r="A28" s="50">
        <v>27</v>
      </c>
      <c r="B28" s="51">
        <v>1036</v>
      </c>
      <c r="C28" s="51">
        <v>1036</v>
      </c>
      <c r="D28" s="37" t="s">
        <v>6</v>
      </c>
      <c r="E28" s="39" t="s">
        <v>465</v>
      </c>
      <c r="F28" s="39">
        <v>28</v>
      </c>
      <c r="G28" s="36">
        <v>14</v>
      </c>
      <c r="H28" s="45">
        <f>+IF(F28&gt;0,INT(Fuelbeds_english!H28*2.471),F28)</f>
        <v>17</v>
      </c>
      <c r="I28" s="36">
        <f>+IF(F28&gt;0,INT(Fuelbeds_english!I28*0.3048),F28)</f>
        <v>17</v>
      </c>
      <c r="J28" s="45">
        <f>+IF(F28&gt;0,INT(Fuelbeds_english!J28*0.3048),F28)</f>
        <v>8</v>
      </c>
      <c r="K28" s="45">
        <f>+IF(F28&gt;0,INT(Fuelbeds_english!K28*2.54),F28)</f>
        <v>20</v>
      </c>
      <c r="L28" s="36">
        <v>29027</v>
      </c>
      <c r="M28" s="36" t="s">
        <v>369</v>
      </c>
      <c r="N28" s="36">
        <v>100</v>
      </c>
      <c r="O28" s="36">
        <v>28</v>
      </c>
      <c r="P28" s="45">
        <f>+IF(O28&gt;0,INT(Fuelbeds_english!P28*2.471),O28)</f>
        <v>108</v>
      </c>
      <c r="Q28" s="36">
        <f>+IF(O28&gt;0,INT(Fuelbeds_english!Q28*0.3048),O28)</f>
        <v>8</v>
      </c>
      <c r="R28" s="45">
        <f>+IF(O28&gt;0,INT(Fuelbeds_english!R28*0.3048),O28)</f>
        <v>2</v>
      </c>
      <c r="S28" s="45">
        <f>+IF(O28&gt;0,INT(Fuelbeds_english!S28*2.54),O28)</f>
        <v>10</v>
      </c>
      <c r="T28" s="36">
        <v>29027</v>
      </c>
      <c r="U28" s="36" t="s">
        <v>369</v>
      </c>
      <c r="V28" s="36">
        <v>100</v>
      </c>
      <c r="W28" s="36">
        <v>1</v>
      </c>
      <c r="X28" s="98">
        <v>5</v>
      </c>
      <c r="Y28" s="29">
        <v>59</v>
      </c>
      <c r="Z28" s="88" t="str">
        <f>+IF(Y28&gt;0,FIXED(Fuelbeds_english!Z28*0.3048,1,0),Y28)</f>
        <v>1.6</v>
      </c>
      <c r="AA28" s="46">
        <v>85</v>
      </c>
      <c r="AB28" s="50">
        <v>19092</v>
      </c>
      <c r="AC28" s="50" t="s">
        <v>160</v>
      </c>
      <c r="AD28" s="50">
        <v>100</v>
      </c>
      <c r="AE28" s="42">
        <v>30</v>
      </c>
      <c r="AF28" s="52" t="str">
        <f>+IF(AE28&gt;0,FIXED(Fuelbeds_english!AF28*0.3048,1,0),AE28)</f>
        <v>0.1</v>
      </c>
      <c r="AG28" s="36">
        <v>0</v>
      </c>
      <c r="AH28" s="52" t="str">
        <f>+IF(AE28&gt;0,FIXED(Fuelbeds_english!AH28*2.242,1,0),AE28)</f>
        <v>0.1</v>
      </c>
      <c r="AI28" s="45">
        <v>26857</v>
      </c>
      <c r="AJ28" s="45" t="s">
        <v>415</v>
      </c>
      <c r="AK28" s="45">
        <v>100</v>
      </c>
      <c r="AL28" s="34">
        <v>19</v>
      </c>
      <c r="AM28" s="52" t="str">
        <f>+IF(AL28&gt;0,FIXED(Fuelbeds_english!AM28*2.54,1,0),AL28)</f>
        <v>3.6</v>
      </c>
      <c r="AN28" s="52" t="str">
        <f>+IF($AM28&gt;0,FIXED(Fuelbeds_english!AN28*2.242,1,0),$AM28)</f>
        <v>0.2</v>
      </c>
      <c r="AO28" s="52" t="str">
        <f>+IF($AM28&gt;0,FIXED(Fuelbeds_english!AO28*2.242,1,0),$AM28)</f>
        <v>0.8</v>
      </c>
      <c r="AP28" s="52" t="str">
        <f>+IF($AM28&gt;0,FIXED(Fuelbeds_english!AP28*2.242,1,0),$AM28)</f>
        <v>1.0</v>
      </c>
      <c r="AQ28" s="52" t="str">
        <f>+IF($AM28&gt;0,FIXED(Fuelbeds_english!AQ28*2.242,1,0),$AM28)</f>
        <v>2.9</v>
      </c>
      <c r="AR28" s="36">
        <v>29027</v>
      </c>
      <c r="AS28" s="45" t="s">
        <v>369</v>
      </c>
      <c r="AT28" s="45">
        <v>100</v>
      </c>
      <c r="AU28" s="44">
        <v>-1</v>
      </c>
      <c r="AV28" s="52">
        <f>+IF(AU28&gt;0,FIXED(Fuelbeds_english!AV28*2.54,1,0),AU28)</f>
        <v>-1</v>
      </c>
      <c r="AW28" s="52">
        <v>-1</v>
      </c>
      <c r="AX28" s="52">
        <v>-1</v>
      </c>
      <c r="AY28" s="52">
        <f>+IF(AX28&gt;0,FIXED(Fuelbeds_english!AY28*2.54,1,0),AX28)</f>
        <v>-1</v>
      </c>
      <c r="AZ28" s="45">
        <v>1</v>
      </c>
      <c r="BA28" s="36">
        <v>36</v>
      </c>
      <c r="BB28" s="52" t="str">
        <f>+IF(BA28&gt;0,FIXED(Fuelbeds_english!BB28*2.54,1,0),BA28)</f>
        <v>2.8</v>
      </c>
      <c r="BC28" s="45">
        <v>-1</v>
      </c>
      <c r="BD28" s="45">
        <v>-1</v>
      </c>
      <c r="BE28" s="45">
        <v>-1</v>
      </c>
      <c r="BF28" s="45">
        <v>-1</v>
      </c>
      <c r="BG28" s="45">
        <v>100</v>
      </c>
      <c r="BH28" s="45">
        <v>-1</v>
      </c>
      <c r="BI28" s="45">
        <v>-1</v>
      </c>
      <c r="BJ28" s="28">
        <v>1</v>
      </c>
      <c r="BK28" s="36">
        <v>36</v>
      </c>
      <c r="BL28" s="52" t="str">
        <f>+IF(BK28&gt;0,FIXED(Fuelbeds_english!BL28*2.54,1,0),BK28)</f>
        <v>1.8</v>
      </c>
      <c r="BM28" s="45">
        <v>3</v>
      </c>
      <c r="BN28" s="36">
        <v>36</v>
      </c>
      <c r="BO28" s="52" t="str">
        <f>+IF(BN28&gt;0,FIXED(Fuelbeds_english!BO28*2.54,1,0),BN28)</f>
        <v>1.8</v>
      </c>
    </row>
    <row r="29" spans="1:67" s="50" customFormat="1" x14ac:dyDescent="0.25">
      <c r="A29" s="50">
        <v>28</v>
      </c>
      <c r="B29" s="51" t="s">
        <v>512</v>
      </c>
      <c r="C29" s="51">
        <v>911037</v>
      </c>
      <c r="D29" s="37" t="s">
        <v>6</v>
      </c>
      <c r="E29" s="39" t="s">
        <v>466</v>
      </c>
      <c r="F29" s="39">
        <v>19</v>
      </c>
      <c r="G29" s="41">
        <v>10</v>
      </c>
      <c r="H29" s="45">
        <f>+IF(F29&gt;0,INT(Fuelbeds_english!H29*2.471),F29)</f>
        <v>12</v>
      </c>
      <c r="I29" s="36">
        <f>+IF(F29&gt;0,INT(Fuelbeds_english!I29*0.3048),F29)</f>
        <v>23</v>
      </c>
      <c r="J29" s="45">
        <f>+IF(F29&gt;0,INT(Fuelbeds_english!J29*0.3048),F29)</f>
        <v>12</v>
      </c>
      <c r="K29" s="45">
        <f>+IF(F29&gt;0,INT(Fuelbeds_english!K29*2.54),F29)</f>
        <v>38</v>
      </c>
      <c r="L29" s="36">
        <v>29027</v>
      </c>
      <c r="M29" s="36" t="s">
        <v>369</v>
      </c>
      <c r="N29" s="36">
        <v>100</v>
      </c>
      <c r="O29" s="36">
        <v>19</v>
      </c>
      <c r="P29" s="45">
        <f>+IF(O29&gt;0,INT(Fuelbeds_english!P29*2.471),O29)</f>
        <v>74</v>
      </c>
      <c r="Q29" s="36">
        <f>+IF(O29&gt;0,INT(Fuelbeds_english!Q29*0.3048),O29)</f>
        <v>12</v>
      </c>
      <c r="R29" s="45">
        <f>+IF(O29&gt;0,INT(Fuelbeds_english!R29*0.3048),O29)</f>
        <v>3</v>
      </c>
      <c r="S29" s="45">
        <f>+IF(O29&gt;0,INT(Fuelbeds_english!S29*2.54),O29)</f>
        <v>10</v>
      </c>
      <c r="T29" s="36">
        <v>29027</v>
      </c>
      <c r="U29" s="36" t="s">
        <v>369</v>
      </c>
      <c r="V29" s="36">
        <v>100</v>
      </c>
      <c r="W29" s="36">
        <v>1</v>
      </c>
      <c r="X29" s="98">
        <v>5</v>
      </c>
      <c r="Y29" s="29">
        <v>63</v>
      </c>
      <c r="Z29" s="88" t="str">
        <f>+IF(Y29&gt;0,FIXED(Fuelbeds_english!Z29*0.3048,1,0),Y29)</f>
        <v>1.6</v>
      </c>
      <c r="AA29" s="46">
        <v>85</v>
      </c>
      <c r="AB29" s="50">
        <v>19092</v>
      </c>
      <c r="AC29" s="50" t="s">
        <v>160</v>
      </c>
      <c r="AD29" s="50">
        <v>100</v>
      </c>
      <c r="AE29" s="42">
        <v>30</v>
      </c>
      <c r="AF29" s="52" t="str">
        <f>+IF(AE29&gt;0,FIXED(Fuelbeds_english!AF29*0.3048,1,0),AE29)</f>
        <v>0.0</v>
      </c>
      <c r="AG29" s="36">
        <v>0</v>
      </c>
      <c r="AH29" s="52" t="str">
        <f>+IF(AE29&gt;0,FIXED(Fuelbeds_english!AH29*2.242,1,0),AE29)</f>
        <v>0.0</v>
      </c>
      <c r="AI29" s="45">
        <v>505272</v>
      </c>
      <c r="AJ29" s="45" t="s">
        <v>417</v>
      </c>
      <c r="AK29" s="45">
        <v>100</v>
      </c>
      <c r="AL29" s="34">
        <v>13</v>
      </c>
      <c r="AM29" s="52" t="str">
        <f>+IF(AL29&gt;0,FIXED(Fuelbeds_english!AM29*2.54,1,0),AL29)</f>
        <v>3.6</v>
      </c>
      <c r="AN29" s="52" t="str">
        <f>+IF($AM29&gt;0,FIXED(Fuelbeds_english!AN29*2.242,1,0),$AM29)</f>
        <v>0.2</v>
      </c>
      <c r="AO29" s="52" t="str">
        <f>+IF($AM29&gt;0,FIXED(Fuelbeds_english!AO29*2.242,1,0),$AM29)</f>
        <v>0.6</v>
      </c>
      <c r="AP29" s="52" t="str">
        <f>+IF($AM29&gt;0,FIXED(Fuelbeds_english!AP29*2.242,1,0),$AM29)</f>
        <v>0.7</v>
      </c>
      <c r="AQ29" s="52" t="str">
        <f>+IF($AM29&gt;0,FIXED(Fuelbeds_english!AQ29*2.242,1,0),$AM29)</f>
        <v>2.0</v>
      </c>
      <c r="AR29" s="36">
        <v>29027</v>
      </c>
      <c r="AS29" s="45" t="s">
        <v>369</v>
      </c>
      <c r="AT29" s="45">
        <v>100</v>
      </c>
      <c r="AU29" s="44">
        <v>-1</v>
      </c>
      <c r="AV29" s="52">
        <f>+IF(AU29&gt;0,FIXED(Fuelbeds_english!AV29*2.54,1,0),AU29)</f>
        <v>-1</v>
      </c>
      <c r="AW29" s="52">
        <v>-1</v>
      </c>
      <c r="AX29" s="52">
        <v>-1</v>
      </c>
      <c r="AY29" s="52">
        <f>+IF(AX29&gt;0,FIXED(Fuelbeds_english!AY29*2.54,1,0),AX29)</f>
        <v>-1</v>
      </c>
      <c r="AZ29" s="45">
        <v>1</v>
      </c>
      <c r="BA29" s="36">
        <v>25</v>
      </c>
      <c r="BB29" s="52" t="str">
        <f>+IF(BA29&gt;0,FIXED(Fuelbeds_english!BB29*2.54,1,0),BA29)</f>
        <v>2.8</v>
      </c>
      <c r="BC29" s="45">
        <v>-1</v>
      </c>
      <c r="BD29" s="45">
        <v>-1</v>
      </c>
      <c r="BE29" s="45">
        <v>-1</v>
      </c>
      <c r="BF29" s="45">
        <v>-1</v>
      </c>
      <c r="BG29" s="45">
        <v>100</v>
      </c>
      <c r="BH29" s="45">
        <v>-1</v>
      </c>
      <c r="BI29" s="45">
        <v>-1</v>
      </c>
      <c r="BJ29" s="28">
        <v>1</v>
      </c>
      <c r="BK29" s="36">
        <v>25</v>
      </c>
      <c r="BL29" s="52" t="str">
        <f>+IF(BK29&gt;0,FIXED(Fuelbeds_english!BL29*2.54,1,0),BK29)</f>
        <v>1.8</v>
      </c>
      <c r="BM29" s="45">
        <v>3</v>
      </c>
      <c r="BN29" s="36">
        <v>25</v>
      </c>
      <c r="BO29" s="52" t="str">
        <f>+IF(BN29&gt;0,FIXED(Fuelbeds_english!BO29*2.54,1,0),BN29)</f>
        <v>1.8</v>
      </c>
    </row>
    <row r="30" spans="1:67" s="50" customFormat="1" x14ac:dyDescent="0.25">
      <c r="A30" s="50">
        <v>29</v>
      </c>
      <c r="B30" s="51" t="s">
        <v>513</v>
      </c>
      <c r="C30" s="51">
        <v>921037</v>
      </c>
      <c r="D30" s="37" t="s">
        <v>6</v>
      </c>
      <c r="E30" s="39" t="s">
        <v>466</v>
      </c>
      <c r="F30" s="39">
        <v>69</v>
      </c>
      <c r="G30" s="41">
        <v>36</v>
      </c>
      <c r="H30" s="45">
        <f>+IF(F30&gt;0,INT(Fuelbeds_english!H30*2.471),F30)</f>
        <v>42</v>
      </c>
      <c r="I30" s="36">
        <f>+IF(F30&gt;0,INT(Fuelbeds_english!I30*0.3048),F30)</f>
        <v>30</v>
      </c>
      <c r="J30" s="45">
        <f>+IF(F30&gt;0,INT(Fuelbeds_english!J30*0.3048),F30)</f>
        <v>16</v>
      </c>
      <c r="K30" s="45">
        <f>+IF(F30&gt;0,INT(Fuelbeds_english!K30*2.54),F30)</f>
        <v>63</v>
      </c>
      <c r="L30" s="36">
        <v>29027</v>
      </c>
      <c r="M30" s="36" t="s">
        <v>369</v>
      </c>
      <c r="N30" s="36">
        <v>100</v>
      </c>
      <c r="O30" s="36">
        <v>69</v>
      </c>
      <c r="P30" s="45">
        <f>+IF(O30&gt;0,INT(Fuelbeds_english!P30*2.471),O30)</f>
        <v>269</v>
      </c>
      <c r="Q30" s="36">
        <f>+IF(O30&gt;0,INT(Fuelbeds_english!Q30*0.3048),O30)</f>
        <v>16</v>
      </c>
      <c r="R30" s="45">
        <f>+IF(O30&gt;0,INT(Fuelbeds_english!R30*0.3048),O30)</f>
        <v>5</v>
      </c>
      <c r="S30" s="45">
        <f>+IF(O30&gt;0,INT(Fuelbeds_english!S30*2.54),O30)</f>
        <v>17</v>
      </c>
      <c r="T30" s="36">
        <v>29027</v>
      </c>
      <c r="U30" s="36" t="s">
        <v>369</v>
      </c>
      <c r="V30" s="36">
        <v>100</v>
      </c>
      <c r="W30" s="36">
        <v>1</v>
      </c>
      <c r="X30" s="98">
        <v>5</v>
      </c>
      <c r="Y30" s="29">
        <v>43</v>
      </c>
      <c r="Z30" s="88" t="str">
        <f>+IF(Y30&gt;0,FIXED(Fuelbeds_english!Z30*0.3048,1,0),Y30)</f>
        <v>1.6</v>
      </c>
      <c r="AA30" s="46">
        <v>85</v>
      </c>
      <c r="AB30" s="50">
        <v>19092</v>
      </c>
      <c r="AC30" s="50" t="s">
        <v>160</v>
      </c>
      <c r="AD30" s="50">
        <v>100</v>
      </c>
      <c r="AE30" s="42">
        <v>30</v>
      </c>
      <c r="AF30" s="52" t="str">
        <f>+IF(AE30&gt;0,FIXED(Fuelbeds_english!AF30*0.3048,1,0),AE30)</f>
        <v>0.0</v>
      </c>
      <c r="AG30" s="36">
        <v>0</v>
      </c>
      <c r="AH30" s="52" t="str">
        <f>+IF(AE30&gt;0,FIXED(Fuelbeds_english!AH30*2.242,1,0),AE30)</f>
        <v>0.0</v>
      </c>
      <c r="AI30" s="45">
        <v>505272</v>
      </c>
      <c r="AJ30" s="45" t="s">
        <v>417</v>
      </c>
      <c r="AK30" s="45">
        <v>100</v>
      </c>
      <c r="AL30" s="34">
        <v>47</v>
      </c>
      <c r="AM30" s="52" t="str">
        <f>+IF(AL30&gt;0,FIXED(Fuelbeds_english!AM30*2.54,1,0),AL30)</f>
        <v>3.6</v>
      </c>
      <c r="AN30" s="52" t="str">
        <f>+IF($AM30&gt;0,FIXED(Fuelbeds_english!AN30*2.242,1,0),$AM30)</f>
        <v>0.6</v>
      </c>
      <c r="AO30" s="52" t="str">
        <f>+IF($AM30&gt;0,FIXED(Fuelbeds_english!AO30*2.242,1,0),$AM30)</f>
        <v>2.0</v>
      </c>
      <c r="AP30" s="52" t="str">
        <f>+IF($AM30&gt;0,FIXED(Fuelbeds_english!AP30*2.242,1,0),$AM30)</f>
        <v>2.5</v>
      </c>
      <c r="AQ30" s="52" t="str">
        <f>+IF($AM30&gt;0,FIXED(Fuelbeds_english!AQ30*2.242,1,0),$AM30)</f>
        <v>7.3</v>
      </c>
      <c r="AR30" s="36">
        <v>29027</v>
      </c>
      <c r="AS30" s="45" t="s">
        <v>369</v>
      </c>
      <c r="AT30" s="45">
        <v>100</v>
      </c>
      <c r="AU30" s="44">
        <v>-1</v>
      </c>
      <c r="AV30" s="52">
        <f>+IF(AU30&gt;0,FIXED(Fuelbeds_english!AV30*2.54,1,0),AU30)</f>
        <v>-1</v>
      </c>
      <c r="AW30" s="52">
        <v>-1</v>
      </c>
      <c r="AX30" s="52">
        <v>-1</v>
      </c>
      <c r="AY30" s="52">
        <f>+IF(AX30&gt;0,FIXED(Fuelbeds_english!AY30*2.54,1,0),AX30)</f>
        <v>-1</v>
      </c>
      <c r="AZ30" s="45">
        <v>1</v>
      </c>
      <c r="BA30" s="36">
        <v>90</v>
      </c>
      <c r="BB30" s="52" t="str">
        <f>+IF(BA30&gt;0,FIXED(Fuelbeds_english!BB30*2.54,1,0),BA30)</f>
        <v>2.8</v>
      </c>
      <c r="BC30" s="45">
        <v>-1</v>
      </c>
      <c r="BD30" s="45">
        <v>-1</v>
      </c>
      <c r="BE30" s="45">
        <v>-1</v>
      </c>
      <c r="BF30" s="45">
        <v>-1</v>
      </c>
      <c r="BG30" s="45">
        <v>100</v>
      </c>
      <c r="BH30" s="45">
        <v>-1</v>
      </c>
      <c r="BI30" s="45">
        <v>-1</v>
      </c>
      <c r="BJ30" s="28">
        <v>1</v>
      </c>
      <c r="BK30" s="36">
        <v>90</v>
      </c>
      <c r="BL30" s="52" t="str">
        <f>+IF(BK30&gt;0,FIXED(Fuelbeds_english!BL30*2.54,1,0),BK30)</f>
        <v>1.8</v>
      </c>
      <c r="BM30" s="45">
        <v>3</v>
      </c>
      <c r="BN30" s="36">
        <v>90</v>
      </c>
      <c r="BO30" s="52" t="str">
        <f>+IF(BN30&gt;0,FIXED(Fuelbeds_english!BO30*2.54,1,0),BN30)</f>
        <v>1.8</v>
      </c>
    </row>
    <row r="31" spans="1:67" s="50" customFormat="1" x14ac:dyDescent="0.25">
      <c r="A31" s="50">
        <v>30</v>
      </c>
      <c r="B31" s="51" t="s">
        <v>514</v>
      </c>
      <c r="C31" s="51">
        <v>911039</v>
      </c>
      <c r="D31" s="37" t="s">
        <v>6</v>
      </c>
      <c r="E31" s="39" t="s">
        <v>467</v>
      </c>
      <c r="F31" s="39">
        <v>13</v>
      </c>
      <c r="G31" s="41">
        <v>7</v>
      </c>
      <c r="H31" s="45">
        <f>+IF(F31&gt;0,INT(Fuelbeds_english!H31*2.471),F31)</f>
        <v>7</v>
      </c>
      <c r="I31" s="36">
        <f>+IF(F31&gt;0,INT(Fuelbeds_english!I31*0.3048),F31)</f>
        <v>14</v>
      </c>
      <c r="J31" s="45">
        <f>+IF(F31&gt;0,INT(Fuelbeds_english!J31*0.3048),F31)</f>
        <v>7</v>
      </c>
      <c r="K31" s="45">
        <f>+IF(F31&gt;0,INT(Fuelbeds_english!K31*2.54),F31)</f>
        <v>15</v>
      </c>
      <c r="L31" s="36">
        <v>29027</v>
      </c>
      <c r="M31" s="36" t="s">
        <v>369</v>
      </c>
      <c r="N31" s="36">
        <v>100</v>
      </c>
      <c r="O31" s="36">
        <v>13</v>
      </c>
      <c r="P31" s="45">
        <f>+IF(O31&gt;0,INT(Fuelbeds_english!P31*2.471),O31)</f>
        <v>51</v>
      </c>
      <c r="Q31" s="36">
        <f>+IF(O31&gt;0,INT(Fuelbeds_english!Q31*0.3048),O31)</f>
        <v>7</v>
      </c>
      <c r="R31" s="45">
        <f>+IF(O31&gt;0,INT(Fuelbeds_english!R31*0.3048),O31)</f>
        <v>2</v>
      </c>
      <c r="S31" s="45">
        <f>+IF(O31&gt;0,INT(Fuelbeds_english!S31*2.54),O31)</f>
        <v>7</v>
      </c>
      <c r="T31" s="36">
        <v>29027</v>
      </c>
      <c r="U31" s="36" t="s">
        <v>369</v>
      </c>
      <c r="V31" s="36">
        <v>100</v>
      </c>
      <c r="W31" s="36">
        <v>1</v>
      </c>
      <c r="X31" s="98">
        <v>5</v>
      </c>
      <c r="Y31" s="29">
        <v>65</v>
      </c>
      <c r="Z31" s="88" t="str">
        <f>+IF(Y31&gt;0,FIXED(Fuelbeds_english!Z31*0.3048,1,0),Y31)</f>
        <v>1.6</v>
      </c>
      <c r="AA31" s="46">
        <v>85</v>
      </c>
      <c r="AB31" s="50">
        <v>19092</v>
      </c>
      <c r="AC31" s="50" t="s">
        <v>160</v>
      </c>
      <c r="AD31" s="50">
        <v>100</v>
      </c>
      <c r="AE31" s="42">
        <v>30</v>
      </c>
      <c r="AF31" s="52" t="str">
        <f>+IF(AE31&gt;0,FIXED(Fuelbeds_english!AF31*0.3048,1,0),AE31)</f>
        <v>3.0</v>
      </c>
      <c r="AG31" s="36">
        <v>100</v>
      </c>
      <c r="AH31" s="52" t="str">
        <f>+IF(AE31&gt;0,FIXED(Fuelbeds_english!AH31*2.242,1,0),AE31)</f>
        <v>2.7</v>
      </c>
      <c r="AI31" s="45">
        <v>42058</v>
      </c>
      <c r="AJ31" s="45" t="s">
        <v>421</v>
      </c>
      <c r="AK31" s="45">
        <v>100</v>
      </c>
      <c r="AL31" s="34">
        <v>9</v>
      </c>
      <c r="AM31" s="52" t="str">
        <f>+IF(AL31&gt;0,FIXED(Fuelbeds_english!AM31*2.54,1,0),AL31)</f>
        <v>3.6</v>
      </c>
      <c r="AN31" s="52" t="str">
        <f>+IF($AM31&gt;0,FIXED(Fuelbeds_english!AN31*2.242,1,0),$AM31)</f>
        <v>0.1</v>
      </c>
      <c r="AO31" s="52" t="str">
        <f>+IF($AM31&gt;0,FIXED(Fuelbeds_english!AO31*2.242,1,0),$AM31)</f>
        <v>0.4</v>
      </c>
      <c r="AP31" s="52" t="str">
        <f>+IF($AM31&gt;0,FIXED(Fuelbeds_english!AP31*2.242,1,0),$AM31)</f>
        <v>0.5</v>
      </c>
      <c r="AQ31" s="52" t="str">
        <f>+IF($AM31&gt;0,FIXED(Fuelbeds_english!AQ31*2.242,1,0),$AM31)</f>
        <v>1.4</v>
      </c>
      <c r="AR31" s="36">
        <v>29027</v>
      </c>
      <c r="AS31" s="45" t="s">
        <v>369</v>
      </c>
      <c r="AT31" s="45">
        <v>100</v>
      </c>
      <c r="AU31" s="44">
        <v>-1</v>
      </c>
      <c r="AV31" s="52">
        <f>+IF(AU31&gt;0,FIXED(Fuelbeds_english!AV31*2.54,1,0),AU31)</f>
        <v>-1</v>
      </c>
      <c r="AW31" s="52">
        <v>-1</v>
      </c>
      <c r="AX31" s="52">
        <v>-1</v>
      </c>
      <c r="AY31" s="52">
        <f>+IF(AX31&gt;0,FIXED(Fuelbeds_english!AY31*2.54,1,0),AX31)</f>
        <v>-1</v>
      </c>
      <c r="AZ31" s="45">
        <v>1</v>
      </c>
      <c r="BA31" s="36">
        <v>17</v>
      </c>
      <c r="BB31" s="52" t="str">
        <f>+IF(BA31&gt;0,FIXED(Fuelbeds_english!BB31*2.54,1,0),BA31)</f>
        <v>2.8</v>
      </c>
      <c r="BC31" s="45">
        <v>-1</v>
      </c>
      <c r="BD31" s="45">
        <v>-1</v>
      </c>
      <c r="BE31" s="45">
        <v>-1</v>
      </c>
      <c r="BF31" s="45">
        <v>-1</v>
      </c>
      <c r="BG31" s="45">
        <v>100</v>
      </c>
      <c r="BH31" s="45">
        <v>-1</v>
      </c>
      <c r="BI31" s="45">
        <v>-1</v>
      </c>
      <c r="BJ31" s="28">
        <v>1</v>
      </c>
      <c r="BK31" s="36">
        <v>17</v>
      </c>
      <c r="BL31" s="52" t="str">
        <f>+IF(BK31&gt;0,FIXED(Fuelbeds_english!BL31*2.54,1,0),BK31)</f>
        <v>1.8</v>
      </c>
      <c r="BM31" s="45">
        <v>3</v>
      </c>
      <c r="BN31" s="36">
        <v>17</v>
      </c>
      <c r="BO31" s="52" t="str">
        <f>+IF(BN31&gt;0,FIXED(Fuelbeds_english!BO31*2.54,1,0),BN31)</f>
        <v>1.8</v>
      </c>
    </row>
    <row r="32" spans="1:67" s="50" customFormat="1" x14ac:dyDescent="0.25">
      <c r="A32" s="50">
        <v>31</v>
      </c>
      <c r="B32" s="51" t="s">
        <v>515</v>
      </c>
      <c r="C32" s="51">
        <v>921039</v>
      </c>
      <c r="D32" s="37" t="s">
        <v>6</v>
      </c>
      <c r="E32" s="39" t="s">
        <v>467</v>
      </c>
      <c r="F32" s="39">
        <v>60</v>
      </c>
      <c r="G32" s="41">
        <v>31</v>
      </c>
      <c r="H32" s="45">
        <f>+IF(F32&gt;0,INT(Fuelbeds_english!H32*2.471),F32)</f>
        <v>37</v>
      </c>
      <c r="I32" s="36">
        <f>+IF(F32&gt;0,INT(Fuelbeds_english!I32*0.3048),F32)</f>
        <v>23</v>
      </c>
      <c r="J32" s="45">
        <f>+IF(F32&gt;0,INT(Fuelbeds_english!J32*0.3048),F32)</f>
        <v>12</v>
      </c>
      <c r="K32" s="45">
        <f>+IF(F32&gt;0,INT(Fuelbeds_english!K32*2.54),F32)</f>
        <v>38</v>
      </c>
      <c r="L32" s="36">
        <v>29027</v>
      </c>
      <c r="M32" s="36" t="s">
        <v>369</v>
      </c>
      <c r="N32" s="36">
        <v>100</v>
      </c>
      <c r="O32" s="36">
        <v>60</v>
      </c>
      <c r="P32" s="45">
        <f>+IF(O32&gt;0,INT(Fuelbeds_english!P32*2.471),O32)</f>
        <v>232</v>
      </c>
      <c r="Q32" s="36">
        <f>+IF(O32&gt;0,INT(Fuelbeds_english!Q32*0.3048),O32)</f>
        <v>12</v>
      </c>
      <c r="R32" s="45">
        <f>+IF(O32&gt;0,INT(Fuelbeds_english!R32*0.3048),O32)</f>
        <v>3</v>
      </c>
      <c r="S32" s="45">
        <f>+IF(O32&gt;0,INT(Fuelbeds_english!S32*2.54),O32)</f>
        <v>10</v>
      </c>
      <c r="T32" s="36">
        <v>29027</v>
      </c>
      <c r="U32" s="36" t="s">
        <v>369</v>
      </c>
      <c r="V32" s="36">
        <v>100</v>
      </c>
      <c r="W32" s="36">
        <v>1</v>
      </c>
      <c r="X32" s="98">
        <v>5</v>
      </c>
      <c r="Y32" s="29">
        <v>47</v>
      </c>
      <c r="Z32" s="88" t="str">
        <f>+IF(Y32&gt;0,FIXED(Fuelbeds_english!Z32*0.3048,1,0),Y32)</f>
        <v>1.6</v>
      </c>
      <c r="AA32" s="46">
        <v>85</v>
      </c>
      <c r="AB32" s="50">
        <v>19092</v>
      </c>
      <c r="AC32" s="50" t="s">
        <v>160</v>
      </c>
      <c r="AD32" s="50">
        <v>100</v>
      </c>
      <c r="AE32" s="42">
        <v>30</v>
      </c>
      <c r="AF32" s="52" t="str">
        <f>+IF(AE32&gt;0,FIXED(Fuelbeds_english!AF32*0.3048,1,0),AE32)</f>
        <v>3.0</v>
      </c>
      <c r="AG32" s="36">
        <v>100</v>
      </c>
      <c r="AH32" s="52" t="str">
        <f>+IF(AE32&gt;0,FIXED(Fuelbeds_english!AH32*2.242,1,0),AE32)</f>
        <v>2.7</v>
      </c>
      <c r="AI32" s="45">
        <v>42058</v>
      </c>
      <c r="AJ32" s="45" t="s">
        <v>421</v>
      </c>
      <c r="AK32" s="45">
        <v>100</v>
      </c>
      <c r="AL32" s="34">
        <v>40</v>
      </c>
      <c r="AM32" s="52" t="str">
        <f>+IF(AL32&gt;0,FIXED(Fuelbeds_english!AM32*2.54,1,0),AL32)</f>
        <v>3.6</v>
      </c>
      <c r="AN32" s="52" t="str">
        <f>+IF($AM32&gt;0,FIXED(Fuelbeds_english!AN32*2.242,1,0),$AM32)</f>
        <v>0.5</v>
      </c>
      <c r="AO32" s="52" t="str">
        <f>+IF($AM32&gt;0,FIXED(Fuelbeds_english!AO32*2.242,1,0),$AM32)</f>
        <v>1.7</v>
      </c>
      <c r="AP32" s="52" t="str">
        <f>+IF($AM32&gt;0,FIXED(Fuelbeds_english!AP32*2.242,1,0),$AM32)</f>
        <v>2.2</v>
      </c>
      <c r="AQ32" s="52" t="str">
        <f>+IF($AM32&gt;0,FIXED(Fuelbeds_english!AQ32*2.242,1,0),$AM32)</f>
        <v>6.3</v>
      </c>
      <c r="AR32" s="36">
        <v>29027</v>
      </c>
      <c r="AS32" s="45" t="s">
        <v>369</v>
      </c>
      <c r="AT32" s="45">
        <v>100</v>
      </c>
      <c r="AU32" s="44">
        <v>-1</v>
      </c>
      <c r="AV32" s="52">
        <f>+IF(AU32&gt;0,FIXED(Fuelbeds_english!AV32*2.54,1,0),AU32)</f>
        <v>-1</v>
      </c>
      <c r="AW32" s="52">
        <v>-1</v>
      </c>
      <c r="AX32" s="52">
        <v>-1</v>
      </c>
      <c r="AY32" s="52">
        <f>+IF(AX32&gt;0,FIXED(Fuelbeds_english!AY32*2.54,1,0),AX32)</f>
        <v>-1</v>
      </c>
      <c r="AZ32" s="45">
        <v>1</v>
      </c>
      <c r="BA32" s="36">
        <v>78</v>
      </c>
      <c r="BB32" s="52" t="str">
        <f>+IF(BA32&gt;0,FIXED(Fuelbeds_english!BB32*2.54,1,0),BA32)</f>
        <v>2.8</v>
      </c>
      <c r="BC32" s="45">
        <v>-1</v>
      </c>
      <c r="BD32" s="45">
        <v>-1</v>
      </c>
      <c r="BE32" s="45">
        <v>-1</v>
      </c>
      <c r="BF32" s="45">
        <v>-1</v>
      </c>
      <c r="BG32" s="45">
        <v>100</v>
      </c>
      <c r="BH32" s="45">
        <v>-1</v>
      </c>
      <c r="BI32" s="45">
        <v>-1</v>
      </c>
      <c r="BJ32" s="28">
        <v>1</v>
      </c>
      <c r="BK32" s="36">
        <v>78</v>
      </c>
      <c r="BL32" s="52" t="str">
        <f>+IF(BK32&gt;0,FIXED(Fuelbeds_english!BL32*2.54,1,0),BK32)</f>
        <v>1.8</v>
      </c>
      <c r="BM32" s="45">
        <v>3</v>
      </c>
      <c r="BN32" s="36">
        <v>78</v>
      </c>
      <c r="BO32" s="52" t="str">
        <f>+IF(BN32&gt;0,FIXED(Fuelbeds_english!BO32*2.54,1,0),BN32)</f>
        <v>1.8</v>
      </c>
    </row>
    <row r="33" spans="1:67" s="50" customFormat="1" x14ac:dyDescent="0.25">
      <c r="A33" s="50">
        <v>32</v>
      </c>
      <c r="B33" s="51" t="s">
        <v>210</v>
      </c>
      <c r="C33" s="51">
        <v>911040</v>
      </c>
      <c r="D33" s="21" t="s">
        <v>6</v>
      </c>
      <c r="E33" s="6" t="s">
        <v>17</v>
      </c>
      <c r="F33" s="39">
        <v>21.7</v>
      </c>
      <c r="G33" s="36">
        <v>11.272727272727273</v>
      </c>
      <c r="H33" s="45">
        <f>+IF(F33&gt;0,INT(Fuelbeds_english!H33*2.471),F33)</f>
        <v>13</v>
      </c>
      <c r="I33" s="36">
        <f>+IF(F33&gt;0,INT(Fuelbeds_english!I33*0.3048),F33)</f>
        <v>24</v>
      </c>
      <c r="J33" s="45">
        <f>+IF(F33&gt;0,INT(Fuelbeds_english!J33*0.3048),F33)</f>
        <v>12</v>
      </c>
      <c r="K33" s="45">
        <f>+IF(F33&gt;0,INT(Fuelbeds_english!K33*2.54),F33)</f>
        <v>63</v>
      </c>
      <c r="L33" s="36">
        <v>29027</v>
      </c>
      <c r="M33" s="36" t="s">
        <v>369</v>
      </c>
      <c r="N33" s="36">
        <v>100</v>
      </c>
      <c r="O33" s="36">
        <v>21.7</v>
      </c>
      <c r="P33" s="45">
        <f>+IF(O33&gt;0,INT(Fuelbeds_english!P33*2.471),O33)</f>
        <v>84</v>
      </c>
      <c r="Q33" s="36">
        <f>+IF(O33&gt;0,INT(Fuelbeds_english!Q33*0.3048),O33)</f>
        <v>12</v>
      </c>
      <c r="R33" s="45">
        <f>+IF(O33&gt;0,INT(Fuelbeds_english!R33*0.3048),O33)</f>
        <v>4</v>
      </c>
      <c r="S33" s="45">
        <f>+IF(O33&gt;0,INT(Fuelbeds_english!S33*2.54),O33)</f>
        <v>14</v>
      </c>
      <c r="T33" s="36">
        <v>29027</v>
      </c>
      <c r="U33" s="36" t="s">
        <v>369</v>
      </c>
      <c r="V33" s="36">
        <v>100</v>
      </c>
      <c r="W33" s="36">
        <v>1</v>
      </c>
      <c r="X33" s="98">
        <v>5</v>
      </c>
      <c r="Y33" s="29">
        <v>46.666666666666664</v>
      </c>
      <c r="Z33" s="88" t="str">
        <f>+IF(Y33&gt;0,FIXED(Fuelbeds_english!Z33*0.3048,1,0),Y33)</f>
        <v>1.6</v>
      </c>
      <c r="AA33" s="46">
        <v>85</v>
      </c>
      <c r="AB33" s="50">
        <v>19092</v>
      </c>
      <c r="AC33" s="50" t="s">
        <v>160</v>
      </c>
      <c r="AD33" s="50">
        <v>100</v>
      </c>
      <c r="AE33" s="42">
        <v>50</v>
      </c>
      <c r="AF33" s="52" t="str">
        <f>+IF(AE33&gt;0,FIXED(Fuelbeds_english!AF33*0.3048,1,0),AE33)</f>
        <v>0.3</v>
      </c>
      <c r="AG33" s="36">
        <v>85</v>
      </c>
      <c r="AH33" s="52" t="str">
        <f>+IF(AE33&gt;0,FIXED(Fuelbeds_english!AH33*2.242,1,0),AE33)</f>
        <v>0.1</v>
      </c>
      <c r="AI33" s="45">
        <v>40450</v>
      </c>
      <c r="AJ33" s="45" t="s">
        <v>148</v>
      </c>
      <c r="AK33" s="45">
        <v>100</v>
      </c>
      <c r="AL33" s="34">
        <v>14.686971235194585</v>
      </c>
      <c r="AM33" s="52" t="str">
        <f>+IF(AL33&gt;0,FIXED(Fuelbeds_english!AM33*2.54,1,0),AL33)</f>
        <v>3.6</v>
      </c>
      <c r="AN33" s="52" t="str">
        <f>+IF($AM33&gt;0,FIXED(Fuelbeds_english!AN33*2.242,1,0),$AM33)</f>
        <v>0.2</v>
      </c>
      <c r="AO33" s="52" t="str">
        <f>+IF($AM33&gt;0,FIXED(Fuelbeds_english!AO33*2.242,1,0),$AM33)</f>
        <v>0.6</v>
      </c>
      <c r="AP33" s="52" t="str">
        <f>+IF($AM33&gt;0,FIXED(Fuelbeds_english!AP33*2.242,1,0),$AM33)</f>
        <v>0.8</v>
      </c>
      <c r="AQ33" s="52" t="str">
        <f>+IF($AM33&gt;0,FIXED(Fuelbeds_english!AQ33*2.242,1,0),$AM33)</f>
        <v>2.3</v>
      </c>
      <c r="AR33" s="36">
        <v>29027</v>
      </c>
      <c r="AS33" s="45" t="s">
        <v>369</v>
      </c>
      <c r="AT33" s="45">
        <v>100</v>
      </c>
      <c r="AU33" s="44">
        <v>-1</v>
      </c>
      <c r="AV33" s="52">
        <f>+IF(AU33&gt;0,FIXED(Fuelbeds_english!AV33*2.54,1,0),AU33)</f>
        <v>-1</v>
      </c>
      <c r="AW33" s="52">
        <v>-1</v>
      </c>
      <c r="AX33" s="52">
        <v>-1</v>
      </c>
      <c r="AY33" s="52">
        <f>+IF(AX33&gt;0,FIXED(Fuelbeds_english!AY33*2.54,1,0),AX33)</f>
        <v>-1</v>
      </c>
      <c r="AZ33" s="45">
        <v>1</v>
      </c>
      <c r="BA33" s="36">
        <v>28.181818181818183</v>
      </c>
      <c r="BB33" s="52" t="str">
        <f>+IF(BA33&gt;0,FIXED(Fuelbeds_english!BB33*2.54,1,0),BA33)</f>
        <v>2.8</v>
      </c>
      <c r="BC33" s="45">
        <v>-1</v>
      </c>
      <c r="BD33" s="45">
        <v>-1</v>
      </c>
      <c r="BE33" s="45">
        <v>-1</v>
      </c>
      <c r="BF33" s="45">
        <v>-1</v>
      </c>
      <c r="BG33" s="45">
        <v>100</v>
      </c>
      <c r="BH33" s="45">
        <v>-1</v>
      </c>
      <c r="BI33" s="45">
        <v>-1</v>
      </c>
      <c r="BJ33" s="28">
        <v>1</v>
      </c>
      <c r="BK33" s="36">
        <v>28.181818181818183</v>
      </c>
      <c r="BL33" s="52" t="str">
        <f>+IF(BK33&gt;0,FIXED(Fuelbeds_english!BL33*2.54,1,0),BK33)</f>
        <v>1.8</v>
      </c>
      <c r="BM33" s="45">
        <v>3</v>
      </c>
      <c r="BN33" s="36">
        <v>28.181818181818183</v>
      </c>
      <c r="BO33" s="52" t="str">
        <f>+IF(BN33&gt;0,FIXED(Fuelbeds_english!BO33*2.54,1,0),BN33)</f>
        <v>1.8</v>
      </c>
    </row>
    <row r="34" spans="1:67" s="50" customFormat="1" x14ac:dyDescent="0.25">
      <c r="A34" s="50">
        <v>33</v>
      </c>
      <c r="B34" s="51" t="s">
        <v>211</v>
      </c>
      <c r="C34" s="51">
        <v>921040</v>
      </c>
      <c r="D34" s="21" t="s">
        <v>6</v>
      </c>
      <c r="E34" s="6" t="s">
        <v>17</v>
      </c>
      <c r="F34" s="39">
        <v>59.1</v>
      </c>
      <c r="G34" s="36">
        <v>30.7012987012987</v>
      </c>
      <c r="H34" s="45">
        <f>+IF(F34&gt;0,INT(Fuelbeds_english!H34*2.471),F34)</f>
        <v>35</v>
      </c>
      <c r="I34" s="36">
        <f>+IF(F34&gt;0,INT(Fuelbeds_english!I34*0.3048),F34)</f>
        <v>29</v>
      </c>
      <c r="J34" s="45">
        <f>+IF(F34&gt;0,INT(Fuelbeds_english!J34*0.3048),F34)</f>
        <v>15</v>
      </c>
      <c r="K34" s="45">
        <f>+IF(F34&gt;0,INT(Fuelbeds_english!K34*2.54),F34)</f>
        <v>75</v>
      </c>
      <c r="L34" s="36">
        <v>29027</v>
      </c>
      <c r="M34" s="36" t="s">
        <v>369</v>
      </c>
      <c r="N34" s="36">
        <v>100</v>
      </c>
      <c r="O34" s="36">
        <v>59.1</v>
      </c>
      <c r="P34" s="45">
        <f>+IF(O34&gt;0,INT(Fuelbeds_english!P34*2.471),O34)</f>
        <v>230</v>
      </c>
      <c r="Q34" s="36">
        <f>+IF(O34&gt;0,INT(Fuelbeds_english!Q34*0.3048),O34)</f>
        <v>15</v>
      </c>
      <c r="R34" s="45">
        <f>+IF(O34&gt;0,INT(Fuelbeds_english!R34*0.3048),O34)</f>
        <v>4</v>
      </c>
      <c r="S34" s="45">
        <f>+IF(O34&gt;0,INT(Fuelbeds_english!S34*2.54),O34)</f>
        <v>17</v>
      </c>
      <c r="T34" s="36">
        <v>29027</v>
      </c>
      <c r="U34" s="36" t="s">
        <v>369</v>
      </c>
      <c r="V34" s="36">
        <v>100</v>
      </c>
      <c r="W34" s="36">
        <v>1</v>
      </c>
      <c r="X34" s="98">
        <v>5</v>
      </c>
      <c r="Y34" s="29">
        <v>46.666666666666664</v>
      </c>
      <c r="Z34" s="88" t="str">
        <f>+IF(Y34&gt;0,FIXED(Fuelbeds_english!Z34*0.3048,1,0),Y34)</f>
        <v>1.6</v>
      </c>
      <c r="AA34" s="46">
        <v>85</v>
      </c>
      <c r="AB34" s="50">
        <v>19092</v>
      </c>
      <c r="AC34" s="50" t="s">
        <v>160</v>
      </c>
      <c r="AD34" s="50">
        <v>100</v>
      </c>
      <c r="AE34" s="42">
        <v>50</v>
      </c>
      <c r="AF34" s="52" t="str">
        <f>+IF(AE34&gt;0,FIXED(Fuelbeds_english!AF34*0.3048,1,0),AE34)</f>
        <v>0.3</v>
      </c>
      <c r="AG34" s="36">
        <v>85</v>
      </c>
      <c r="AH34" s="52" t="str">
        <f>+IF(AE34&gt;0,FIXED(Fuelbeds_english!AH34*2.242,1,0),AE34)</f>
        <v>0.1</v>
      </c>
      <c r="AI34" s="45">
        <v>40450</v>
      </c>
      <c r="AJ34" s="45" t="s">
        <v>148</v>
      </c>
      <c r="AK34" s="45">
        <v>100</v>
      </c>
      <c r="AL34" s="34">
        <v>40</v>
      </c>
      <c r="AM34" s="52" t="str">
        <f>+IF(AL34&gt;0,FIXED(Fuelbeds_english!AM34*2.54,1,0),AL34)</f>
        <v>3.6</v>
      </c>
      <c r="AN34" s="52" t="str">
        <f>+IF($AM34&gt;0,FIXED(Fuelbeds_english!AN34*2.242,1,0),$AM34)</f>
        <v>0.5</v>
      </c>
      <c r="AO34" s="52" t="str">
        <f>+IF($AM34&gt;0,FIXED(Fuelbeds_english!AO34*2.242,1,0),$AM34)</f>
        <v>1.7</v>
      </c>
      <c r="AP34" s="52" t="str">
        <f>+IF($AM34&gt;0,FIXED(Fuelbeds_english!AP34*2.242,1,0),$AM34)</f>
        <v>2.1</v>
      </c>
      <c r="AQ34" s="52" t="str">
        <f>+IF($AM34&gt;0,FIXED(Fuelbeds_english!AQ34*2.242,1,0),$AM34)</f>
        <v>6.3</v>
      </c>
      <c r="AR34" s="36">
        <v>29027</v>
      </c>
      <c r="AS34" s="45" t="s">
        <v>369</v>
      </c>
      <c r="AT34" s="45">
        <v>100</v>
      </c>
      <c r="AU34" s="44">
        <v>-1</v>
      </c>
      <c r="AV34" s="52">
        <f>+IF(AU34&gt;0,FIXED(Fuelbeds_english!AV34*2.54,1,0),AU34)</f>
        <v>-1</v>
      </c>
      <c r="AW34" s="52">
        <v>-1</v>
      </c>
      <c r="AX34" s="52">
        <v>-1</v>
      </c>
      <c r="AY34" s="52">
        <f>+IF(AX34&gt;0,FIXED(Fuelbeds_english!AY34*2.54,1,0),AX34)</f>
        <v>-1</v>
      </c>
      <c r="AZ34" s="45">
        <v>1</v>
      </c>
      <c r="BA34" s="36">
        <v>76.753246753246756</v>
      </c>
      <c r="BB34" s="52" t="str">
        <f>+IF(BA34&gt;0,FIXED(Fuelbeds_english!BB34*2.54,1,0),BA34)</f>
        <v>2.8</v>
      </c>
      <c r="BC34" s="45">
        <v>-1</v>
      </c>
      <c r="BD34" s="45">
        <v>-1</v>
      </c>
      <c r="BE34" s="45">
        <v>-1</v>
      </c>
      <c r="BF34" s="45">
        <v>-1</v>
      </c>
      <c r="BG34" s="45">
        <v>100</v>
      </c>
      <c r="BH34" s="45">
        <v>-1</v>
      </c>
      <c r="BI34" s="45">
        <v>-1</v>
      </c>
      <c r="BJ34" s="28">
        <v>1</v>
      </c>
      <c r="BK34" s="36">
        <v>76.753246753246756</v>
      </c>
      <c r="BL34" s="52" t="str">
        <f>+IF(BK34&gt;0,FIXED(Fuelbeds_english!BL34*2.54,1,0),BK34)</f>
        <v>1.8</v>
      </c>
      <c r="BM34" s="45">
        <v>3</v>
      </c>
      <c r="BN34" s="36">
        <v>76.753246753246756</v>
      </c>
      <c r="BO34" s="52" t="str">
        <f>+IF(BN34&gt;0,FIXED(Fuelbeds_english!BO34*2.54,1,0),BN34)</f>
        <v>1.8</v>
      </c>
    </row>
    <row r="35" spans="1:67" s="50" customFormat="1" x14ac:dyDescent="0.25">
      <c r="A35" s="50">
        <v>34</v>
      </c>
      <c r="B35" s="51" t="s">
        <v>212</v>
      </c>
      <c r="C35" s="51">
        <v>931040</v>
      </c>
      <c r="D35" s="22" t="s">
        <v>6</v>
      </c>
      <c r="E35" s="6" t="s">
        <v>17</v>
      </c>
      <c r="F35" s="39">
        <v>78.3</v>
      </c>
      <c r="G35" s="36">
        <v>40.675324675324674</v>
      </c>
      <c r="H35" s="45">
        <f>+IF(F35&gt;0,INT(Fuelbeds_english!H35*2.471),F35)</f>
        <v>47</v>
      </c>
      <c r="I35" s="36">
        <f>+IF(F35&gt;0,INT(Fuelbeds_english!I35*0.3048),F35)</f>
        <v>32</v>
      </c>
      <c r="J35" s="45">
        <f>+IF(F35&gt;0,INT(Fuelbeds_english!J35*0.3048),F35)</f>
        <v>17</v>
      </c>
      <c r="K35" s="45">
        <f>+IF(F35&gt;0,INT(Fuelbeds_english!K35*2.54),F35)</f>
        <v>84</v>
      </c>
      <c r="L35" s="36">
        <v>29027</v>
      </c>
      <c r="M35" s="36" t="s">
        <v>369</v>
      </c>
      <c r="N35" s="36">
        <v>100</v>
      </c>
      <c r="O35" s="36">
        <v>78.3</v>
      </c>
      <c r="P35" s="45">
        <f>+IF(O35&gt;0,INT(Fuelbeds_english!P35*2.471),O35)</f>
        <v>305</v>
      </c>
      <c r="Q35" s="36">
        <f>+IF(O35&gt;0,INT(Fuelbeds_english!Q35*0.3048),O35)</f>
        <v>16</v>
      </c>
      <c r="R35" s="45">
        <f>+IF(O35&gt;0,INT(Fuelbeds_english!R35*0.3048),O35)</f>
        <v>5</v>
      </c>
      <c r="S35" s="45">
        <f>+IF(O35&gt;0,INT(Fuelbeds_english!S35*2.54),O35)</f>
        <v>19</v>
      </c>
      <c r="T35" s="36">
        <v>29027</v>
      </c>
      <c r="U35" s="36" t="s">
        <v>369</v>
      </c>
      <c r="V35" s="36">
        <v>100</v>
      </c>
      <c r="W35" s="36">
        <v>1</v>
      </c>
      <c r="X35" s="98">
        <v>5</v>
      </c>
      <c r="Y35" s="29">
        <v>46.666666666666664</v>
      </c>
      <c r="Z35" s="88" t="str">
        <f>+IF(Y35&gt;0,FIXED(Fuelbeds_english!Z35*0.3048,1,0),Y35)</f>
        <v>1.6</v>
      </c>
      <c r="AA35" s="46">
        <v>85</v>
      </c>
      <c r="AB35" s="50">
        <v>19092</v>
      </c>
      <c r="AC35" s="50" t="s">
        <v>160</v>
      </c>
      <c r="AD35" s="50">
        <v>100</v>
      </c>
      <c r="AE35" s="42">
        <v>50</v>
      </c>
      <c r="AF35" s="52" t="str">
        <f>+IF(AE35&gt;0,FIXED(Fuelbeds_english!AF35*0.3048,1,0),AE35)</f>
        <v>0.3</v>
      </c>
      <c r="AG35" s="36">
        <v>85</v>
      </c>
      <c r="AH35" s="52" t="str">
        <f>+IF(AE35&gt;0,FIXED(Fuelbeds_english!AH35*2.242,1,0),AE35)</f>
        <v>0.1</v>
      </c>
      <c r="AI35" s="45">
        <v>40450</v>
      </c>
      <c r="AJ35" s="45" t="s">
        <v>148</v>
      </c>
      <c r="AK35" s="45">
        <v>100</v>
      </c>
      <c r="AL35" s="34">
        <v>52.994923857868017</v>
      </c>
      <c r="AM35" s="52" t="str">
        <f>+IF(AL35&gt;0,FIXED(Fuelbeds_english!AM35*2.54,1,0),AL35)</f>
        <v>3.6</v>
      </c>
      <c r="AN35" s="52" t="str">
        <f>+IF($AM35&gt;0,FIXED(Fuelbeds_english!AN35*2.242,1,0),$AM35)</f>
        <v>0.6</v>
      </c>
      <c r="AO35" s="52" t="str">
        <f>+IF($AM35&gt;0,FIXED(Fuelbeds_english!AO35*2.242,1,0),$AM35)</f>
        <v>2.3</v>
      </c>
      <c r="AP35" s="52" t="str">
        <f>+IF($AM35&gt;0,FIXED(Fuelbeds_english!AP35*2.242,1,0),$AM35)</f>
        <v>2.8</v>
      </c>
      <c r="AQ35" s="52" t="str">
        <f>+IF($AM35&gt;0,FIXED(Fuelbeds_english!AQ35*2.242,1,0),$AM35)</f>
        <v>8.3</v>
      </c>
      <c r="AR35" s="36">
        <v>29027</v>
      </c>
      <c r="AS35" s="45" t="s">
        <v>369</v>
      </c>
      <c r="AT35" s="45">
        <v>100</v>
      </c>
      <c r="AU35" s="44">
        <v>-1</v>
      </c>
      <c r="AV35" s="52">
        <f>+IF(AU35&gt;0,FIXED(Fuelbeds_english!AV35*2.54,1,0),AU35)</f>
        <v>-1</v>
      </c>
      <c r="AW35" s="52">
        <v>-1</v>
      </c>
      <c r="AX35" s="52">
        <v>-1</v>
      </c>
      <c r="AY35" s="52">
        <f>+IF(AX35&gt;0,FIXED(Fuelbeds_english!AY35*2.54,1,0),AX35)</f>
        <v>-1</v>
      </c>
      <c r="AZ35" s="45">
        <v>1</v>
      </c>
      <c r="BA35" s="36">
        <v>100</v>
      </c>
      <c r="BB35" s="52" t="str">
        <f>+IF(BA35&gt;0,FIXED(Fuelbeds_english!BB35*2.54,1,0),BA35)</f>
        <v>2.8</v>
      </c>
      <c r="BC35" s="45">
        <v>-1</v>
      </c>
      <c r="BD35" s="45">
        <v>-1</v>
      </c>
      <c r="BE35" s="45">
        <v>-1</v>
      </c>
      <c r="BF35" s="45">
        <v>-1</v>
      </c>
      <c r="BG35" s="45">
        <v>100</v>
      </c>
      <c r="BH35" s="45">
        <v>-1</v>
      </c>
      <c r="BI35" s="45">
        <v>-1</v>
      </c>
      <c r="BJ35" s="28">
        <v>1</v>
      </c>
      <c r="BK35" s="36">
        <v>100</v>
      </c>
      <c r="BL35" s="52" t="str">
        <f>+IF(BK35&gt;0,FIXED(Fuelbeds_english!BL35*2.54,1,0),BK35)</f>
        <v>1.8</v>
      </c>
      <c r="BM35" s="45">
        <v>3</v>
      </c>
      <c r="BN35" s="36">
        <v>100</v>
      </c>
      <c r="BO35" s="52" t="str">
        <f>+IF(BN35&gt;0,FIXED(Fuelbeds_english!BO35*2.54,1,0),BN35)</f>
        <v>1.8</v>
      </c>
    </row>
    <row r="36" spans="1:67" s="50" customFormat="1" x14ac:dyDescent="0.25">
      <c r="A36" s="50">
        <v>35</v>
      </c>
      <c r="B36" s="52" t="s">
        <v>213</v>
      </c>
      <c r="C36" s="52">
        <v>911061</v>
      </c>
      <c r="D36" s="21" t="s">
        <v>6</v>
      </c>
      <c r="E36" s="11" t="s">
        <v>16</v>
      </c>
      <c r="F36" s="39">
        <v>18.2</v>
      </c>
      <c r="G36" s="36">
        <v>18.2</v>
      </c>
      <c r="H36" s="45">
        <f>+IF(F36&gt;0,INT(Fuelbeds_english!H36*2.471),F36)</f>
        <v>30</v>
      </c>
      <c r="I36" s="36">
        <f>+IF(F36&gt;0,INT(Fuelbeds_english!I36*0.3048),F36)</f>
        <v>15</v>
      </c>
      <c r="J36" s="45">
        <f>+IF(F36&gt;0,INT(Fuelbeds_english!J36*0.3048),F36)</f>
        <v>10</v>
      </c>
      <c r="K36" s="45">
        <f>+IF(F36&gt;0,INT(Fuelbeds_english!K36*2.54),F36)</f>
        <v>24</v>
      </c>
      <c r="L36" s="36">
        <v>28766</v>
      </c>
      <c r="M36" s="36" t="s">
        <v>137</v>
      </c>
      <c r="N36" s="36">
        <v>100</v>
      </c>
      <c r="O36" s="36">
        <v>10.92</v>
      </c>
      <c r="P36" s="45">
        <f>+IF(O36&gt;0,INT(Fuelbeds_english!P36*2.471),O36)</f>
        <v>60</v>
      </c>
      <c r="Q36" s="36">
        <f>+IF(O36&gt;0,INT(Fuelbeds_english!Q36*0.3048),O36)</f>
        <v>9</v>
      </c>
      <c r="R36" s="45">
        <f>+IF(O36&gt;0,INT(Fuelbeds_english!R36*0.3048),O36)</f>
        <v>4</v>
      </c>
      <c r="S36" s="45">
        <f>+IF(O36&gt;0,INT(Fuelbeds_english!S36*2.54),O36)</f>
        <v>13</v>
      </c>
      <c r="T36" s="36">
        <v>28766</v>
      </c>
      <c r="U36" s="36" t="s">
        <v>137</v>
      </c>
      <c r="V36" s="36">
        <v>100</v>
      </c>
      <c r="W36" s="36">
        <v>1</v>
      </c>
      <c r="X36" s="98">
        <v>3</v>
      </c>
      <c r="Y36" s="29">
        <v>51.982500000000002</v>
      </c>
      <c r="Z36" s="88" t="str">
        <f>+IF(Y36&gt;0,FIXED(Fuelbeds_english!Z36*0.3048,1,0),Y36)</f>
        <v>2.1</v>
      </c>
      <c r="AA36" s="46">
        <v>85</v>
      </c>
      <c r="AB36" s="46">
        <v>28862</v>
      </c>
      <c r="AC36" s="46" t="s">
        <v>376</v>
      </c>
      <c r="AD36" s="46">
        <v>100</v>
      </c>
      <c r="AE36" s="42">
        <v>17</v>
      </c>
      <c r="AF36" s="52" t="str">
        <f>+IF(AE36&gt;0,FIXED(Fuelbeds_english!AF36*0.3048,1,0),AE36)</f>
        <v>0.3</v>
      </c>
      <c r="AG36" s="36">
        <v>85</v>
      </c>
      <c r="AH36" s="52" t="str">
        <f>+IF(AE36&gt;0,FIXED(Fuelbeds_english!AH36*2.242,1,0),AE36)</f>
        <v>0.2</v>
      </c>
      <c r="AI36" s="36">
        <v>40450</v>
      </c>
      <c r="AJ36" s="36" t="s">
        <v>148</v>
      </c>
      <c r="AK36" s="36">
        <v>100</v>
      </c>
      <c r="AL36" s="34">
        <v>4.68</v>
      </c>
      <c r="AM36" s="52" t="str">
        <f>+IF(AL36&gt;0,FIXED(Fuelbeds_english!AM36*2.54,1,0),AL36)</f>
        <v>1.9</v>
      </c>
      <c r="AN36" s="52" t="str">
        <f>+IF($AM36&gt;0,FIXED(Fuelbeds_english!AN36*2.242,1,0),$AM36)</f>
        <v>0.1</v>
      </c>
      <c r="AO36" s="52" t="str">
        <f>+IF($AM36&gt;0,FIXED(Fuelbeds_english!AO36*2.242,1,0),$AM36)</f>
        <v>0.2</v>
      </c>
      <c r="AP36" s="52" t="str">
        <f>+IF($AM36&gt;0,FIXED(Fuelbeds_english!AP36*2.242,1,0),$AM36)</f>
        <v>0.5</v>
      </c>
      <c r="AQ36" s="52" t="str">
        <f>+IF($AM36&gt;0,FIXED(Fuelbeds_english!AQ36*2.242,1,0),$AM36)</f>
        <v>0.7</v>
      </c>
      <c r="AR36" s="36">
        <v>28766</v>
      </c>
      <c r="AS36" s="36" t="s">
        <v>137</v>
      </c>
      <c r="AT36" s="36">
        <v>100</v>
      </c>
      <c r="AU36" s="44">
        <v>-1</v>
      </c>
      <c r="AV36" s="52">
        <f>+IF(AU36&gt;0,FIXED(Fuelbeds_english!AV36*2.54,1,0),AU36)</f>
        <v>-1</v>
      </c>
      <c r="AW36" s="52">
        <v>-1</v>
      </c>
      <c r="AX36" s="52">
        <v>-1</v>
      </c>
      <c r="AY36" s="52">
        <f>+IF(AX36&gt;0,FIXED(Fuelbeds_english!AY36*2.54,1,0),AX36)</f>
        <v>-1</v>
      </c>
      <c r="AZ36" s="45">
        <v>1</v>
      </c>
      <c r="BA36" s="36">
        <v>18.2</v>
      </c>
      <c r="BB36" s="52" t="str">
        <f>+IF(BA36&gt;0,FIXED(Fuelbeds_english!BB36*2.54,1,0),BA36)</f>
        <v>2.5</v>
      </c>
      <c r="BC36" s="45">
        <v>-1</v>
      </c>
      <c r="BD36" s="45">
        <v>-1</v>
      </c>
      <c r="BE36" s="45">
        <v>-1</v>
      </c>
      <c r="BF36" s="45">
        <v>100</v>
      </c>
      <c r="BG36" s="45">
        <v>-1</v>
      </c>
      <c r="BH36" s="45">
        <v>-1</v>
      </c>
      <c r="BI36" s="45">
        <v>-1</v>
      </c>
      <c r="BJ36" s="28">
        <v>1</v>
      </c>
      <c r="BK36" s="36">
        <v>16.64</v>
      </c>
      <c r="BL36" s="52" t="str">
        <f>+IF(BK36&gt;0,FIXED(Fuelbeds_english!BL36*2.54,1,0),BK36)</f>
        <v>3.2</v>
      </c>
      <c r="BM36" s="45">
        <v>3</v>
      </c>
      <c r="BN36" s="36">
        <v>16.64</v>
      </c>
      <c r="BO36" s="52" t="str">
        <f>+IF(BN36&gt;0,FIXED(Fuelbeds_english!BO36*2.54,1,0),BN36)</f>
        <v>3.2</v>
      </c>
    </row>
    <row r="37" spans="1:67" s="50" customFormat="1" x14ac:dyDescent="0.25">
      <c r="A37" s="50">
        <v>36</v>
      </c>
      <c r="B37" s="52" t="s">
        <v>214</v>
      </c>
      <c r="C37" s="52">
        <v>921061</v>
      </c>
      <c r="D37" s="21" t="s">
        <v>6</v>
      </c>
      <c r="E37" s="11" t="s">
        <v>16</v>
      </c>
      <c r="F37" s="39">
        <v>52.7</v>
      </c>
      <c r="G37" s="36">
        <v>52.7</v>
      </c>
      <c r="H37" s="45">
        <f>+IF(F37&gt;0,INT(Fuelbeds_english!H37*2.471),F37)</f>
        <v>89</v>
      </c>
      <c r="I37" s="36">
        <f>+IF(F37&gt;0,INT(Fuelbeds_english!I37*0.3048),F37)</f>
        <v>19</v>
      </c>
      <c r="J37" s="45">
        <f>+IF(F37&gt;0,INT(Fuelbeds_english!J37*0.3048),F37)</f>
        <v>13</v>
      </c>
      <c r="K37" s="45">
        <f>+IF(F37&gt;0,INT(Fuelbeds_english!K37*2.54),F37)</f>
        <v>30</v>
      </c>
      <c r="L37" s="36">
        <v>28766</v>
      </c>
      <c r="M37" s="36" t="s">
        <v>137</v>
      </c>
      <c r="N37" s="36">
        <v>100</v>
      </c>
      <c r="O37" s="36">
        <v>31.62</v>
      </c>
      <c r="P37" s="45">
        <f>+IF(O37&gt;0,INT(Fuelbeds_english!P37*2.471),O37)</f>
        <v>174</v>
      </c>
      <c r="Q37" s="36">
        <f>+IF(O37&gt;0,INT(Fuelbeds_english!Q37*0.3048),O37)</f>
        <v>11</v>
      </c>
      <c r="R37" s="45">
        <f>+IF(O37&gt;0,INT(Fuelbeds_english!R37*0.3048),O37)</f>
        <v>5</v>
      </c>
      <c r="S37" s="45">
        <f>+IF(O37&gt;0,INT(Fuelbeds_english!S37*2.54),O37)</f>
        <v>16</v>
      </c>
      <c r="T37" s="36">
        <v>28766</v>
      </c>
      <c r="U37" s="36" t="s">
        <v>137</v>
      </c>
      <c r="V37" s="36">
        <v>100</v>
      </c>
      <c r="W37" s="36">
        <v>1</v>
      </c>
      <c r="X37" s="98">
        <v>3</v>
      </c>
      <c r="Y37" s="29">
        <v>35.474999999999994</v>
      </c>
      <c r="Z37" s="88" t="str">
        <f>+IF(Y37&gt;0,FIXED(Fuelbeds_english!Z37*0.3048,1,0),Y37)</f>
        <v>2.1</v>
      </c>
      <c r="AA37" s="46">
        <v>85</v>
      </c>
      <c r="AB37" s="46">
        <v>28862</v>
      </c>
      <c r="AC37" s="46" t="s">
        <v>376</v>
      </c>
      <c r="AD37" s="46">
        <v>100</v>
      </c>
      <c r="AE37" s="42">
        <v>12</v>
      </c>
      <c r="AF37" s="52" t="str">
        <f>+IF(AE37&gt;0,FIXED(Fuelbeds_english!AF37*0.3048,1,0),AE37)</f>
        <v>0.3</v>
      </c>
      <c r="AG37" s="36">
        <v>85</v>
      </c>
      <c r="AH37" s="52" t="str">
        <f>+IF(AE37&gt;0,FIXED(Fuelbeds_english!AH37*2.242,1,0),AE37)</f>
        <v>0.1</v>
      </c>
      <c r="AI37" s="36">
        <v>40450</v>
      </c>
      <c r="AJ37" s="36" t="s">
        <v>148</v>
      </c>
      <c r="AK37" s="36">
        <v>100</v>
      </c>
      <c r="AL37" s="34">
        <v>13.551428571428572</v>
      </c>
      <c r="AM37" s="52" t="str">
        <f>+IF(AL37&gt;0,FIXED(Fuelbeds_english!AM37*2.54,1,0),AL37)</f>
        <v>1.9</v>
      </c>
      <c r="AN37" s="52" t="str">
        <f>+IF($AM37&gt;0,FIXED(Fuelbeds_english!AN37*2.242,1,0),$AM37)</f>
        <v>0.4</v>
      </c>
      <c r="AO37" s="52" t="str">
        <f>+IF($AM37&gt;0,FIXED(Fuelbeds_english!AO37*2.242,1,0),$AM37)</f>
        <v>0.5</v>
      </c>
      <c r="AP37" s="52" t="str">
        <f>+IF($AM37&gt;0,FIXED(Fuelbeds_english!AP37*2.242,1,0),$AM37)</f>
        <v>1.4</v>
      </c>
      <c r="AQ37" s="52" t="str">
        <f>+IF($AM37&gt;0,FIXED(Fuelbeds_english!AQ37*2.242,1,0),$AM37)</f>
        <v>2.0</v>
      </c>
      <c r="AR37" s="36">
        <v>28766</v>
      </c>
      <c r="AS37" s="36" t="s">
        <v>137</v>
      </c>
      <c r="AT37" s="36">
        <v>100</v>
      </c>
      <c r="AU37" s="44">
        <v>-1</v>
      </c>
      <c r="AV37" s="52">
        <f>+IF(AU37&gt;0,FIXED(Fuelbeds_english!AV37*2.54,1,0),AU37)</f>
        <v>-1</v>
      </c>
      <c r="AW37" s="52">
        <v>-1</v>
      </c>
      <c r="AX37" s="52">
        <v>-1</v>
      </c>
      <c r="AY37" s="52">
        <f>+IF(AX37&gt;0,FIXED(Fuelbeds_english!AY37*2.54,1,0),AX37)</f>
        <v>-1</v>
      </c>
      <c r="AZ37" s="45">
        <v>1</v>
      </c>
      <c r="BA37" s="36">
        <v>52.7</v>
      </c>
      <c r="BB37" s="52" t="str">
        <f>+IF(BA37&gt;0,FIXED(Fuelbeds_english!BB37*2.54,1,0),BA37)</f>
        <v>2.5</v>
      </c>
      <c r="BC37" s="45">
        <v>-1</v>
      </c>
      <c r="BD37" s="45">
        <v>-1</v>
      </c>
      <c r="BE37" s="45">
        <v>-1</v>
      </c>
      <c r="BF37" s="45">
        <v>100</v>
      </c>
      <c r="BG37" s="45">
        <v>-1</v>
      </c>
      <c r="BH37" s="45">
        <v>-1</v>
      </c>
      <c r="BI37" s="45">
        <v>-1</v>
      </c>
      <c r="BJ37" s="28">
        <v>1</v>
      </c>
      <c r="BK37" s="36">
        <v>48.182857142857145</v>
      </c>
      <c r="BL37" s="52" t="str">
        <f>+IF(BK37&gt;0,FIXED(Fuelbeds_english!BL37*2.54,1,0),BK37)</f>
        <v>3.2</v>
      </c>
      <c r="BM37" s="45">
        <v>3</v>
      </c>
      <c r="BN37" s="36">
        <v>48.182857142857145</v>
      </c>
      <c r="BO37" s="52" t="str">
        <f>+IF(BN37&gt;0,FIXED(Fuelbeds_english!BO37*2.54,1,0),BN37)</f>
        <v>3.2</v>
      </c>
    </row>
    <row r="38" spans="1:67" s="50" customFormat="1" x14ac:dyDescent="0.25">
      <c r="A38" s="50">
        <v>37</v>
      </c>
      <c r="B38" s="52" t="s">
        <v>215</v>
      </c>
      <c r="C38" s="52">
        <v>931061</v>
      </c>
      <c r="D38" s="22" t="s">
        <v>6</v>
      </c>
      <c r="E38" s="11" t="s">
        <v>16</v>
      </c>
      <c r="F38" s="39">
        <v>75.8</v>
      </c>
      <c r="G38" s="36">
        <v>75.8</v>
      </c>
      <c r="H38" s="45">
        <f>+IF(F38&gt;0,INT(Fuelbeds_english!H38*2.471),F38)</f>
        <v>128</v>
      </c>
      <c r="I38" s="36">
        <f>+IF(F38&gt;0,INT(Fuelbeds_english!I38*0.3048),F38)</f>
        <v>24</v>
      </c>
      <c r="J38" s="45">
        <f>+IF(F38&gt;0,INT(Fuelbeds_english!J38*0.3048),F38)</f>
        <v>17</v>
      </c>
      <c r="K38" s="45">
        <f>+IF(F38&gt;0,INT(Fuelbeds_english!K38*2.54),F38)</f>
        <v>37</v>
      </c>
      <c r="L38" s="36">
        <v>28766</v>
      </c>
      <c r="M38" s="36" t="s">
        <v>137</v>
      </c>
      <c r="N38" s="36">
        <v>100</v>
      </c>
      <c r="O38" s="36">
        <v>45.48</v>
      </c>
      <c r="P38" s="45">
        <f>+IF(O38&gt;0,INT(Fuelbeds_english!P38*2.471),O38)</f>
        <v>251</v>
      </c>
      <c r="Q38" s="36">
        <f>+IF(O38&gt;0,INT(Fuelbeds_english!Q38*0.3048),O38)</f>
        <v>14</v>
      </c>
      <c r="R38" s="45">
        <f>+IF(O38&gt;0,INT(Fuelbeds_english!R38*0.3048),O38)</f>
        <v>7</v>
      </c>
      <c r="S38" s="45">
        <f>+IF(O38&gt;0,INT(Fuelbeds_english!S38*2.54),O38)</f>
        <v>21</v>
      </c>
      <c r="T38" s="36">
        <v>28766</v>
      </c>
      <c r="U38" s="36" t="s">
        <v>137</v>
      </c>
      <c r="V38" s="36">
        <v>100</v>
      </c>
      <c r="W38" s="36">
        <v>1</v>
      </c>
      <c r="X38" s="98">
        <v>3</v>
      </c>
      <c r="Y38" s="29">
        <v>18.150000000000002</v>
      </c>
      <c r="Z38" s="88" t="str">
        <f>+IF(Y38&gt;0,FIXED(Fuelbeds_english!Z38*0.3048,1,0),Y38)</f>
        <v>2.1</v>
      </c>
      <c r="AA38" s="46">
        <v>85</v>
      </c>
      <c r="AB38" s="46">
        <v>28862</v>
      </c>
      <c r="AC38" s="46" t="s">
        <v>376</v>
      </c>
      <c r="AD38" s="46">
        <v>100</v>
      </c>
      <c r="AE38" s="42">
        <v>6</v>
      </c>
      <c r="AF38" s="52" t="str">
        <f>+IF(AE38&gt;0,FIXED(Fuelbeds_english!AF38*0.3048,1,0),AE38)</f>
        <v>0.3</v>
      </c>
      <c r="AG38" s="36">
        <v>85</v>
      </c>
      <c r="AH38" s="52" t="str">
        <f>+IF(AE38&gt;0,FIXED(Fuelbeds_english!AH38*2.242,1,0),AE38)</f>
        <v>0.1</v>
      </c>
      <c r="AI38" s="36">
        <v>40450</v>
      </c>
      <c r="AJ38" s="36" t="s">
        <v>148</v>
      </c>
      <c r="AK38" s="36">
        <v>100</v>
      </c>
      <c r="AL38" s="34">
        <v>19.491428571428571</v>
      </c>
      <c r="AM38" s="52" t="str">
        <f>+IF(AL38&gt;0,FIXED(Fuelbeds_english!AM38*2.54,1,0),AL38)</f>
        <v>1.9</v>
      </c>
      <c r="AN38" s="52" t="str">
        <f>+IF($AM38&gt;0,FIXED(Fuelbeds_english!AN38*2.242,1,0),$AM38)</f>
        <v>0.6</v>
      </c>
      <c r="AO38" s="52" t="str">
        <f>+IF($AM38&gt;0,FIXED(Fuelbeds_english!AO38*2.242,1,0),$AM38)</f>
        <v>0.7</v>
      </c>
      <c r="AP38" s="52" t="str">
        <f>+IF($AM38&gt;0,FIXED(Fuelbeds_english!AP38*2.242,1,0),$AM38)</f>
        <v>1.9</v>
      </c>
      <c r="AQ38" s="52" t="str">
        <f>+IF($AM38&gt;0,FIXED(Fuelbeds_english!AQ38*2.242,1,0),$AM38)</f>
        <v>2.9</v>
      </c>
      <c r="AR38" s="36">
        <v>28766</v>
      </c>
      <c r="AS38" s="36" t="s">
        <v>137</v>
      </c>
      <c r="AT38" s="36">
        <v>100</v>
      </c>
      <c r="AU38" s="44">
        <v>-1</v>
      </c>
      <c r="AV38" s="52">
        <f>+IF(AU38&gt;0,FIXED(Fuelbeds_english!AV38*2.54,1,0),AU38)</f>
        <v>-1</v>
      </c>
      <c r="AW38" s="52">
        <v>-1</v>
      </c>
      <c r="AX38" s="52">
        <v>-1</v>
      </c>
      <c r="AY38" s="52">
        <f>+IF(AX38&gt;0,FIXED(Fuelbeds_english!AY38*2.54,1,0),AX38)</f>
        <v>-1</v>
      </c>
      <c r="AZ38" s="45">
        <v>1</v>
      </c>
      <c r="BA38" s="36">
        <v>75.8</v>
      </c>
      <c r="BB38" s="52" t="str">
        <f>+IF(BA38&gt;0,FIXED(Fuelbeds_english!BB38*2.54,1,0),BA38)</f>
        <v>2.5</v>
      </c>
      <c r="BC38" s="45">
        <v>-1</v>
      </c>
      <c r="BD38" s="45">
        <v>-1</v>
      </c>
      <c r="BE38" s="45">
        <v>-1</v>
      </c>
      <c r="BF38" s="45">
        <v>100</v>
      </c>
      <c r="BG38" s="45">
        <v>-1</v>
      </c>
      <c r="BH38" s="45">
        <v>-1</v>
      </c>
      <c r="BI38" s="45">
        <v>-1</v>
      </c>
      <c r="BJ38" s="28">
        <v>1</v>
      </c>
      <c r="BK38" s="36">
        <v>69.30285714285715</v>
      </c>
      <c r="BL38" s="52" t="str">
        <f>+IF(BK38&gt;0,FIXED(Fuelbeds_english!BL38*2.54,1,0),BK38)</f>
        <v>3.2</v>
      </c>
      <c r="BM38" s="45">
        <v>3</v>
      </c>
      <c r="BN38" s="36">
        <v>69.30285714285715</v>
      </c>
      <c r="BO38" s="52" t="str">
        <f>+IF(BN38&gt;0,FIXED(Fuelbeds_english!BO38*2.54,1,0),BN38)</f>
        <v>3.2</v>
      </c>
    </row>
    <row r="39" spans="1:67" s="50" customFormat="1" x14ac:dyDescent="0.25">
      <c r="A39" s="50">
        <v>38</v>
      </c>
      <c r="B39" s="52" t="s">
        <v>216</v>
      </c>
      <c r="C39" s="52">
        <v>911091</v>
      </c>
      <c r="D39" s="21" t="s">
        <v>6</v>
      </c>
      <c r="E39" s="24" t="s">
        <v>353</v>
      </c>
      <c r="F39" s="39">
        <v>23.5</v>
      </c>
      <c r="G39" s="36">
        <v>14.819819819819818</v>
      </c>
      <c r="H39" s="45">
        <f>+IF(F39&gt;0,INT(Fuelbeds_english!H39*2.471),F39)</f>
        <v>52</v>
      </c>
      <c r="I39" s="36">
        <f>+IF(F39&gt;0,INT(Fuelbeds_english!I39*0.3048),F39)</f>
        <v>22</v>
      </c>
      <c r="J39" s="45">
        <f>+IF(F39&gt;0,INT(Fuelbeds_english!J39*0.3048),F39)</f>
        <v>15</v>
      </c>
      <c r="K39" s="45">
        <f>+IF(F39&gt;0,INT(Fuelbeds_english!K39*2.54),F39)</f>
        <v>33</v>
      </c>
      <c r="L39" s="36">
        <v>18035</v>
      </c>
      <c r="M39" s="36" t="s">
        <v>370</v>
      </c>
      <c r="N39" s="36">
        <v>100</v>
      </c>
      <c r="O39" s="36">
        <v>23.5</v>
      </c>
      <c r="P39" s="45">
        <f>+IF(O39&gt;0,INT(Fuelbeds_english!P39*2.471),O39)</f>
        <v>107</v>
      </c>
      <c r="Q39" s="36">
        <f>+IF(O39&gt;0,INT(Fuelbeds_english!Q39*0.3048),O39)</f>
        <v>14</v>
      </c>
      <c r="R39" s="45">
        <f>+IF(O39&gt;0,INT(Fuelbeds_english!R39*0.3048),O39)</f>
        <v>7</v>
      </c>
      <c r="S39" s="45">
        <f>+IF(O39&gt;0,INT(Fuelbeds_english!S39*2.54),O39)</f>
        <v>16</v>
      </c>
      <c r="T39" s="36">
        <v>18035</v>
      </c>
      <c r="U39" s="36" t="s">
        <v>370</v>
      </c>
      <c r="V39" s="36">
        <v>100</v>
      </c>
      <c r="W39" s="36">
        <v>1</v>
      </c>
      <c r="X39" s="98">
        <v>3</v>
      </c>
      <c r="Y39" s="29">
        <v>7.8</v>
      </c>
      <c r="Z39" s="88" t="str">
        <f>+IF(Y39&gt;0,FIXED(Fuelbeds_english!Z39*0.3048,1,0),Y39)</f>
        <v>0.8</v>
      </c>
      <c r="AA39" s="46">
        <v>85</v>
      </c>
      <c r="AB39" s="50">
        <v>18148</v>
      </c>
      <c r="AC39" s="50" t="s">
        <v>371</v>
      </c>
      <c r="AD39" s="50">
        <v>100</v>
      </c>
      <c r="AE39" s="42">
        <v>50</v>
      </c>
      <c r="AF39" s="52" t="str">
        <f>+IF(AE39&gt;0,FIXED(Fuelbeds_english!AF39*0.3048,1,0),AE39)</f>
        <v>0.3</v>
      </c>
      <c r="AG39" s="36">
        <v>70</v>
      </c>
      <c r="AH39" s="52" t="str">
        <f>+IF(AE39&gt;0,FIXED(Fuelbeds_english!AH39*2.242,1,0),AE39)</f>
        <v>1.2</v>
      </c>
      <c r="AI39" s="45">
        <v>40792</v>
      </c>
      <c r="AJ39" s="45" t="s">
        <v>365</v>
      </c>
      <c r="AK39" s="45">
        <v>100</v>
      </c>
      <c r="AL39" s="34">
        <v>16</v>
      </c>
      <c r="AM39" s="52" t="str">
        <f>+IF(AL39&gt;0,FIXED(Fuelbeds_english!AM39*2.54,1,0),AL39)</f>
        <v>7.4</v>
      </c>
      <c r="AN39" s="52" t="str">
        <f>+IF($AM39&gt;0,FIXED(Fuelbeds_english!AN39*2.242,1,0),$AM39)</f>
        <v>0.1</v>
      </c>
      <c r="AO39" s="52" t="str">
        <f>+IF($AM39&gt;0,FIXED(Fuelbeds_english!AO39*2.242,1,0),$AM39)</f>
        <v>0.8</v>
      </c>
      <c r="AP39" s="52" t="str">
        <f>+IF($AM39&gt;0,FIXED(Fuelbeds_english!AP39*2.242,1,0),$AM39)</f>
        <v>1.2</v>
      </c>
      <c r="AQ39" s="52" t="str">
        <f>+IF($AM39&gt;0,FIXED(Fuelbeds_english!AQ39*2.242,1,0),$AM39)</f>
        <v>2.6</v>
      </c>
      <c r="AR39" s="36">
        <v>18035</v>
      </c>
      <c r="AS39" s="45" t="s">
        <v>370</v>
      </c>
      <c r="AT39" s="45">
        <v>100</v>
      </c>
      <c r="AU39" s="44">
        <v>-1</v>
      </c>
      <c r="AV39" s="52">
        <f>+IF(AU39&gt;0,FIXED(Fuelbeds_english!AV39*2.54,1,0),AU39)</f>
        <v>-1</v>
      </c>
      <c r="AW39" s="52">
        <v>-1</v>
      </c>
      <c r="AX39" s="52">
        <v>-1</v>
      </c>
      <c r="AY39" s="52">
        <f>+IF(AX39&gt;0,FIXED(Fuelbeds_english!AY39*2.54,1,0),AX39)</f>
        <v>-1</v>
      </c>
      <c r="AZ39" s="45">
        <v>1</v>
      </c>
      <c r="BA39" s="36">
        <v>28.9</v>
      </c>
      <c r="BB39" s="52" t="str">
        <f>+IF(BA39&gt;0,FIXED(Fuelbeds_english!BB39*2.54,1,0),BA39)</f>
        <v>5.6</v>
      </c>
      <c r="BC39" s="45">
        <v>100</v>
      </c>
      <c r="BD39" s="45">
        <v>-1</v>
      </c>
      <c r="BE39" s="45">
        <v>-1</v>
      </c>
      <c r="BF39" s="45">
        <v>-1</v>
      </c>
      <c r="BG39" s="45">
        <v>-1</v>
      </c>
      <c r="BH39" s="45">
        <v>-1</v>
      </c>
      <c r="BI39" s="45">
        <v>-1</v>
      </c>
      <c r="BJ39" s="28">
        <v>1</v>
      </c>
      <c r="BK39" s="36">
        <v>28.9</v>
      </c>
      <c r="BL39" s="52" t="str">
        <f>+IF(BK39&gt;0,FIXED(Fuelbeds_english!BL39*2.54,1,0),BK39)</f>
        <v>2.5</v>
      </c>
      <c r="BM39" s="45">
        <v>3</v>
      </c>
      <c r="BN39" s="36">
        <v>28.9</v>
      </c>
      <c r="BO39" s="52" t="str">
        <f>+IF(BN39&gt;0,FIXED(Fuelbeds_english!BO39*2.54,1,0),BN39)</f>
        <v>2.5</v>
      </c>
    </row>
    <row r="40" spans="1:67" s="50" customFormat="1" x14ac:dyDescent="0.25">
      <c r="A40" s="50">
        <v>39</v>
      </c>
      <c r="B40" s="52" t="s">
        <v>217</v>
      </c>
      <c r="C40" s="52">
        <v>921091</v>
      </c>
      <c r="D40" s="21" t="s">
        <v>6</v>
      </c>
      <c r="E40" s="24" t="s">
        <v>353</v>
      </c>
      <c r="F40" s="39">
        <v>55.5</v>
      </c>
      <c r="G40" s="36">
        <v>35</v>
      </c>
      <c r="H40" s="45">
        <f>+IF(F40&gt;0,INT(Fuelbeds_english!H40*2.471),F40)</f>
        <v>123</v>
      </c>
      <c r="I40" s="36">
        <f>+IF(F40&gt;0,INT(Fuelbeds_english!I40*0.3048),F40)</f>
        <v>27</v>
      </c>
      <c r="J40" s="45">
        <f>+IF(F40&gt;0,INT(Fuelbeds_english!J40*0.3048),F40)</f>
        <v>19</v>
      </c>
      <c r="K40" s="45">
        <f>+IF(F40&gt;0,INT(Fuelbeds_english!K40*2.54),F40)</f>
        <v>41</v>
      </c>
      <c r="L40" s="36">
        <v>18035</v>
      </c>
      <c r="M40" s="36" t="s">
        <v>370</v>
      </c>
      <c r="N40" s="36">
        <v>100</v>
      </c>
      <c r="O40" s="36">
        <v>55.5</v>
      </c>
      <c r="P40" s="45">
        <f>+IF(O40&gt;0,INT(Fuelbeds_english!P40*2.471),O40)</f>
        <v>252</v>
      </c>
      <c r="Q40" s="36">
        <f>+IF(O40&gt;0,INT(Fuelbeds_english!Q40*0.3048),O40)</f>
        <v>17</v>
      </c>
      <c r="R40" s="45">
        <f>+IF(O40&gt;0,INT(Fuelbeds_english!R40*0.3048),O40)</f>
        <v>9</v>
      </c>
      <c r="S40" s="45">
        <f>+IF(O40&gt;0,INT(Fuelbeds_english!S40*2.54),O40)</f>
        <v>20</v>
      </c>
      <c r="T40" s="36">
        <v>18035</v>
      </c>
      <c r="U40" s="36" t="s">
        <v>370</v>
      </c>
      <c r="V40" s="36">
        <v>100</v>
      </c>
      <c r="W40" s="36">
        <v>1</v>
      </c>
      <c r="X40" s="98">
        <v>3</v>
      </c>
      <c r="Y40" s="29">
        <v>7.8</v>
      </c>
      <c r="Z40" s="88" t="str">
        <f>+IF(Y40&gt;0,FIXED(Fuelbeds_english!Z40*0.3048,1,0),Y40)</f>
        <v>0.8</v>
      </c>
      <c r="AA40" s="46">
        <v>85</v>
      </c>
      <c r="AB40" s="50">
        <v>18148</v>
      </c>
      <c r="AC40" s="50" t="s">
        <v>371</v>
      </c>
      <c r="AD40" s="50">
        <v>100</v>
      </c>
      <c r="AE40" s="42">
        <v>35</v>
      </c>
      <c r="AF40" s="52" t="str">
        <f>+IF(AE40&gt;0,FIXED(Fuelbeds_english!AF40*0.3048,1,0),AE40)</f>
        <v>0.3</v>
      </c>
      <c r="AG40" s="36">
        <v>70</v>
      </c>
      <c r="AH40" s="52" t="str">
        <f>+IF(AE40&gt;0,FIXED(Fuelbeds_english!AH40*2.242,1,0),AE40)</f>
        <v>0.8</v>
      </c>
      <c r="AI40" s="45">
        <v>40792</v>
      </c>
      <c r="AJ40" s="45" t="s">
        <v>365</v>
      </c>
      <c r="AK40" s="45">
        <v>100</v>
      </c>
      <c r="AL40" s="34">
        <v>38</v>
      </c>
      <c r="AM40" s="52" t="str">
        <f>+IF(AL40&gt;0,FIXED(Fuelbeds_english!AM40*2.54,1,0),AL40)</f>
        <v>7.4</v>
      </c>
      <c r="AN40" s="52" t="str">
        <f>+IF($AM40&gt;0,FIXED(Fuelbeds_english!AN40*2.242,1,0),$AM40)</f>
        <v>0.2</v>
      </c>
      <c r="AO40" s="52" t="str">
        <f>+IF($AM40&gt;0,FIXED(Fuelbeds_english!AO40*2.242,1,0),$AM40)</f>
        <v>1.9</v>
      </c>
      <c r="AP40" s="52" t="str">
        <f>+IF($AM40&gt;0,FIXED(Fuelbeds_english!AP40*2.242,1,0),$AM40)</f>
        <v>2.7</v>
      </c>
      <c r="AQ40" s="52" t="str">
        <f>+IF($AM40&gt;0,FIXED(Fuelbeds_english!AQ40*2.242,1,0),$AM40)</f>
        <v>6.2</v>
      </c>
      <c r="AR40" s="36">
        <v>18035</v>
      </c>
      <c r="AS40" s="45" t="s">
        <v>370</v>
      </c>
      <c r="AT40" s="45">
        <v>100</v>
      </c>
      <c r="AU40" s="44">
        <v>-1</v>
      </c>
      <c r="AV40" s="52">
        <f>+IF(AU40&gt;0,FIXED(Fuelbeds_english!AV40*2.54,1,0),AU40)</f>
        <v>-1</v>
      </c>
      <c r="AW40" s="52">
        <v>-1</v>
      </c>
      <c r="AX40" s="52">
        <v>-1</v>
      </c>
      <c r="AY40" s="52">
        <f>+IF(AX40&gt;0,FIXED(Fuelbeds_english!AY40*2.54,1,0),AX40)</f>
        <v>-1</v>
      </c>
      <c r="AZ40" s="45">
        <v>1</v>
      </c>
      <c r="BA40" s="36">
        <v>68.3</v>
      </c>
      <c r="BB40" s="52" t="str">
        <f>+IF(BA40&gt;0,FIXED(Fuelbeds_english!BB40*2.54,1,0),BA40)</f>
        <v>5.6</v>
      </c>
      <c r="BC40" s="45">
        <v>100</v>
      </c>
      <c r="BD40" s="45">
        <v>-1</v>
      </c>
      <c r="BE40" s="45">
        <v>-1</v>
      </c>
      <c r="BF40" s="45">
        <v>-1</v>
      </c>
      <c r="BG40" s="45">
        <v>-1</v>
      </c>
      <c r="BH40" s="45">
        <v>-1</v>
      </c>
      <c r="BI40" s="45">
        <v>-1</v>
      </c>
      <c r="BJ40" s="28">
        <v>1</v>
      </c>
      <c r="BK40" s="36">
        <v>68.2</v>
      </c>
      <c r="BL40" s="52" t="str">
        <f>+IF(BK40&gt;0,FIXED(Fuelbeds_english!BL40*2.54,1,0),BK40)</f>
        <v>2.5</v>
      </c>
      <c r="BM40" s="45">
        <v>3</v>
      </c>
      <c r="BN40" s="36">
        <v>68.2</v>
      </c>
      <c r="BO40" s="52" t="str">
        <f>+IF(BN40&gt;0,FIXED(Fuelbeds_english!BO40*2.54,1,0),BN40)</f>
        <v>2.5</v>
      </c>
    </row>
    <row r="41" spans="1:67" s="50" customFormat="1" x14ac:dyDescent="0.25">
      <c r="A41" s="50">
        <v>40</v>
      </c>
      <c r="B41" s="52" t="s">
        <v>218</v>
      </c>
      <c r="C41" s="52">
        <v>931091</v>
      </c>
      <c r="D41" s="22" t="s">
        <v>6</v>
      </c>
      <c r="E41" s="24" t="s">
        <v>353</v>
      </c>
      <c r="F41" s="39">
        <v>76.7</v>
      </c>
      <c r="G41" s="36">
        <v>48.369369369369366</v>
      </c>
      <c r="H41" s="45">
        <f>+IF(F41&gt;0,INT(Fuelbeds_english!H41*2.471),F41)</f>
        <v>171</v>
      </c>
      <c r="I41" s="36">
        <f>+IF(F41&gt;0,INT(Fuelbeds_english!I41*0.3048),F41)</f>
        <v>31</v>
      </c>
      <c r="J41" s="45">
        <f>+IF(F41&gt;0,INT(Fuelbeds_english!J41*0.3048),F41)</f>
        <v>22</v>
      </c>
      <c r="K41" s="45">
        <f>+IF(F41&gt;0,INT(Fuelbeds_english!K41*2.54),F41)</f>
        <v>47</v>
      </c>
      <c r="L41" s="36">
        <v>18035</v>
      </c>
      <c r="M41" s="36" t="s">
        <v>370</v>
      </c>
      <c r="N41" s="36">
        <v>100</v>
      </c>
      <c r="O41" s="36">
        <v>76.7</v>
      </c>
      <c r="P41" s="45">
        <f>+IF(O41&gt;0,INT(Fuelbeds_english!P41*2.471),O41)</f>
        <v>349</v>
      </c>
      <c r="Q41" s="36">
        <f>+IF(O41&gt;0,INT(Fuelbeds_english!Q41*0.3048),O41)</f>
        <v>20</v>
      </c>
      <c r="R41" s="45">
        <f>+IF(O41&gt;0,INT(Fuelbeds_english!R41*0.3048),O41)</f>
        <v>10</v>
      </c>
      <c r="S41" s="45">
        <f>+IF(O41&gt;0,INT(Fuelbeds_english!S41*2.54),O41)</f>
        <v>23</v>
      </c>
      <c r="T41" s="36">
        <v>18035</v>
      </c>
      <c r="U41" s="36" t="s">
        <v>370</v>
      </c>
      <c r="V41" s="36">
        <v>100</v>
      </c>
      <c r="W41" s="36">
        <v>1</v>
      </c>
      <c r="X41" s="98">
        <v>3</v>
      </c>
      <c r="Y41" s="29">
        <v>7.8</v>
      </c>
      <c r="Z41" s="88" t="str">
        <f>+IF(Y41&gt;0,FIXED(Fuelbeds_english!Z41*0.3048,1,0),Y41)</f>
        <v>0.8</v>
      </c>
      <c r="AA41" s="46">
        <v>85</v>
      </c>
      <c r="AB41" s="50">
        <v>18148</v>
      </c>
      <c r="AC41" s="50" t="s">
        <v>371</v>
      </c>
      <c r="AD41" s="50">
        <v>100</v>
      </c>
      <c r="AE41" s="42">
        <v>13</v>
      </c>
      <c r="AF41" s="52" t="str">
        <f>+IF(AE41&gt;0,FIXED(Fuelbeds_english!AF41*0.3048,1,0),AE41)</f>
        <v>0.3</v>
      </c>
      <c r="AG41" s="36">
        <v>70</v>
      </c>
      <c r="AH41" s="52" t="str">
        <f>+IF(AE41&gt;0,FIXED(Fuelbeds_english!AH41*2.242,1,0),AE41)</f>
        <v>0.3</v>
      </c>
      <c r="AI41" s="45">
        <v>40792</v>
      </c>
      <c r="AJ41" s="45" t="s">
        <v>365</v>
      </c>
      <c r="AK41" s="45">
        <v>100</v>
      </c>
      <c r="AL41" s="34">
        <v>53</v>
      </c>
      <c r="AM41" s="52" t="str">
        <f>+IF(AL41&gt;0,FIXED(Fuelbeds_english!AM41*2.54,1,0),AL41)</f>
        <v>7.4</v>
      </c>
      <c r="AN41" s="52" t="str">
        <f>+IF($AM41&gt;0,FIXED(Fuelbeds_english!AN41*2.242,1,0),$AM41)</f>
        <v>0.2</v>
      </c>
      <c r="AO41" s="52" t="str">
        <f>+IF($AM41&gt;0,FIXED(Fuelbeds_english!AO41*2.242,1,0),$AM41)</f>
        <v>2.6</v>
      </c>
      <c r="AP41" s="52" t="str">
        <f>+IF($AM41&gt;0,FIXED(Fuelbeds_english!AP41*2.242,1,0),$AM41)</f>
        <v>3.8</v>
      </c>
      <c r="AQ41" s="52" t="str">
        <f>+IF($AM41&gt;0,FIXED(Fuelbeds_english!AQ41*2.242,1,0),$AM41)</f>
        <v>8.6</v>
      </c>
      <c r="AR41" s="36">
        <v>18035</v>
      </c>
      <c r="AS41" s="45" t="s">
        <v>370</v>
      </c>
      <c r="AT41" s="45">
        <v>100</v>
      </c>
      <c r="AU41" s="44">
        <v>-1</v>
      </c>
      <c r="AV41" s="52">
        <f>+IF(AU41&gt;0,FIXED(Fuelbeds_english!AV41*2.54,1,0),AU41)</f>
        <v>-1</v>
      </c>
      <c r="AW41" s="52">
        <v>-1</v>
      </c>
      <c r="AX41" s="52">
        <v>-1</v>
      </c>
      <c r="AY41" s="52">
        <f>+IF(AX41&gt;0,FIXED(Fuelbeds_english!AY41*2.54,1,0),AX41)</f>
        <v>-1</v>
      </c>
      <c r="AZ41" s="45">
        <v>1</v>
      </c>
      <c r="BA41" s="36">
        <v>94.4</v>
      </c>
      <c r="BB41" s="52" t="str">
        <f>+IF(BA41&gt;0,FIXED(Fuelbeds_english!BB41*2.54,1,0),BA41)</f>
        <v>5.6</v>
      </c>
      <c r="BC41" s="45">
        <v>100</v>
      </c>
      <c r="BD41" s="45">
        <v>-1</v>
      </c>
      <c r="BE41" s="45">
        <v>-1</v>
      </c>
      <c r="BF41" s="45">
        <v>-1</v>
      </c>
      <c r="BG41" s="45">
        <v>-1</v>
      </c>
      <c r="BH41" s="45">
        <v>-1</v>
      </c>
      <c r="BI41" s="45">
        <v>-1</v>
      </c>
      <c r="BJ41" s="28">
        <v>1</v>
      </c>
      <c r="BK41" s="36">
        <v>94.3</v>
      </c>
      <c r="BL41" s="52" t="str">
        <f>+IF(BK41&gt;0,FIXED(Fuelbeds_english!BL41*2.54,1,0),BK41)</f>
        <v>2.5</v>
      </c>
      <c r="BM41" s="45">
        <v>3</v>
      </c>
      <c r="BN41" s="36">
        <v>94.3</v>
      </c>
      <c r="BO41" s="52" t="str">
        <f>+IF(BN41&gt;0,FIXED(Fuelbeds_english!BO41*2.54,1,0),BN41)</f>
        <v>2.5</v>
      </c>
    </row>
    <row r="42" spans="1:67" s="50" customFormat="1" x14ac:dyDescent="0.25">
      <c r="A42" s="50">
        <v>41</v>
      </c>
      <c r="B42" s="52" t="s">
        <v>219</v>
      </c>
      <c r="C42" s="52">
        <v>911110</v>
      </c>
      <c r="D42" s="21" t="s">
        <v>6</v>
      </c>
      <c r="E42" s="12" t="s">
        <v>9</v>
      </c>
      <c r="F42" s="39">
        <v>11.7</v>
      </c>
      <c r="G42" s="36">
        <v>6.0779220779220777</v>
      </c>
      <c r="H42" s="45">
        <f>+IF(F42&gt;0,INT(Fuelbeds_english!H42*2.471),F42)</f>
        <v>7</v>
      </c>
      <c r="I42" s="36">
        <f>+IF(F42&gt;0,INT(Fuelbeds_english!I42*0.3048),F42)</f>
        <v>14</v>
      </c>
      <c r="J42" s="45">
        <f>+IF(F42&gt;0,INT(Fuelbeds_english!J42*0.3048),F42)</f>
        <v>7</v>
      </c>
      <c r="K42" s="45">
        <f>+IF(F42&gt;0,INT(Fuelbeds_english!K42*2.54),F42)</f>
        <v>37</v>
      </c>
      <c r="L42" s="36">
        <v>29027</v>
      </c>
      <c r="M42" s="36" t="s">
        <v>369</v>
      </c>
      <c r="N42" s="36">
        <v>100</v>
      </c>
      <c r="O42" s="36">
        <v>11.7</v>
      </c>
      <c r="P42" s="45">
        <f>+IF(O42&gt;0,INT(Fuelbeds_english!P42*2.471),O42)</f>
        <v>45</v>
      </c>
      <c r="Q42" s="36">
        <f>+IF(O42&gt;0,INT(Fuelbeds_english!Q42*0.3048),O42)</f>
        <v>7</v>
      </c>
      <c r="R42" s="45">
        <f>+IF(O42&gt;0,INT(Fuelbeds_english!R42*0.3048),O42)</f>
        <v>2</v>
      </c>
      <c r="S42" s="45">
        <f>+IF(O42&gt;0,INT(Fuelbeds_english!S42*2.54),O42)</f>
        <v>8</v>
      </c>
      <c r="T42" s="36">
        <v>29027</v>
      </c>
      <c r="U42" s="36" t="s">
        <v>369</v>
      </c>
      <c r="V42" s="36">
        <v>100</v>
      </c>
      <c r="W42" s="36">
        <v>1</v>
      </c>
      <c r="X42" s="98">
        <v>5</v>
      </c>
      <c r="Y42" s="29">
        <v>46.666666666666664</v>
      </c>
      <c r="Z42" s="88" t="str">
        <f>+IF(Y42&gt;0,FIXED(Fuelbeds_english!Z42*0.3048,1,0),Y42)</f>
        <v>1.6</v>
      </c>
      <c r="AA42" s="46">
        <v>85</v>
      </c>
      <c r="AB42" s="50">
        <v>19092</v>
      </c>
      <c r="AC42" s="50" t="s">
        <v>160</v>
      </c>
      <c r="AD42" s="50">
        <v>100</v>
      </c>
      <c r="AE42" s="42">
        <v>50</v>
      </c>
      <c r="AF42" s="52" t="str">
        <f>+IF(AE42&gt;0,FIXED(Fuelbeds_english!AF42*0.3048,1,0),AE42)</f>
        <v>0.3</v>
      </c>
      <c r="AG42" s="36">
        <v>85</v>
      </c>
      <c r="AH42" s="52" t="str">
        <f>+IF(AE42&gt;0,FIXED(Fuelbeds_english!AH42*2.242,1,0),AE42)</f>
        <v>0.1</v>
      </c>
      <c r="AI42" s="45">
        <v>40450</v>
      </c>
      <c r="AJ42" s="45" t="s">
        <v>148</v>
      </c>
      <c r="AK42" s="45">
        <v>100</v>
      </c>
      <c r="AL42" s="34">
        <v>7.9187817258883246</v>
      </c>
      <c r="AM42" s="52" t="str">
        <f>+IF(AL42&gt;0,FIXED(Fuelbeds_english!AM42*2.54,1,0),AL42)</f>
        <v>3.6</v>
      </c>
      <c r="AN42" s="52" t="str">
        <f>+IF($AM42&gt;0,FIXED(Fuelbeds_english!AN42*2.242,1,0),$AM42)</f>
        <v>0.1</v>
      </c>
      <c r="AO42" s="52" t="str">
        <f>+IF($AM42&gt;0,FIXED(Fuelbeds_english!AO42*2.242,1,0),$AM42)</f>
        <v>0.3</v>
      </c>
      <c r="AP42" s="52" t="str">
        <f>+IF($AM42&gt;0,FIXED(Fuelbeds_english!AP42*2.242,1,0),$AM42)</f>
        <v>0.4</v>
      </c>
      <c r="AQ42" s="52" t="str">
        <f>+IF($AM42&gt;0,FIXED(Fuelbeds_english!AQ42*2.242,1,0),$AM42)</f>
        <v>1.2</v>
      </c>
      <c r="AR42" s="36">
        <v>29027</v>
      </c>
      <c r="AS42" s="45" t="s">
        <v>369</v>
      </c>
      <c r="AT42" s="45">
        <v>100</v>
      </c>
      <c r="AU42" s="44">
        <v>-1</v>
      </c>
      <c r="AV42" s="52">
        <f>+IF(AU42&gt;0,FIXED(Fuelbeds_english!AV42*2.54,1,0),AU42)</f>
        <v>-1</v>
      </c>
      <c r="AW42" s="52">
        <v>-1</v>
      </c>
      <c r="AX42" s="52">
        <v>-1</v>
      </c>
      <c r="AY42" s="52">
        <f>+IF(AX42&gt;0,FIXED(Fuelbeds_english!AY42*2.54,1,0),AX42)</f>
        <v>-1</v>
      </c>
      <c r="AZ42" s="45">
        <v>1</v>
      </c>
      <c r="BA42" s="36">
        <v>15.194805194805195</v>
      </c>
      <c r="BB42" s="52" t="str">
        <f>+IF(BA42&gt;0,FIXED(Fuelbeds_english!BB42*2.54,1,0),BA42)</f>
        <v>2.8</v>
      </c>
      <c r="BC42" s="45">
        <v>-1</v>
      </c>
      <c r="BD42" s="45">
        <v>-1</v>
      </c>
      <c r="BE42" s="45">
        <v>-1</v>
      </c>
      <c r="BF42" s="45">
        <v>-1</v>
      </c>
      <c r="BG42" s="45">
        <v>100</v>
      </c>
      <c r="BH42" s="45">
        <v>-1</v>
      </c>
      <c r="BI42" s="45">
        <v>-1</v>
      </c>
      <c r="BJ42" s="28">
        <v>1</v>
      </c>
      <c r="BK42" s="36">
        <v>15.194805194805195</v>
      </c>
      <c r="BL42" s="52" t="str">
        <f>+IF(BK42&gt;0,FIXED(Fuelbeds_english!BL42*2.54,1,0),BK42)</f>
        <v>1.8</v>
      </c>
      <c r="BM42" s="45">
        <v>3</v>
      </c>
      <c r="BN42" s="36">
        <v>15.194805194805195</v>
      </c>
      <c r="BO42" s="52" t="str">
        <f>+IF(BN42&gt;0,FIXED(Fuelbeds_english!BO42*2.54,1,0),BN42)</f>
        <v>1.8</v>
      </c>
    </row>
    <row r="43" spans="1:67" s="50" customFormat="1" x14ac:dyDescent="0.25">
      <c r="A43" s="50">
        <v>42</v>
      </c>
      <c r="B43" s="51" t="s">
        <v>220</v>
      </c>
      <c r="C43" s="52">
        <v>921110</v>
      </c>
      <c r="D43" s="21" t="s">
        <v>6</v>
      </c>
      <c r="E43" s="12" t="s">
        <v>9</v>
      </c>
      <c r="F43" s="39">
        <v>58.3</v>
      </c>
      <c r="G43" s="36">
        <v>30.285714285714285</v>
      </c>
      <c r="H43" s="45">
        <f>+IF(F43&gt;0,INT(Fuelbeds_english!H43*2.471),F43)</f>
        <v>35</v>
      </c>
      <c r="I43" s="36">
        <f>+IF(F43&gt;0,INT(Fuelbeds_english!I43*0.3048),F43)</f>
        <v>20</v>
      </c>
      <c r="J43" s="45">
        <f>+IF(F43&gt;0,INT(Fuelbeds_english!J43*0.3048),F43)</f>
        <v>10</v>
      </c>
      <c r="K43" s="45">
        <f>+IF(F43&gt;0,INT(Fuelbeds_english!K43*2.54),F43)</f>
        <v>54</v>
      </c>
      <c r="L43" s="36">
        <v>29027</v>
      </c>
      <c r="M43" s="36" t="s">
        <v>369</v>
      </c>
      <c r="N43" s="36">
        <v>100</v>
      </c>
      <c r="O43" s="36">
        <v>58.3</v>
      </c>
      <c r="P43" s="45">
        <f>+IF(O43&gt;0,INT(Fuelbeds_english!P43*2.471),O43)</f>
        <v>227</v>
      </c>
      <c r="Q43" s="36">
        <f>+IF(O43&gt;0,INT(Fuelbeds_english!Q43*0.3048),O43)</f>
        <v>10</v>
      </c>
      <c r="R43" s="45">
        <f>+IF(O43&gt;0,INT(Fuelbeds_english!R43*0.3048),O43)</f>
        <v>3</v>
      </c>
      <c r="S43" s="45">
        <f>+IF(O43&gt;0,INT(Fuelbeds_english!S43*2.54),O43)</f>
        <v>12</v>
      </c>
      <c r="T43" s="36">
        <v>29027</v>
      </c>
      <c r="U43" s="36" t="s">
        <v>369</v>
      </c>
      <c r="V43" s="36">
        <v>100</v>
      </c>
      <c r="W43" s="36">
        <v>1</v>
      </c>
      <c r="X43" s="98">
        <v>5</v>
      </c>
      <c r="Y43" s="29">
        <v>46.666666666666664</v>
      </c>
      <c r="Z43" s="88" t="str">
        <f>+IF(Y43&gt;0,FIXED(Fuelbeds_english!Z43*0.3048,1,0),Y43)</f>
        <v>1.6</v>
      </c>
      <c r="AA43" s="46">
        <v>85</v>
      </c>
      <c r="AB43" s="50">
        <v>19092</v>
      </c>
      <c r="AC43" s="50" t="s">
        <v>160</v>
      </c>
      <c r="AD43" s="50">
        <v>100</v>
      </c>
      <c r="AE43" s="42">
        <v>50</v>
      </c>
      <c r="AF43" s="52" t="str">
        <f>+IF(AE43&gt;0,FIXED(Fuelbeds_english!AF43*0.3048,1,0),AE43)</f>
        <v>0.3</v>
      </c>
      <c r="AG43" s="36">
        <v>85</v>
      </c>
      <c r="AH43" s="52" t="str">
        <f>+IF(AE43&gt;0,FIXED(Fuelbeds_english!AH43*2.242,1,0),AE43)</f>
        <v>0.1</v>
      </c>
      <c r="AI43" s="45">
        <v>40450</v>
      </c>
      <c r="AJ43" s="45" t="s">
        <v>148</v>
      </c>
      <c r="AK43" s="45">
        <v>100</v>
      </c>
      <c r="AL43" s="34">
        <v>39.458544839255495</v>
      </c>
      <c r="AM43" s="52" t="str">
        <f>+IF(AL43&gt;0,FIXED(Fuelbeds_english!AM43*2.54,1,0),AL43)</f>
        <v>3.6</v>
      </c>
      <c r="AN43" s="52" t="str">
        <f>+IF($AM43&gt;0,FIXED(Fuelbeds_english!AN43*2.242,1,0),$AM43)</f>
        <v>0.5</v>
      </c>
      <c r="AO43" s="52" t="str">
        <f>+IF($AM43&gt;0,FIXED(Fuelbeds_english!AO43*2.242,1,0),$AM43)</f>
        <v>1.7</v>
      </c>
      <c r="AP43" s="52" t="str">
        <f>+IF($AM43&gt;0,FIXED(Fuelbeds_english!AP43*2.242,1,0),$AM43)</f>
        <v>2.1</v>
      </c>
      <c r="AQ43" s="52" t="str">
        <f>+IF($AM43&gt;0,FIXED(Fuelbeds_english!AQ43*2.242,1,0),$AM43)</f>
        <v>6.2</v>
      </c>
      <c r="AR43" s="36">
        <v>29027</v>
      </c>
      <c r="AS43" s="45" t="s">
        <v>369</v>
      </c>
      <c r="AT43" s="45">
        <v>100</v>
      </c>
      <c r="AU43" s="44">
        <v>-1</v>
      </c>
      <c r="AV43" s="52">
        <f>+IF(AU43&gt;0,FIXED(Fuelbeds_english!AV43*2.54,1,0),AU43)</f>
        <v>-1</v>
      </c>
      <c r="AW43" s="52">
        <v>-1</v>
      </c>
      <c r="AX43" s="52">
        <v>-1</v>
      </c>
      <c r="AY43" s="52">
        <f>+IF(AX43&gt;0,FIXED(Fuelbeds_english!AY43*2.54,1,0),AX43)</f>
        <v>-1</v>
      </c>
      <c r="AZ43" s="45">
        <v>1</v>
      </c>
      <c r="BA43" s="36">
        <v>75.714285714285708</v>
      </c>
      <c r="BB43" s="52" t="str">
        <f>+IF(BA43&gt;0,FIXED(Fuelbeds_english!BB43*2.54,1,0),BA43)</f>
        <v>2.8</v>
      </c>
      <c r="BC43" s="45">
        <v>-1</v>
      </c>
      <c r="BD43" s="45">
        <v>-1</v>
      </c>
      <c r="BE43" s="45">
        <v>-1</v>
      </c>
      <c r="BF43" s="45">
        <v>-1</v>
      </c>
      <c r="BG43" s="45">
        <v>100</v>
      </c>
      <c r="BH43" s="45">
        <v>-1</v>
      </c>
      <c r="BI43" s="45">
        <v>-1</v>
      </c>
      <c r="BJ43" s="28">
        <v>1</v>
      </c>
      <c r="BK43" s="36">
        <v>75.714285714285708</v>
      </c>
      <c r="BL43" s="52" t="str">
        <f>+IF(BK43&gt;0,FIXED(Fuelbeds_english!BL43*2.54,1,0),BK43)</f>
        <v>1.8</v>
      </c>
      <c r="BM43" s="45">
        <v>3</v>
      </c>
      <c r="BN43" s="36">
        <v>75.714285714285708</v>
      </c>
      <c r="BO43" s="52" t="str">
        <f>+IF(BN43&gt;0,FIXED(Fuelbeds_english!BO43*2.54,1,0),BN43)</f>
        <v>1.8</v>
      </c>
    </row>
    <row r="44" spans="1:67" s="50" customFormat="1" x14ac:dyDescent="0.25">
      <c r="A44" s="50">
        <v>43</v>
      </c>
      <c r="B44" s="67">
        <v>1120</v>
      </c>
      <c r="C44" s="36">
        <v>1120</v>
      </c>
      <c r="D44" s="21" t="s">
        <v>6</v>
      </c>
      <c r="E44" s="13" t="s">
        <v>8</v>
      </c>
      <c r="F44" s="39">
        <v>11.31</v>
      </c>
      <c r="G44" s="36">
        <v>5.8753246753246762</v>
      </c>
      <c r="H44" s="45">
        <f>+IF(F44&gt;0,INT(Fuelbeds_english!H44*2.471),F44)</f>
        <v>6</v>
      </c>
      <c r="I44" s="36">
        <f>+IF(F44&gt;0,INT(Fuelbeds_english!I44*0.3048),F44)</f>
        <v>16</v>
      </c>
      <c r="J44" s="45">
        <f>+IF(F44&gt;0,INT(Fuelbeds_english!J44*0.3048),F44)</f>
        <v>8</v>
      </c>
      <c r="K44" s="45">
        <f>+IF(F44&gt;0,INT(Fuelbeds_english!K44*2.54),F44)</f>
        <v>42</v>
      </c>
      <c r="L44" s="36">
        <v>29027</v>
      </c>
      <c r="M44" s="36" t="s">
        <v>369</v>
      </c>
      <c r="N44" s="36">
        <v>100</v>
      </c>
      <c r="O44" s="36">
        <v>11.31</v>
      </c>
      <c r="P44" s="45">
        <f>+IF(O44&gt;0,INT(Fuelbeds_english!P44*2.471),O44)</f>
        <v>44</v>
      </c>
      <c r="Q44" s="36">
        <f>+IF(O44&gt;0,INT(Fuelbeds_english!Q44*0.3048),O44)</f>
        <v>8</v>
      </c>
      <c r="R44" s="45">
        <f>+IF(O44&gt;0,INT(Fuelbeds_english!R44*0.3048),O44)</f>
        <v>2</v>
      </c>
      <c r="S44" s="45">
        <f>+IF(O44&gt;0,INT(Fuelbeds_english!S44*2.54),O44)</f>
        <v>9</v>
      </c>
      <c r="T44" s="36">
        <v>29027</v>
      </c>
      <c r="U44" s="36" t="s">
        <v>369</v>
      </c>
      <c r="V44" s="36">
        <v>100</v>
      </c>
      <c r="W44" s="36">
        <v>1</v>
      </c>
      <c r="X44" s="98">
        <v>5</v>
      </c>
      <c r="Y44" s="29">
        <v>40</v>
      </c>
      <c r="Z44" s="88" t="str">
        <f>+IF(Y44&gt;0,FIXED(Fuelbeds_english!Z44*0.3048,1,0),Y44)</f>
        <v>1.6</v>
      </c>
      <c r="AA44" s="46">
        <v>85</v>
      </c>
      <c r="AB44" s="50">
        <v>19092</v>
      </c>
      <c r="AC44" s="50" t="s">
        <v>160</v>
      </c>
      <c r="AD44" s="50">
        <v>101</v>
      </c>
      <c r="AE44" s="42">
        <v>60</v>
      </c>
      <c r="AF44" s="52" t="str">
        <f>+IF(AE44&gt;0,FIXED(Fuelbeds_english!AF44*0.3048,1,0),AE44)</f>
        <v>0.3</v>
      </c>
      <c r="AG44" s="36">
        <v>85</v>
      </c>
      <c r="AH44" s="52" t="str">
        <f>+IF(AE44&gt;0,FIXED(Fuelbeds_english!AH44*2.242,1,0),AE44)</f>
        <v>0.1</v>
      </c>
      <c r="AI44" s="45">
        <v>40450</v>
      </c>
      <c r="AJ44" s="45" t="s">
        <v>148</v>
      </c>
      <c r="AK44" s="45">
        <v>100</v>
      </c>
      <c r="AL44" s="34">
        <v>7.654822335025381</v>
      </c>
      <c r="AM44" s="52" t="str">
        <f>+IF(AL44&gt;0,FIXED(Fuelbeds_english!AM44*2.54,1,0),AL44)</f>
        <v>3.6</v>
      </c>
      <c r="AN44" s="52" t="str">
        <f>+IF($AM44&gt;0,FIXED(Fuelbeds_english!AN44*2.242,1,0),$AM44)</f>
        <v>0.1</v>
      </c>
      <c r="AO44" s="52" t="str">
        <f>+IF($AM44&gt;0,FIXED(Fuelbeds_english!AO44*2.242,1,0),$AM44)</f>
        <v>0.3</v>
      </c>
      <c r="AP44" s="52" t="str">
        <f>+IF($AM44&gt;0,FIXED(Fuelbeds_english!AP44*2.242,1,0),$AM44)</f>
        <v>0.4</v>
      </c>
      <c r="AQ44" s="52" t="str">
        <f>+IF($AM44&gt;0,FIXED(Fuelbeds_english!AQ44*2.242,1,0),$AM44)</f>
        <v>1.2</v>
      </c>
      <c r="AR44" s="36">
        <v>29027</v>
      </c>
      <c r="AS44" s="45" t="s">
        <v>369</v>
      </c>
      <c r="AT44" s="45">
        <v>100</v>
      </c>
      <c r="AU44" s="44">
        <v>-1</v>
      </c>
      <c r="AV44" s="52">
        <f>+IF(AU44&gt;0,FIXED(Fuelbeds_english!AV44*2.54,1,0),AU44)</f>
        <v>-1</v>
      </c>
      <c r="AW44" s="52">
        <v>-1</v>
      </c>
      <c r="AX44" s="52">
        <v>-1</v>
      </c>
      <c r="AY44" s="52">
        <f>+IF(AX44&gt;0,FIXED(Fuelbeds_english!AY44*2.54,1,0),AX44)</f>
        <v>-1</v>
      </c>
      <c r="AZ44" s="45">
        <v>1</v>
      </c>
      <c r="BA44" s="36">
        <v>14.688311688311689</v>
      </c>
      <c r="BB44" s="52" t="str">
        <f>+IF(BA44&gt;0,FIXED(Fuelbeds_english!BB44*2.54,1,0),BA44)</f>
        <v>2.8</v>
      </c>
      <c r="BC44" s="45">
        <v>-1</v>
      </c>
      <c r="BD44" s="45">
        <v>-1</v>
      </c>
      <c r="BE44" s="45">
        <v>-1</v>
      </c>
      <c r="BF44" s="45">
        <v>-1</v>
      </c>
      <c r="BG44" s="45">
        <v>100</v>
      </c>
      <c r="BH44" s="45">
        <v>-1</v>
      </c>
      <c r="BI44" s="45">
        <v>-1</v>
      </c>
      <c r="BJ44" s="28">
        <v>1</v>
      </c>
      <c r="BK44" s="36">
        <v>14.688311688311689</v>
      </c>
      <c r="BL44" s="52" t="str">
        <f>+IF(BK44&gt;0,FIXED(Fuelbeds_english!BL44*2.54,1,0),BK44)</f>
        <v>1.8</v>
      </c>
      <c r="BM44" s="45">
        <v>3</v>
      </c>
      <c r="BN44" s="36">
        <v>14.688311688311689</v>
      </c>
      <c r="BO44" s="52" t="str">
        <f>+IF(BN44&gt;0,FIXED(Fuelbeds_english!BO44*2.54,1,0),BN44)</f>
        <v>1.8</v>
      </c>
    </row>
    <row r="45" spans="1:67" s="50" customFormat="1" x14ac:dyDescent="0.25">
      <c r="A45" s="50">
        <v>44</v>
      </c>
      <c r="B45" s="67">
        <v>1130</v>
      </c>
      <c r="C45" s="36">
        <v>1130</v>
      </c>
      <c r="D45" s="21" t="s">
        <v>6</v>
      </c>
      <c r="E45" s="14" t="s">
        <v>10</v>
      </c>
      <c r="F45" s="39">
        <v>-3</v>
      </c>
      <c r="G45" s="36">
        <v>-3</v>
      </c>
      <c r="H45" s="45">
        <f>+IF(F45&gt;0,INT(Fuelbeds_english!H45*2.471),F45)</f>
        <v>-3</v>
      </c>
      <c r="I45" s="36">
        <f>+IF(F45&gt;0,INT(Fuelbeds_english!I45*0.3048),F45)</f>
        <v>-3</v>
      </c>
      <c r="J45" s="45">
        <f>+IF(F45&gt;0,INT(Fuelbeds_english!J45*0.3048),F45)</f>
        <v>-3</v>
      </c>
      <c r="K45" s="45">
        <f>+IF(F45&gt;0,INT(Fuelbeds_english!K45*2.54),F45)</f>
        <v>-3</v>
      </c>
      <c r="L45" s="45">
        <v>-3</v>
      </c>
      <c r="M45" s="45">
        <v>-3</v>
      </c>
      <c r="N45" s="45">
        <v>-3</v>
      </c>
      <c r="O45" s="36">
        <v>-3</v>
      </c>
      <c r="P45" s="45">
        <f>+IF(O45&gt;0,INT(Fuelbeds_english!P45*2.471),O45)</f>
        <v>-3</v>
      </c>
      <c r="Q45" s="36">
        <f>+IF(O45&gt;0,INT(Fuelbeds_english!Q45*0.3048),O45)</f>
        <v>-3</v>
      </c>
      <c r="R45" s="45">
        <f>+IF(O45&gt;0,INT(Fuelbeds_english!R45*0.3048),O45)</f>
        <v>-3</v>
      </c>
      <c r="S45" s="45">
        <f>+IF(O45&gt;0,INT(Fuelbeds_english!S45*2.54),O45)</f>
        <v>-3</v>
      </c>
      <c r="T45" s="45">
        <v>-3</v>
      </c>
      <c r="U45" s="45">
        <v>-3</v>
      </c>
      <c r="V45" s="45">
        <v>-3</v>
      </c>
      <c r="W45" s="45">
        <v>-3</v>
      </c>
      <c r="X45" s="99">
        <v>-3</v>
      </c>
      <c r="Y45" s="29">
        <v>37</v>
      </c>
      <c r="Z45" s="88" t="str">
        <f>+IF(Y45&gt;0,FIXED(Fuelbeds_english!Z45*0.3048,1,0),Y45)</f>
        <v>0.8</v>
      </c>
      <c r="AA45" s="67">
        <v>90</v>
      </c>
      <c r="AB45" s="50">
        <v>28675</v>
      </c>
      <c r="AC45" s="50" t="s">
        <v>375</v>
      </c>
      <c r="AD45" s="50">
        <v>100</v>
      </c>
      <c r="AE45" s="42">
        <v>48</v>
      </c>
      <c r="AF45" s="52" t="str">
        <f>+IF(AE45&gt;0,FIXED(Fuelbeds_english!AF45*0.3048,1,0),AE45)</f>
        <v>0.5</v>
      </c>
      <c r="AG45" s="59">
        <v>90</v>
      </c>
      <c r="AH45" s="52" t="str">
        <f>+IF(AE45&gt;0,FIXED(Fuelbeds_english!AH45*2.242,1,0),AE45)</f>
        <v>6.1</v>
      </c>
      <c r="AI45" s="45">
        <v>40450</v>
      </c>
      <c r="AJ45" s="45" t="s">
        <v>148</v>
      </c>
      <c r="AK45" s="45">
        <v>100</v>
      </c>
      <c r="AL45" s="34">
        <v>30</v>
      </c>
      <c r="AM45" s="52" t="str">
        <f>+IF(AL45&gt;0,FIXED(Fuelbeds_english!AM45*2.54,1,0),AL45)</f>
        <v>1.7</v>
      </c>
      <c r="AN45" s="52" t="str">
        <f>+IF($AM45&gt;0,FIXED(Fuelbeds_english!AN45*2.242,1,0),$AM45)</f>
        <v>1.5</v>
      </c>
      <c r="AO45" s="52" t="str">
        <f>+IF($AM45&gt;0,FIXED(Fuelbeds_english!AO45*2.242,1,0),$AM45)</f>
        <v>3.1</v>
      </c>
      <c r="AP45" s="52" t="str">
        <f>+IF($AM45&gt;0,FIXED(Fuelbeds_english!AP45*2.242,1,0),$AM45)</f>
        <v>0.8</v>
      </c>
      <c r="AQ45" s="52" t="str">
        <f>+IF($AM45&gt;0,FIXED(Fuelbeds_english!AQ45*2.242,1,0),$AM45)</f>
        <v>0.0</v>
      </c>
      <c r="AR45" s="45">
        <v>28675</v>
      </c>
      <c r="AS45" s="45" t="s">
        <v>375</v>
      </c>
      <c r="AT45" s="45">
        <v>100</v>
      </c>
      <c r="AU45" s="44">
        <v>-1</v>
      </c>
      <c r="AV45" s="52">
        <f>+IF(AU45&gt;0,FIXED(Fuelbeds_english!AV45*2.54,1,0),AU45)</f>
        <v>-1</v>
      </c>
      <c r="AW45" s="52">
        <v>-1</v>
      </c>
      <c r="AX45" s="52">
        <v>-1</v>
      </c>
      <c r="AY45" s="52">
        <f>+IF(AX45&gt;0,FIXED(Fuelbeds_english!AY45*2.54,1,0),AX45)</f>
        <v>-1</v>
      </c>
      <c r="AZ45" s="45">
        <v>1</v>
      </c>
      <c r="BA45" s="67">
        <v>60</v>
      </c>
      <c r="BB45" s="52" t="str">
        <f>+IF(BA45&gt;0,FIXED(Fuelbeds_english!BB45*2.54,1,0),BA45)</f>
        <v>2.9</v>
      </c>
      <c r="BC45" s="59">
        <v>-1</v>
      </c>
      <c r="BD45" s="59">
        <v>-1</v>
      </c>
      <c r="BE45" s="59">
        <v>-1</v>
      </c>
      <c r="BF45" s="59">
        <v>-1</v>
      </c>
      <c r="BG45" s="59">
        <v>53</v>
      </c>
      <c r="BH45" s="59">
        <v>-1</v>
      </c>
      <c r="BI45" s="59">
        <v>47</v>
      </c>
      <c r="BJ45" s="28">
        <v>-1</v>
      </c>
      <c r="BK45" s="36">
        <v>-1</v>
      </c>
      <c r="BL45" s="52">
        <f>+IF(BK45&gt;0,FIXED(Fuelbeds_english!BL45*2.54,1,0),BK45)</f>
        <v>-1</v>
      </c>
      <c r="BM45" s="36">
        <v>-1</v>
      </c>
      <c r="BN45" s="36">
        <v>-1</v>
      </c>
      <c r="BO45" s="52">
        <f>+IF(BN45&gt;0,FIXED(Fuelbeds_english!BO45*2.54,1,0),BN45)</f>
        <v>-1</v>
      </c>
    </row>
    <row r="46" spans="1:67" s="50" customFormat="1" x14ac:dyDescent="0.25">
      <c r="A46" s="50">
        <v>45</v>
      </c>
      <c r="B46" s="67">
        <v>1140</v>
      </c>
      <c r="C46" s="36">
        <v>1140</v>
      </c>
      <c r="D46" s="21" t="s">
        <v>6</v>
      </c>
      <c r="E46" s="15" t="s">
        <v>14</v>
      </c>
      <c r="F46" s="39">
        <v>-3</v>
      </c>
      <c r="G46" s="36">
        <v>-3</v>
      </c>
      <c r="H46" s="45">
        <f>+IF(F46&gt;0,INT(Fuelbeds_english!H46*2.471),F46)</f>
        <v>-3</v>
      </c>
      <c r="I46" s="36">
        <f>+IF(F46&gt;0,INT(Fuelbeds_english!I46*0.3048),F46)</f>
        <v>-3</v>
      </c>
      <c r="J46" s="45">
        <f>+IF(F46&gt;0,INT(Fuelbeds_english!J46*0.3048),F46)</f>
        <v>-3</v>
      </c>
      <c r="K46" s="45">
        <f>+IF(F46&gt;0,INT(Fuelbeds_english!K46*2.54),F46)</f>
        <v>-3</v>
      </c>
      <c r="L46" s="45">
        <v>-3</v>
      </c>
      <c r="M46" s="45">
        <v>-3</v>
      </c>
      <c r="N46" s="45">
        <v>-3</v>
      </c>
      <c r="O46" s="36">
        <v>-3</v>
      </c>
      <c r="P46" s="45">
        <f>+IF(O46&gt;0,INT(Fuelbeds_english!P46*2.471),O46)</f>
        <v>-3</v>
      </c>
      <c r="Q46" s="36">
        <f>+IF(O46&gt;0,INT(Fuelbeds_english!Q46*0.3048),O46)</f>
        <v>-3</v>
      </c>
      <c r="R46" s="45">
        <f>+IF(O46&gt;0,INT(Fuelbeds_english!R46*0.3048),O46)</f>
        <v>-3</v>
      </c>
      <c r="S46" s="45">
        <f>+IF(O46&gt;0,INT(Fuelbeds_english!S46*2.54),O46)</f>
        <v>-3</v>
      </c>
      <c r="T46" s="45">
        <v>-3</v>
      </c>
      <c r="U46" s="45">
        <v>-3</v>
      </c>
      <c r="V46" s="45">
        <v>-3</v>
      </c>
      <c r="W46" s="45">
        <v>-3</v>
      </c>
      <c r="X46" s="99">
        <v>-3</v>
      </c>
      <c r="Y46" s="81">
        <v>-3</v>
      </c>
      <c r="Z46" s="88">
        <f>+IF(Y46&gt;0,FIXED(Fuelbeds_english!Z46*0.3048,1,0),Y46)</f>
        <v>-3</v>
      </c>
      <c r="AA46" s="48">
        <v>-3</v>
      </c>
      <c r="AB46" s="10">
        <v>-3</v>
      </c>
      <c r="AC46" s="10">
        <v>-3</v>
      </c>
      <c r="AD46" s="10">
        <v>-3</v>
      </c>
      <c r="AE46" s="42">
        <v>70</v>
      </c>
      <c r="AF46" s="52" t="str">
        <f>+IF(AE46&gt;0,FIXED(Fuelbeds_english!AF46*0.3048,1,0),AE46)</f>
        <v>0.5</v>
      </c>
      <c r="AG46" s="36">
        <v>80</v>
      </c>
      <c r="AH46" s="52" t="str">
        <f>+IF(AE46&gt;0,FIXED(Fuelbeds_english!AH46*2.242,1,0),AE46)</f>
        <v>9.3</v>
      </c>
      <c r="AI46" s="45">
        <v>40450</v>
      </c>
      <c r="AJ46" s="45" t="s">
        <v>148</v>
      </c>
      <c r="AK46" s="45">
        <v>100</v>
      </c>
      <c r="AL46" s="34">
        <v>-3</v>
      </c>
      <c r="AM46" s="52">
        <f>+IF(AL46&gt;0,FIXED(Fuelbeds_english!AM46*2.54,1,0),AL46)</f>
        <v>-3</v>
      </c>
      <c r="AN46" s="52">
        <f>+IF(AM46&gt;0,FIXED(Fuelbeds_english!AN46*0.3048,1,0),AM46)</f>
        <v>-3</v>
      </c>
      <c r="AO46" s="52">
        <f>+IF(AN46&gt;0,FIXED(Fuelbeds_english!AO46*0.3048,1,0),AN46)</f>
        <v>-3</v>
      </c>
      <c r="AP46" s="52">
        <f>+IF(AO46&gt;0,FIXED(Fuelbeds_english!AP46*0.3048,1,0),AO46)</f>
        <v>-3</v>
      </c>
      <c r="AQ46" s="52">
        <f>+IF(AP46&gt;0,FIXED(Fuelbeds_english!AQ46*0.3048,1,0),AP46)</f>
        <v>-3</v>
      </c>
      <c r="AR46" s="36">
        <v>-3</v>
      </c>
      <c r="AS46" s="45">
        <v>-3</v>
      </c>
      <c r="AT46" s="45">
        <v>-3</v>
      </c>
      <c r="AU46" s="44">
        <v>-1</v>
      </c>
      <c r="AV46" s="52">
        <f>+IF(AU46&gt;0,FIXED(Fuelbeds_english!AV46*2.54,1,0),AU46)</f>
        <v>-1</v>
      </c>
      <c r="AW46" s="52">
        <v>-1</v>
      </c>
      <c r="AX46" s="52">
        <v>-1</v>
      </c>
      <c r="AY46" s="52">
        <f>+IF(AX46&gt;0,FIXED(Fuelbeds_english!AY46*2.54,1,0),AX46)</f>
        <v>-1</v>
      </c>
      <c r="AZ46" s="45">
        <v>1</v>
      </c>
      <c r="BA46" s="36">
        <v>51.257017329753481</v>
      </c>
      <c r="BB46" s="52" t="str">
        <f>+IF(BA46&gt;0,FIXED(Fuelbeds_english!BB46*2.54,1,0),BA46)</f>
        <v>3.0</v>
      </c>
      <c r="BC46" s="45">
        <v>-1</v>
      </c>
      <c r="BD46" s="45">
        <v>-1</v>
      </c>
      <c r="BE46" s="45">
        <v>-1</v>
      </c>
      <c r="BF46" s="45">
        <v>-1</v>
      </c>
      <c r="BG46" s="45">
        <v>-1</v>
      </c>
      <c r="BH46" s="45">
        <v>-1</v>
      </c>
      <c r="BI46" s="45">
        <v>100</v>
      </c>
      <c r="BJ46" s="28">
        <v>-1</v>
      </c>
      <c r="BK46" s="36">
        <v>-1</v>
      </c>
      <c r="BL46" s="52">
        <f>+IF(BK46&gt;0,FIXED(Fuelbeds_english!BL46*2.54,1,0),BK46)</f>
        <v>-1</v>
      </c>
      <c r="BM46" s="36">
        <v>-1</v>
      </c>
      <c r="BN46" s="36">
        <v>-1</v>
      </c>
      <c r="BO46" s="52">
        <f>+IF(BN46&gt;0,FIXED(Fuelbeds_english!BO46*2.54,1,0),BN46)</f>
        <v>-1</v>
      </c>
    </row>
    <row r="47" spans="1:67" s="50" customFormat="1" x14ac:dyDescent="0.25">
      <c r="A47" s="50">
        <v>46</v>
      </c>
      <c r="B47" s="51" t="s">
        <v>221</v>
      </c>
      <c r="C47" s="52">
        <v>911160</v>
      </c>
      <c r="D47" s="21" t="s">
        <v>6</v>
      </c>
      <c r="E47" s="74" t="s">
        <v>11</v>
      </c>
      <c r="F47" s="39">
        <v>22</v>
      </c>
      <c r="G47" s="56">
        <v>22</v>
      </c>
      <c r="H47" s="45">
        <f>+IF(F47&gt;0,INT(Fuelbeds_english!H47*2.471),F47)</f>
        <v>19</v>
      </c>
      <c r="I47" s="36">
        <f>+IF(F47&gt;0,INT(Fuelbeds_english!I47*0.3048),F47)</f>
        <v>20</v>
      </c>
      <c r="J47" s="45">
        <f>+IF(F47&gt;0,INT(Fuelbeds_english!J47*0.3048),F47)</f>
        <v>12</v>
      </c>
      <c r="K47" s="45">
        <f>+IF(F47&gt;0,INT(Fuelbeds_english!K47*2.54),F47)</f>
        <v>38</v>
      </c>
      <c r="L47" s="36">
        <v>29027</v>
      </c>
      <c r="M47" s="36" t="s">
        <v>369</v>
      </c>
      <c r="N47" s="36">
        <v>100</v>
      </c>
      <c r="O47" s="36">
        <v>15.529411764705882</v>
      </c>
      <c r="P47" s="45">
        <f>+IF(O47&gt;0,INT(Fuelbeds_english!P47*2.471),O47)</f>
        <v>95</v>
      </c>
      <c r="Q47" s="36">
        <f>+IF(O47&gt;0,INT(Fuelbeds_english!Q47*0.3048),O47)</f>
        <v>12</v>
      </c>
      <c r="R47" s="45">
        <f>+IF(O47&gt;0,INT(Fuelbeds_english!R47*0.3048),O47)</f>
        <v>4</v>
      </c>
      <c r="S47" s="45">
        <f>+IF(O47&gt;0,INT(Fuelbeds_english!S47*2.54),O47)</f>
        <v>20</v>
      </c>
      <c r="T47" s="36">
        <v>29027</v>
      </c>
      <c r="U47" s="36" t="s">
        <v>369</v>
      </c>
      <c r="V47" s="36">
        <v>100</v>
      </c>
      <c r="W47" s="36">
        <v>1</v>
      </c>
      <c r="X47" s="98">
        <v>4</v>
      </c>
      <c r="Y47" s="29">
        <v>32.1935</v>
      </c>
      <c r="Z47" s="88" t="str">
        <f>+IF(Y47&gt;0,FIXED(Fuelbeds_english!Z47*0.3048,1,0),Y47)</f>
        <v>2.4</v>
      </c>
      <c r="AA47" s="46">
        <v>80</v>
      </c>
      <c r="AB47" s="50">
        <v>18101</v>
      </c>
      <c r="AC47" s="50" t="s">
        <v>374</v>
      </c>
      <c r="AD47" s="50">
        <v>100</v>
      </c>
      <c r="AE47" s="42">
        <v>16</v>
      </c>
      <c r="AF47" s="52" t="str">
        <f>+IF(AE47&gt;0,FIXED(Fuelbeds_english!AF47*0.3048,1,0),AE47)</f>
        <v>0.3</v>
      </c>
      <c r="AG47" s="36">
        <v>80</v>
      </c>
      <c r="AH47" s="52" t="str">
        <f>+IF(AE47&gt;0,FIXED(Fuelbeds_english!AH47*2.242,1,0),AE47)</f>
        <v>0.2</v>
      </c>
      <c r="AI47" s="45">
        <v>39878</v>
      </c>
      <c r="AJ47" s="45" t="s">
        <v>373</v>
      </c>
      <c r="AK47" s="45">
        <v>100</v>
      </c>
      <c r="AL47" s="34">
        <v>6.4705882352941178</v>
      </c>
      <c r="AM47" s="52" t="str">
        <f>+IF(AL47&gt;0,FIXED(Fuelbeds_english!AM47*2.54,1,0),AL47)</f>
        <v>0.7</v>
      </c>
      <c r="AN47" s="52" t="str">
        <f>+IF($AM47&gt;0,FIXED(Fuelbeds_english!AN47*2.242,1,0),$AM47)</f>
        <v>0.3</v>
      </c>
      <c r="AO47" s="52" t="str">
        <f>+IF($AM47&gt;0,FIXED(Fuelbeds_english!AO47*2.242,1,0),$AM47)</f>
        <v>0.3</v>
      </c>
      <c r="AP47" s="52" t="str">
        <f>+IF($AM47&gt;0,FIXED(Fuelbeds_english!AP47*2.242,1,0),$AM47)</f>
        <v>0.6</v>
      </c>
      <c r="AQ47" s="52" t="str">
        <f>+IF($AM47&gt;0,FIXED(Fuelbeds_english!AQ47*2.242,1,0),$AM47)</f>
        <v>0.9</v>
      </c>
      <c r="AR47" s="36">
        <v>29027</v>
      </c>
      <c r="AS47" s="36" t="s">
        <v>369</v>
      </c>
      <c r="AT47" s="36">
        <v>100</v>
      </c>
      <c r="AU47" s="44">
        <v>-1</v>
      </c>
      <c r="AV47" s="52">
        <f>+IF(AU47&gt;0,FIXED(Fuelbeds_english!AV47*2.54,1,0),AU47)</f>
        <v>-1</v>
      </c>
      <c r="AW47" s="52">
        <v>1</v>
      </c>
      <c r="AX47" s="52">
        <v>20</v>
      </c>
      <c r="AY47" s="52" t="str">
        <f>+IF(AX47&gt;0,FIXED(Fuelbeds_english!AY47*2.54,1,0),AX47)</f>
        <v>2.5</v>
      </c>
      <c r="AZ47" s="45">
        <v>1</v>
      </c>
      <c r="BA47" s="36">
        <v>24.588235294117649</v>
      </c>
      <c r="BB47" s="52" t="str">
        <f>+IF(BA47&gt;0,FIXED(Fuelbeds_english!BB47*2.54,1,0),BA47)</f>
        <v>3.8</v>
      </c>
      <c r="BC47" s="45">
        <v>-1</v>
      </c>
      <c r="BD47" s="45">
        <v>-1</v>
      </c>
      <c r="BE47" s="45">
        <v>-1</v>
      </c>
      <c r="BF47" s="45">
        <v>-1</v>
      </c>
      <c r="BG47" s="45">
        <v>100</v>
      </c>
      <c r="BH47" s="45">
        <v>-1</v>
      </c>
      <c r="BI47" s="45">
        <v>-1</v>
      </c>
      <c r="BJ47" s="28">
        <v>1</v>
      </c>
      <c r="BK47" s="36">
        <v>19.411764705882351</v>
      </c>
      <c r="BL47" s="52" t="str">
        <f>+IF(BK47&gt;0,FIXED(Fuelbeds_english!BL47*2.54,1,0),BK47)</f>
        <v>2.5</v>
      </c>
      <c r="BM47" s="45">
        <v>3</v>
      </c>
      <c r="BN47" s="36">
        <v>19.411764705882351</v>
      </c>
      <c r="BO47" s="52" t="str">
        <f>+IF(BN47&gt;0,FIXED(Fuelbeds_english!BO47*2.54,1,0),BN47)</f>
        <v>1.3</v>
      </c>
    </row>
    <row r="48" spans="1:67" s="50" customFormat="1" x14ac:dyDescent="0.25">
      <c r="A48" s="50">
        <v>47</v>
      </c>
      <c r="B48" s="51" t="s">
        <v>222</v>
      </c>
      <c r="C48" s="52">
        <v>921160</v>
      </c>
      <c r="D48" s="21" t="s">
        <v>6</v>
      </c>
      <c r="E48" s="74" t="s">
        <v>11</v>
      </c>
      <c r="F48" s="39">
        <v>60.5</v>
      </c>
      <c r="G48" s="56">
        <v>60.5</v>
      </c>
      <c r="H48" s="45">
        <f>+IF(F48&gt;0,INT(Fuelbeds_english!H48*2.471),F48)</f>
        <v>52</v>
      </c>
      <c r="I48" s="36">
        <f>+IF(F48&gt;0,INT(Fuelbeds_english!I48*0.3048),F48)</f>
        <v>25</v>
      </c>
      <c r="J48" s="45">
        <f>+IF(F48&gt;0,INT(Fuelbeds_english!J48*0.3048),F48)</f>
        <v>15</v>
      </c>
      <c r="K48" s="45">
        <f>+IF(F48&gt;0,INT(Fuelbeds_english!K48*2.54),F48)</f>
        <v>47</v>
      </c>
      <c r="L48" s="36">
        <v>29027</v>
      </c>
      <c r="M48" s="36" t="s">
        <v>369</v>
      </c>
      <c r="N48" s="36">
        <v>100</v>
      </c>
      <c r="O48" s="36">
        <v>42.705882352941174</v>
      </c>
      <c r="P48" s="45">
        <f>+IF(O48&gt;0,INT(Fuelbeds_english!P48*2.471),O48)</f>
        <v>263</v>
      </c>
      <c r="Q48" s="36">
        <f>+IF(O48&gt;0,INT(Fuelbeds_english!Q48*0.3048),O48)</f>
        <v>15</v>
      </c>
      <c r="R48" s="45">
        <f>+IF(O48&gt;0,INT(Fuelbeds_english!R48*0.3048),O48)</f>
        <v>6</v>
      </c>
      <c r="S48" s="45">
        <f>+IF(O48&gt;0,INT(Fuelbeds_english!S48*2.54),O48)</f>
        <v>25</v>
      </c>
      <c r="T48" s="36">
        <v>29027</v>
      </c>
      <c r="U48" s="36" t="s">
        <v>369</v>
      </c>
      <c r="V48" s="36">
        <v>100</v>
      </c>
      <c r="W48" s="36">
        <v>1</v>
      </c>
      <c r="X48" s="98">
        <v>4</v>
      </c>
      <c r="Y48" s="29">
        <v>18.150300000000001</v>
      </c>
      <c r="Z48" s="88" t="str">
        <f>+IF(Y48&gt;0,FIXED(Fuelbeds_english!Z48*0.3048,1,0),Y48)</f>
        <v>2.4</v>
      </c>
      <c r="AA48" s="46">
        <v>80</v>
      </c>
      <c r="AB48" s="50">
        <v>18101</v>
      </c>
      <c r="AC48" s="50" t="s">
        <v>374</v>
      </c>
      <c r="AD48" s="50">
        <v>100</v>
      </c>
      <c r="AE48" s="42">
        <v>9</v>
      </c>
      <c r="AF48" s="52" t="str">
        <f>+IF(AE48&gt;0,FIXED(Fuelbeds_english!AF48*0.3048,1,0),AE48)</f>
        <v>0.3</v>
      </c>
      <c r="AG48" s="36">
        <v>80</v>
      </c>
      <c r="AH48" s="52" t="str">
        <f>+IF(AE48&gt;0,FIXED(Fuelbeds_english!AH48*2.242,1,0),AE48)</f>
        <v>0.1</v>
      </c>
      <c r="AI48" s="45">
        <v>39878</v>
      </c>
      <c r="AJ48" s="45" t="s">
        <v>373</v>
      </c>
      <c r="AK48" s="45">
        <v>100</v>
      </c>
      <c r="AL48" s="34">
        <v>17.794117647058822</v>
      </c>
      <c r="AM48" s="52" t="str">
        <f>+IF(AL48&gt;0,FIXED(Fuelbeds_english!AM48*2.54,1,0),AL48)</f>
        <v>1.8</v>
      </c>
      <c r="AN48" s="52" t="str">
        <f>+IF($AM48&gt;0,FIXED(Fuelbeds_english!AN48*2.242,1,0),$AM48)</f>
        <v>0.8</v>
      </c>
      <c r="AO48" s="52" t="str">
        <f>+IF($AM48&gt;0,FIXED(Fuelbeds_english!AO48*2.242,1,0),$AM48)</f>
        <v>0.8</v>
      </c>
      <c r="AP48" s="52" t="str">
        <f>+IF($AM48&gt;0,FIXED(Fuelbeds_english!AP48*2.242,1,0),$AM48)</f>
        <v>1.6</v>
      </c>
      <c r="AQ48" s="52" t="str">
        <f>+IF($AM48&gt;0,FIXED(Fuelbeds_english!AQ48*2.242,1,0),$AM48)</f>
        <v>2.4</v>
      </c>
      <c r="AR48" s="36">
        <v>29027</v>
      </c>
      <c r="AS48" s="36" t="s">
        <v>369</v>
      </c>
      <c r="AT48" s="36">
        <v>100</v>
      </c>
      <c r="AU48" s="44">
        <v>-1</v>
      </c>
      <c r="AV48" s="52">
        <f>+IF(AU48&gt;0,FIXED(Fuelbeds_english!AV48*2.54,1,0),AU48)</f>
        <v>-1</v>
      </c>
      <c r="AW48" s="52">
        <v>1</v>
      </c>
      <c r="AX48" s="52">
        <v>20</v>
      </c>
      <c r="AY48" s="52" t="str">
        <f>+IF(AX48&gt;0,FIXED(Fuelbeds_english!AY48*2.54,1,0),AX48)</f>
        <v>2.5</v>
      </c>
      <c r="AZ48" s="45">
        <v>1</v>
      </c>
      <c r="BA48" s="36">
        <v>67.617647058823536</v>
      </c>
      <c r="BB48" s="52" t="str">
        <f>+IF(BA48&gt;0,FIXED(Fuelbeds_english!BB48*2.54,1,0),BA48)</f>
        <v>3.8</v>
      </c>
      <c r="BC48" s="45">
        <v>-1</v>
      </c>
      <c r="BD48" s="45">
        <v>-1</v>
      </c>
      <c r="BE48" s="45">
        <v>-1</v>
      </c>
      <c r="BF48" s="45">
        <v>-1</v>
      </c>
      <c r="BG48" s="45">
        <v>100</v>
      </c>
      <c r="BH48" s="45">
        <v>-1</v>
      </c>
      <c r="BI48" s="45">
        <v>-1</v>
      </c>
      <c r="BJ48" s="28">
        <v>1</v>
      </c>
      <c r="BK48" s="36">
        <v>53.382352941176471</v>
      </c>
      <c r="BL48" s="52" t="str">
        <f>+IF(BK48&gt;0,FIXED(Fuelbeds_english!BL48*2.54,1,0),BK48)</f>
        <v>2.5</v>
      </c>
      <c r="BM48" s="45">
        <v>3</v>
      </c>
      <c r="BN48" s="36">
        <v>53.382352941176471</v>
      </c>
      <c r="BO48" s="52" t="str">
        <f>+IF(BN48&gt;0,FIXED(Fuelbeds_english!BO48*2.54,1,0),BN48)</f>
        <v>1.3</v>
      </c>
    </row>
    <row r="49" spans="1:68" ht="15" customHeight="1" x14ac:dyDescent="0.25">
      <c r="A49" s="50">
        <v>48</v>
      </c>
      <c r="B49" s="52" t="s">
        <v>223</v>
      </c>
      <c r="C49" s="52">
        <v>931160</v>
      </c>
      <c r="D49" s="22" t="s">
        <v>6</v>
      </c>
      <c r="E49" s="74" t="s">
        <v>11</v>
      </c>
      <c r="F49" s="39">
        <v>77.5</v>
      </c>
      <c r="G49" s="56">
        <v>77.5</v>
      </c>
      <c r="H49" s="45">
        <f>+IF(F49&gt;0,INT(Fuelbeds_english!H49*2.471),F49)</f>
        <v>67</v>
      </c>
      <c r="I49" s="36">
        <f>+IF(F49&gt;0,INT(Fuelbeds_english!I49*0.3048),F49)</f>
        <v>27</v>
      </c>
      <c r="J49" s="45">
        <f>+IF(F49&gt;0,INT(Fuelbeds_english!J49*0.3048),F49)</f>
        <v>16</v>
      </c>
      <c r="K49" s="45">
        <f>+IF(F49&gt;0,INT(Fuelbeds_english!K49*2.54),F49)</f>
        <v>52</v>
      </c>
      <c r="L49" s="36">
        <v>29027</v>
      </c>
      <c r="M49" s="36" t="s">
        <v>369</v>
      </c>
      <c r="N49" s="36">
        <v>100</v>
      </c>
      <c r="O49" s="36">
        <v>54.705882352941174</v>
      </c>
      <c r="P49" s="45">
        <f>+IF(O49&gt;0,INT(Fuelbeds_english!P49*2.471),O49)</f>
        <v>337</v>
      </c>
      <c r="Q49" s="36">
        <f>+IF(O49&gt;0,INT(Fuelbeds_english!Q49*0.3048),O49)</f>
        <v>16</v>
      </c>
      <c r="R49" s="45">
        <f>+IF(O49&gt;0,INT(Fuelbeds_english!R49*0.3048),O49)</f>
        <v>6</v>
      </c>
      <c r="S49" s="45">
        <f>+IF(O49&gt;0,INT(Fuelbeds_english!S49*2.54),O49)</f>
        <v>27</v>
      </c>
      <c r="T49" s="36">
        <v>29027</v>
      </c>
      <c r="U49" s="36" t="s">
        <v>369</v>
      </c>
      <c r="V49" s="36">
        <v>100</v>
      </c>
      <c r="W49" s="36">
        <v>1</v>
      </c>
      <c r="X49" s="98">
        <v>4</v>
      </c>
      <c r="Y49" s="29">
        <v>14.3916</v>
      </c>
      <c r="Z49" s="88" t="str">
        <f>+IF(Y49&gt;0,FIXED(Fuelbeds_english!Z49*0.3048,1,0),Y49)</f>
        <v>2.4</v>
      </c>
      <c r="AA49" s="46">
        <v>80</v>
      </c>
      <c r="AB49" s="50">
        <v>18101</v>
      </c>
      <c r="AC49" s="50" t="s">
        <v>374</v>
      </c>
      <c r="AD49" s="50">
        <v>100</v>
      </c>
      <c r="AE49" s="42">
        <v>7</v>
      </c>
      <c r="AF49" s="52" t="str">
        <f>+IF(AE49&gt;0,FIXED(Fuelbeds_english!AF49*0.3048,1,0),AE49)</f>
        <v>0.3</v>
      </c>
      <c r="AG49" s="36">
        <v>80</v>
      </c>
      <c r="AH49" s="52" t="str">
        <f>+IF(AE49&gt;0,FIXED(Fuelbeds_english!AH49*2.242,1,0),AE49)</f>
        <v>0.1</v>
      </c>
      <c r="AI49" s="45">
        <v>39878</v>
      </c>
      <c r="AJ49" s="45" t="s">
        <v>373</v>
      </c>
      <c r="AK49" s="45">
        <v>100</v>
      </c>
      <c r="AL49" s="34">
        <v>22.794117647058822</v>
      </c>
      <c r="AM49" s="52" t="str">
        <f>+IF(AL49&gt;0,FIXED(Fuelbeds_english!AM49*2.54,1,0),AL49)</f>
        <v>2.3</v>
      </c>
      <c r="AN49" s="52" t="str">
        <f>+IF($AM49&gt;0,FIXED(Fuelbeds_english!AN49*2.242,1,0),$AM49)</f>
        <v>1.0</v>
      </c>
      <c r="AO49" s="52" t="str">
        <f>+IF($AM49&gt;0,FIXED(Fuelbeds_english!AO49*2.242,1,0),$AM49)</f>
        <v>1.0</v>
      </c>
      <c r="AP49" s="52" t="str">
        <f>+IF($AM49&gt;0,FIXED(Fuelbeds_english!AP49*2.242,1,0),$AM49)</f>
        <v>2.0</v>
      </c>
      <c r="AQ49" s="52" t="str">
        <f>+IF($AM49&gt;0,FIXED(Fuelbeds_english!AQ49*2.242,1,0),$AM49)</f>
        <v>3.1</v>
      </c>
      <c r="AR49" s="36">
        <v>29027</v>
      </c>
      <c r="AS49" s="36" t="s">
        <v>369</v>
      </c>
      <c r="AT49" s="36">
        <v>100</v>
      </c>
      <c r="AU49" s="44">
        <v>-1</v>
      </c>
      <c r="AV49" s="52">
        <f>+IF(AU49&gt;0,FIXED(Fuelbeds_english!AV49*2.54,1,0),AU49)</f>
        <v>-1</v>
      </c>
      <c r="AW49" s="52">
        <v>1</v>
      </c>
      <c r="AX49" s="52">
        <v>20</v>
      </c>
      <c r="AY49" s="52" t="str">
        <f>+IF(AX49&gt;0,FIXED(Fuelbeds_english!AY49*2.54,1,0),AX49)</f>
        <v>2.5</v>
      </c>
      <c r="AZ49" s="45">
        <v>1</v>
      </c>
      <c r="BA49" s="36">
        <v>86.617647058823536</v>
      </c>
      <c r="BB49" s="52" t="str">
        <f>+IF(BA49&gt;0,FIXED(Fuelbeds_english!BB49*2.54,1,0),BA49)</f>
        <v>3.8</v>
      </c>
      <c r="BC49" s="45">
        <v>-1</v>
      </c>
      <c r="BD49" s="45">
        <v>-1</v>
      </c>
      <c r="BE49" s="45">
        <v>-1</v>
      </c>
      <c r="BF49" s="45">
        <v>-1</v>
      </c>
      <c r="BG49" s="45">
        <v>100</v>
      </c>
      <c r="BH49" s="45">
        <v>-1</v>
      </c>
      <c r="BI49" s="45">
        <v>-1</v>
      </c>
      <c r="BJ49" s="28">
        <v>1</v>
      </c>
      <c r="BK49" s="36">
        <v>68.382352941176464</v>
      </c>
      <c r="BL49" s="52" t="str">
        <f>+IF(BK49&gt;0,FIXED(Fuelbeds_english!BL49*2.54,1,0),BK49)</f>
        <v>2.5</v>
      </c>
      <c r="BM49" s="45">
        <v>3</v>
      </c>
      <c r="BN49" s="36">
        <v>68.382352941176464</v>
      </c>
      <c r="BO49" s="52" t="str">
        <f>+IF(BN49&gt;0,FIXED(Fuelbeds_english!BO49*2.54,1,0),BN49)</f>
        <v>1.3</v>
      </c>
    </row>
    <row r="50" spans="1:68" ht="15" customHeight="1" x14ac:dyDescent="0.25">
      <c r="A50" s="50">
        <v>49</v>
      </c>
      <c r="B50" s="67">
        <v>1180</v>
      </c>
      <c r="C50" s="36">
        <v>1180</v>
      </c>
      <c r="D50" s="21" t="s">
        <v>6</v>
      </c>
      <c r="E50" s="16" t="s">
        <v>13</v>
      </c>
      <c r="F50" s="39">
        <v>-3</v>
      </c>
      <c r="G50" s="36">
        <v>-3</v>
      </c>
      <c r="H50" s="45">
        <f>+IF(F50&gt;0,INT(Fuelbeds_english!H50*2.471),F50)</f>
        <v>-3</v>
      </c>
      <c r="I50" s="36">
        <f>+IF(F50&gt;0,INT(Fuelbeds_english!I50*0.3048),F50)</f>
        <v>-3</v>
      </c>
      <c r="J50" s="45">
        <f>+IF(F50&gt;0,INT(Fuelbeds_english!J50*0.3048),F50)</f>
        <v>-3</v>
      </c>
      <c r="K50" s="45">
        <f>+IF(F50&gt;0,INT(Fuelbeds_english!K50*2.54),F50)</f>
        <v>-3</v>
      </c>
      <c r="L50" s="45">
        <v>-3</v>
      </c>
      <c r="M50" s="45">
        <v>-3</v>
      </c>
      <c r="N50" s="45">
        <v>-3</v>
      </c>
      <c r="O50" s="36">
        <v>-3</v>
      </c>
      <c r="P50" s="45">
        <f>+IF(O50&gt;0,INT(Fuelbeds_english!P50*2.471),O50)</f>
        <v>-3</v>
      </c>
      <c r="Q50" s="36">
        <f>+IF(O50&gt;0,INT(Fuelbeds_english!Q50*0.3048),O50)</f>
        <v>-3</v>
      </c>
      <c r="R50" s="45">
        <f>+IF(O50&gt;0,INT(Fuelbeds_english!R50*0.3048),O50)</f>
        <v>-3</v>
      </c>
      <c r="S50" s="45">
        <f>+IF(O50&gt;0,INT(Fuelbeds_english!S50*2.54),O50)</f>
        <v>-3</v>
      </c>
      <c r="T50" s="45">
        <v>-3</v>
      </c>
      <c r="U50" s="45">
        <v>-3</v>
      </c>
      <c r="V50" s="45">
        <v>-3</v>
      </c>
      <c r="W50" s="45">
        <v>-3</v>
      </c>
      <c r="X50" s="99">
        <v>-3</v>
      </c>
      <c r="Y50" s="81">
        <v>-1</v>
      </c>
      <c r="Z50" s="88">
        <f>+IF(Y50&gt;0,FIXED(Fuelbeds_english!Z50*0.3048,1,0),Y50)</f>
        <v>-1</v>
      </c>
      <c r="AA50" s="48">
        <v>-1</v>
      </c>
      <c r="AB50" s="10">
        <v>-1</v>
      </c>
      <c r="AC50" s="10">
        <v>-1</v>
      </c>
      <c r="AD50" s="10">
        <v>-1</v>
      </c>
      <c r="AE50" s="42">
        <v>47</v>
      </c>
      <c r="AF50" s="52" t="str">
        <f>+IF(AE50&gt;0,FIXED(Fuelbeds_english!AF50*0.3048,1,0),AE50)</f>
        <v>0.9</v>
      </c>
      <c r="AG50" s="36">
        <v>70</v>
      </c>
      <c r="AH50" s="52" t="str">
        <f>+IF(AE50&gt;0,FIXED(Fuelbeds_english!AH50*2.242,1,0),AE50)</f>
        <v>3.2</v>
      </c>
      <c r="AI50" s="45">
        <v>39878</v>
      </c>
      <c r="AJ50" s="45" t="s">
        <v>373</v>
      </c>
      <c r="AK50" s="45">
        <v>100</v>
      </c>
      <c r="AL50" s="34">
        <v>-1</v>
      </c>
      <c r="AM50" s="52">
        <f>+IF(AL50&gt;0,FIXED(Fuelbeds_english!AM50*2.54,1,0),AL50)</f>
        <v>-1</v>
      </c>
      <c r="AN50" s="52">
        <f>+IF(AM50&gt;0,FIXED(Fuelbeds_english!AN50*0.3048,1,0),AM50)</f>
        <v>-1</v>
      </c>
      <c r="AO50" s="52">
        <f>+IF(AN50&gt;0,FIXED(Fuelbeds_english!AO50*0.3048,1,0),AN50)</f>
        <v>-1</v>
      </c>
      <c r="AP50" s="52">
        <f>+IF(AO50&gt;0,FIXED(Fuelbeds_english!AP50*0.3048,1,0),AO50)</f>
        <v>-1</v>
      </c>
      <c r="AQ50" s="52">
        <f>+IF(AP50&gt;0,FIXED(Fuelbeds_english!AQ50*0.3048,1,0),AP50)</f>
        <v>-1</v>
      </c>
      <c r="AR50" s="36">
        <v>-1</v>
      </c>
      <c r="AS50" s="36">
        <v>-1</v>
      </c>
      <c r="AT50" s="36">
        <v>-1</v>
      </c>
      <c r="AU50" s="44">
        <v>-1</v>
      </c>
      <c r="AV50" s="52">
        <f>+IF(AU50&gt;0,FIXED(Fuelbeds_english!AV50*2.54,1,0),AU50)</f>
        <v>-1</v>
      </c>
      <c r="AW50" s="52">
        <v>-1</v>
      </c>
      <c r="AX50" s="52">
        <v>-1</v>
      </c>
      <c r="AY50" s="52">
        <f>+IF(AX50&gt;0,FIXED(Fuelbeds_english!AY50*2.54,1,0),AX50)</f>
        <v>-1</v>
      </c>
      <c r="AZ50" s="45">
        <v>1</v>
      </c>
      <c r="BA50" s="36">
        <v>47</v>
      </c>
      <c r="BB50" s="52" t="str">
        <f>+IF(BA50&gt;0,FIXED(Fuelbeds_english!BB50*2.54,1,0),BA50)</f>
        <v>5.1</v>
      </c>
      <c r="BC50" s="45">
        <v>-1</v>
      </c>
      <c r="BD50" s="45">
        <v>-1</v>
      </c>
      <c r="BE50" s="45">
        <v>-1</v>
      </c>
      <c r="BF50" s="45">
        <v>-1</v>
      </c>
      <c r="BG50" s="45">
        <v>-1</v>
      </c>
      <c r="BH50" s="45">
        <v>-1</v>
      </c>
      <c r="BI50" s="45">
        <v>100</v>
      </c>
      <c r="BJ50" s="28">
        <v>-1</v>
      </c>
      <c r="BK50" s="36">
        <v>-1</v>
      </c>
      <c r="BL50" s="52">
        <f>+IF(BK50&gt;0,FIXED(Fuelbeds_english!BL50*2.54,1,0),BK50)</f>
        <v>-1</v>
      </c>
      <c r="BM50" s="36">
        <v>-1</v>
      </c>
      <c r="BN50" s="36">
        <v>-1</v>
      </c>
      <c r="BO50" s="52">
        <f>+IF(BN50&gt;0,FIXED(Fuelbeds_english!BO50*2.54,1,0),BN50)</f>
        <v>-1</v>
      </c>
    </row>
    <row r="51" spans="1:68" ht="15" customHeight="1" x14ac:dyDescent="0.25">
      <c r="A51" s="50">
        <v>50</v>
      </c>
      <c r="B51" s="36">
        <v>2010</v>
      </c>
      <c r="C51" s="46">
        <v>2010</v>
      </c>
      <c r="D51" s="45" t="s">
        <v>7</v>
      </c>
      <c r="E51" s="25" t="s">
        <v>410</v>
      </c>
      <c r="F51" s="39">
        <v>-3</v>
      </c>
      <c r="G51" s="45">
        <v>-3</v>
      </c>
      <c r="H51" s="45">
        <f>+IF(F51&gt;0,INT(Fuelbeds_english!H51*2.471),F51)</f>
        <v>-3</v>
      </c>
      <c r="I51" s="36">
        <f>+IF(F51&gt;0,INT(Fuelbeds_english!I51*0.3048),F51)</f>
        <v>-3</v>
      </c>
      <c r="J51" s="45">
        <f>+IF(F51&gt;0,INT(Fuelbeds_english!J51*0.3048),F51)</f>
        <v>-3</v>
      </c>
      <c r="K51" s="45">
        <f>+IF(F51&gt;0,INT(Fuelbeds_english!K51*2.54),F51)</f>
        <v>-3</v>
      </c>
      <c r="L51" s="45">
        <v>-3</v>
      </c>
      <c r="M51" s="45">
        <v>-3</v>
      </c>
      <c r="N51" s="45">
        <v>-3</v>
      </c>
      <c r="O51" s="45">
        <v>-3</v>
      </c>
      <c r="P51" s="45">
        <f>+IF(O51&gt;0,INT(Fuelbeds_english!P51*2.471),O51)</f>
        <v>-3</v>
      </c>
      <c r="Q51" s="36">
        <f>+IF(O51&gt;0,INT(Fuelbeds_english!Q51*0.3048),O51)</f>
        <v>-3</v>
      </c>
      <c r="R51" s="45">
        <f>+IF(O51&gt;0,INT(Fuelbeds_english!R51*0.3048),O51)</f>
        <v>-3</v>
      </c>
      <c r="S51" s="45">
        <f>+IF(O51&gt;0,INT(Fuelbeds_english!S51*2.54),O51)</f>
        <v>-3</v>
      </c>
      <c r="T51" s="45">
        <v>-3</v>
      </c>
      <c r="U51" s="45">
        <v>-3</v>
      </c>
      <c r="V51" s="45">
        <v>-3</v>
      </c>
      <c r="W51" s="45">
        <v>-3</v>
      </c>
      <c r="X51" s="99">
        <v>-3</v>
      </c>
      <c r="Y51" s="81">
        <v>-3</v>
      </c>
      <c r="Z51" s="88">
        <f>+IF(Y51&gt;0,FIXED(Fuelbeds_english!Z51*0.3048,1,0),Y51)</f>
        <v>-3</v>
      </c>
      <c r="AA51" s="48">
        <v>-3</v>
      </c>
      <c r="AB51" s="10">
        <v>-3</v>
      </c>
      <c r="AC51" s="10">
        <v>-3</v>
      </c>
      <c r="AD51" s="10">
        <v>-3</v>
      </c>
      <c r="AE51" s="42">
        <v>100</v>
      </c>
      <c r="AF51" s="52" t="str">
        <f>+IF(AE51&gt;0,FIXED(Fuelbeds_english!AF51*0.3048,1,0),AE51)</f>
        <v>0.2</v>
      </c>
      <c r="AG51" s="36">
        <v>0</v>
      </c>
      <c r="AH51" s="52" t="str">
        <f>+IF(AE51&gt;0,FIXED(Fuelbeds_english!AH51*2.242,1,0),AE51)</f>
        <v>0.4</v>
      </c>
      <c r="AI51" s="45">
        <v>42236</v>
      </c>
      <c r="AJ51" s="45" t="s">
        <v>207</v>
      </c>
      <c r="AK51" s="45">
        <v>100</v>
      </c>
      <c r="AL51" s="34">
        <v>-3</v>
      </c>
      <c r="AM51" s="52">
        <f>+IF(AL51&gt;0,FIXED(Fuelbeds_english!AM51*2.54,1,0),AL51)</f>
        <v>-3</v>
      </c>
      <c r="AN51" s="52">
        <f>+IF(AM51&gt;0,FIXED(Fuelbeds_english!AN51*0.3048,1,0),AM51)</f>
        <v>-3</v>
      </c>
      <c r="AO51" s="52">
        <f>+IF(AN51&gt;0,FIXED(Fuelbeds_english!AO51*0.3048,1,0),AN51)</f>
        <v>-3</v>
      </c>
      <c r="AP51" s="52">
        <f>+IF(AO51&gt;0,FIXED(Fuelbeds_english!AP51*0.3048,1,0),AO51)</f>
        <v>-3</v>
      </c>
      <c r="AQ51" s="52">
        <f>+IF(AP51&gt;0,FIXED(Fuelbeds_english!AQ51*0.3048,1,0),AP51)</f>
        <v>-3</v>
      </c>
      <c r="AR51" s="36">
        <v>-3</v>
      </c>
      <c r="AS51" s="36">
        <v>-3</v>
      </c>
      <c r="AT51" s="36">
        <v>-3</v>
      </c>
      <c r="AU51" s="44">
        <v>-1</v>
      </c>
      <c r="AV51" s="52">
        <f>+IF(AU51&gt;0,FIXED(Fuelbeds_english!AV51*2.54,1,0),AU51)</f>
        <v>-1</v>
      </c>
      <c r="AW51" s="52">
        <v>-1</v>
      </c>
      <c r="AX51" s="52">
        <v>-1</v>
      </c>
      <c r="AY51" s="52">
        <f>+IF(AX51&gt;0,FIXED(Fuelbeds_english!AY51*2.54,1,0),AX51)</f>
        <v>-1</v>
      </c>
      <c r="AZ51" s="45">
        <v>2</v>
      </c>
      <c r="BA51" s="36">
        <v>65</v>
      </c>
      <c r="BB51" s="52" t="str">
        <f>+IF(BA51&gt;0,FIXED(Fuelbeds_english!BB51*2.54,1,0),BA51)</f>
        <v>1.3</v>
      </c>
      <c r="BC51" s="53">
        <v>-1</v>
      </c>
      <c r="BD51" s="53">
        <v>-1</v>
      </c>
      <c r="BE51" s="53">
        <v>-1</v>
      </c>
      <c r="BF51" s="53">
        <v>-1</v>
      </c>
      <c r="BG51" s="53">
        <v>-1</v>
      </c>
      <c r="BH51" s="53">
        <v>-1</v>
      </c>
      <c r="BI51" s="45">
        <v>100</v>
      </c>
      <c r="BJ51" s="28">
        <v>-1</v>
      </c>
      <c r="BK51" s="36">
        <v>-1</v>
      </c>
      <c r="BL51" s="52">
        <f>+IF(BK51&gt;0,FIXED(Fuelbeds_english!BL51*2.54,1,0),BK51)</f>
        <v>-1</v>
      </c>
      <c r="BM51" s="36">
        <v>-1</v>
      </c>
      <c r="BN51" s="36">
        <v>-1</v>
      </c>
      <c r="BO51" s="52">
        <f>+IF(BN51&gt;0,FIXED(Fuelbeds_english!BO51*2.54,1,0),BN51)</f>
        <v>-1</v>
      </c>
    </row>
    <row r="52" spans="1:68" ht="15" customHeight="1" x14ac:dyDescent="0.25">
      <c r="A52" s="50">
        <v>51</v>
      </c>
      <c r="B52" s="36">
        <v>2011</v>
      </c>
      <c r="C52" s="46">
        <v>2011</v>
      </c>
      <c r="D52" s="45" t="s">
        <v>7</v>
      </c>
      <c r="E52" s="25" t="s">
        <v>411</v>
      </c>
      <c r="F52" s="39">
        <v>-3</v>
      </c>
      <c r="G52" s="45">
        <v>-3</v>
      </c>
      <c r="H52" s="45">
        <f>+IF(F52&gt;0,INT(Fuelbeds_english!H52*2.471),F52)</f>
        <v>-3</v>
      </c>
      <c r="I52" s="36">
        <f>+IF(F52&gt;0,INT(Fuelbeds_english!I52*0.3048),F52)</f>
        <v>-3</v>
      </c>
      <c r="J52" s="45">
        <f>+IF(F52&gt;0,INT(Fuelbeds_english!J52*0.3048),F52)</f>
        <v>-3</v>
      </c>
      <c r="K52" s="45">
        <f>+IF(F52&gt;0,INT(Fuelbeds_english!K52*2.54),F52)</f>
        <v>-3</v>
      </c>
      <c r="L52" s="45">
        <v>-3</v>
      </c>
      <c r="M52" s="45">
        <v>-3</v>
      </c>
      <c r="N52" s="45">
        <v>-3</v>
      </c>
      <c r="O52" s="45">
        <v>-3</v>
      </c>
      <c r="P52" s="45">
        <f>+IF(O52&gt;0,INT(Fuelbeds_english!P52*2.471),O52)</f>
        <v>-3</v>
      </c>
      <c r="Q52" s="36">
        <f>+IF(O52&gt;0,INT(Fuelbeds_english!Q52*0.3048),O52)</f>
        <v>-3</v>
      </c>
      <c r="R52" s="45">
        <f>+IF(O52&gt;0,INT(Fuelbeds_english!R52*0.3048),O52)</f>
        <v>-3</v>
      </c>
      <c r="S52" s="45">
        <f>+IF(O52&gt;0,INT(Fuelbeds_english!S52*2.54),O52)</f>
        <v>-3</v>
      </c>
      <c r="T52" s="45">
        <v>-3</v>
      </c>
      <c r="U52" s="45">
        <v>-3</v>
      </c>
      <c r="V52" s="45">
        <v>-3</v>
      </c>
      <c r="W52" s="45">
        <v>-3</v>
      </c>
      <c r="X52" s="99">
        <v>-3</v>
      </c>
      <c r="Y52" s="81">
        <v>-3</v>
      </c>
      <c r="Z52" s="88">
        <f>+IF(Y52&gt;0,FIXED(Fuelbeds_english!Z52*0.3048,1,0),Y52)</f>
        <v>-3</v>
      </c>
      <c r="AA52" s="48">
        <v>-3</v>
      </c>
      <c r="AB52" s="10">
        <v>-3</v>
      </c>
      <c r="AC52" s="10">
        <v>-3</v>
      </c>
      <c r="AD52" s="10">
        <v>-3</v>
      </c>
      <c r="AE52" s="42">
        <v>100</v>
      </c>
      <c r="AF52" s="52" t="str">
        <f>+IF(AE52&gt;0,FIXED(Fuelbeds_english!AF52*0.3048,1,0),AE52)</f>
        <v>0.2</v>
      </c>
      <c r="AG52" s="45">
        <v>0</v>
      </c>
      <c r="AH52" s="52" t="str">
        <f>+IF(AE52&gt;0,FIXED(Fuelbeds_english!AH52*2.242,1,0),AE52)</f>
        <v>2.9</v>
      </c>
      <c r="AI52" s="45">
        <v>41976</v>
      </c>
      <c r="AJ52" s="45" t="s">
        <v>209</v>
      </c>
      <c r="AK52" s="45">
        <v>100</v>
      </c>
      <c r="AL52" s="34">
        <v>-3</v>
      </c>
      <c r="AM52" s="52">
        <f>+IF(AL52&gt;0,FIXED(Fuelbeds_english!AM52*2.54,1,0),AL52)</f>
        <v>-3</v>
      </c>
      <c r="AN52" s="52">
        <f>+IF(AM52&gt;0,FIXED(Fuelbeds_english!AN52*0.3048,1,0),AM52)</f>
        <v>-3</v>
      </c>
      <c r="AO52" s="52">
        <f>+IF(AN52&gt;0,FIXED(Fuelbeds_english!AO52*0.3048,1,0),AN52)</f>
        <v>-3</v>
      </c>
      <c r="AP52" s="52">
        <f>+IF(AO52&gt;0,FIXED(Fuelbeds_english!AP52*0.3048,1,0),AO52)</f>
        <v>-3</v>
      </c>
      <c r="AQ52" s="52">
        <f>+IF(AP52&gt;0,FIXED(Fuelbeds_english!AQ52*0.3048,1,0),AP52)</f>
        <v>-3</v>
      </c>
      <c r="AR52" s="36">
        <v>-3</v>
      </c>
      <c r="AS52" s="36">
        <v>-3</v>
      </c>
      <c r="AT52" s="36">
        <v>-3</v>
      </c>
      <c r="AU52" s="44">
        <v>-1</v>
      </c>
      <c r="AV52" s="52">
        <f>+IF(AU52&gt;0,FIXED(Fuelbeds_english!AV52*2.54,1,0),AU52)</f>
        <v>-1</v>
      </c>
      <c r="AW52" s="52">
        <v>-1</v>
      </c>
      <c r="AX52" s="52">
        <v>-1</v>
      </c>
      <c r="AY52" s="52">
        <f>+IF(AX52&gt;0,FIXED(Fuelbeds_english!AY52*2.54,1,0),AX52)</f>
        <v>-1</v>
      </c>
      <c r="AZ52" s="45">
        <v>2</v>
      </c>
      <c r="BA52" s="36">
        <v>65</v>
      </c>
      <c r="BB52" s="52" t="str">
        <f>+IF(BA52&gt;0,FIXED(Fuelbeds_english!BB52*2.54,1,0),BA52)</f>
        <v>1.3</v>
      </c>
      <c r="BC52" s="53">
        <v>-1</v>
      </c>
      <c r="BD52" s="53">
        <v>-1</v>
      </c>
      <c r="BE52" s="53">
        <v>-1</v>
      </c>
      <c r="BF52" s="53">
        <v>-1</v>
      </c>
      <c r="BG52" s="53">
        <v>-1</v>
      </c>
      <c r="BH52" s="53">
        <v>-1</v>
      </c>
      <c r="BI52" s="45">
        <v>100</v>
      </c>
      <c r="BJ52" s="28">
        <v>-1</v>
      </c>
      <c r="BK52" s="36">
        <v>-1</v>
      </c>
      <c r="BL52" s="52">
        <f>+IF(BK52&gt;0,FIXED(Fuelbeds_english!BL52*2.54,1,0),BK52)</f>
        <v>-1</v>
      </c>
      <c r="BM52" s="36">
        <v>-1</v>
      </c>
      <c r="BN52" s="36">
        <v>-1</v>
      </c>
      <c r="BO52" s="52">
        <f>+IF(BN52&gt;0,FIXED(Fuelbeds_english!BO52*2.54,1,0),BN52)</f>
        <v>-1</v>
      </c>
    </row>
    <row r="53" spans="1:68" ht="15" customHeight="1" x14ac:dyDescent="0.25">
      <c r="A53" s="50">
        <v>52</v>
      </c>
      <c r="B53" s="36">
        <v>2012</v>
      </c>
      <c r="C53" s="46">
        <v>2012</v>
      </c>
      <c r="D53" s="45" t="s">
        <v>7</v>
      </c>
      <c r="E53" s="25" t="s">
        <v>412</v>
      </c>
      <c r="F53" s="39">
        <v>-3</v>
      </c>
      <c r="G53" s="45">
        <v>-3</v>
      </c>
      <c r="H53" s="45">
        <f>+IF(F53&gt;0,INT(Fuelbeds_english!H53*2.471),F53)</f>
        <v>-3</v>
      </c>
      <c r="I53" s="36">
        <f>+IF(F53&gt;0,INT(Fuelbeds_english!I53*0.3048),F53)</f>
        <v>-3</v>
      </c>
      <c r="J53" s="45">
        <f>+IF(F53&gt;0,INT(Fuelbeds_english!J53*0.3048),F53)</f>
        <v>-3</v>
      </c>
      <c r="K53" s="45">
        <f>+IF(F53&gt;0,INT(Fuelbeds_english!K53*2.54),F53)</f>
        <v>-3</v>
      </c>
      <c r="L53" s="45">
        <v>-3</v>
      </c>
      <c r="M53" s="45">
        <v>-3</v>
      </c>
      <c r="N53" s="45">
        <v>-3</v>
      </c>
      <c r="O53" s="45">
        <v>-3</v>
      </c>
      <c r="P53" s="45">
        <f>+IF(O53&gt;0,INT(Fuelbeds_english!P53*2.471),O53)</f>
        <v>-3</v>
      </c>
      <c r="Q53" s="36">
        <f>+IF(O53&gt;0,INT(Fuelbeds_english!Q53*0.3048),O53)</f>
        <v>-3</v>
      </c>
      <c r="R53" s="45">
        <f>+IF(O53&gt;0,INT(Fuelbeds_english!R53*0.3048),O53)</f>
        <v>-3</v>
      </c>
      <c r="S53" s="45">
        <f>+IF(O53&gt;0,INT(Fuelbeds_english!S53*2.54),O53)</f>
        <v>-3</v>
      </c>
      <c r="T53" s="45">
        <v>-3</v>
      </c>
      <c r="U53" s="45">
        <v>-3</v>
      </c>
      <c r="V53" s="45">
        <v>-3</v>
      </c>
      <c r="W53" s="45">
        <v>-3</v>
      </c>
      <c r="X53" s="99">
        <v>-3</v>
      </c>
      <c r="Y53" s="81">
        <v>-3</v>
      </c>
      <c r="Z53" s="88">
        <f>+IF(Y53&gt;0,FIXED(Fuelbeds_english!Z53*0.3048,1,0),Y53)</f>
        <v>-3</v>
      </c>
      <c r="AA53" s="48">
        <v>-3</v>
      </c>
      <c r="AB53" s="10">
        <v>-3</v>
      </c>
      <c r="AC53" s="10">
        <v>-3</v>
      </c>
      <c r="AD53" s="10">
        <v>-3</v>
      </c>
      <c r="AE53" s="42">
        <v>100</v>
      </c>
      <c r="AF53" s="52" t="str">
        <f>+IF(AE53&gt;0,FIXED(Fuelbeds_english!AF53*0.3048,1,0),AE53)</f>
        <v>0.2</v>
      </c>
      <c r="AG53" s="62">
        <v>0</v>
      </c>
      <c r="AH53" s="52" t="str">
        <f>+IF(AE53&gt;0,FIXED(Fuelbeds_english!AH53*2.242,1,0),AE53)</f>
        <v>1.1</v>
      </c>
      <c r="AI53" s="45">
        <v>42269</v>
      </c>
      <c r="AJ53" s="45" t="s">
        <v>206</v>
      </c>
      <c r="AK53" s="45">
        <v>100</v>
      </c>
      <c r="AL53" s="34">
        <v>-3</v>
      </c>
      <c r="AM53" s="52">
        <f>+IF(AL53&gt;0,FIXED(Fuelbeds_english!AM53*2.54,1,0),AL53)</f>
        <v>-3</v>
      </c>
      <c r="AN53" s="52">
        <f>+IF(AM53&gt;0,FIXED(Fuelbeds_english!AN53*0.3048,1,0),AM53)</f>
        <v>-3</v>
      </c>
      <c r="AO53" s="52">
        <f>+IF(AN53&gt;0,FIXED(Fuelbeds_english!AO53*0.3048,1,0),AN53)</f>
        <v>-3</v>
      </c>
      <c r="AP53" s="52">
        <f>+IF(AO53&gt;0,FIXED(Fuelbeds_english!AP53*0.3048,1,0),AO53)</f>
        <v>-3</v>
      </c>
      <c r="AQ53" s="52">
        <f>+IF(AP53&gt;0,FIXED(Fuelbeds_english!AQ53*0.3048,1,0),AP53)</f>
        <v>-3</v>
      </c>
      <c r="AR53" s="36">
        <v>-3</v>
      </c>
      <c r="AS53" s="36">
        <v>-3</v>
      </c>
      <c r="AT53" s="36">
        <v>-3</v>
      </c>
      <c r="AU53" s="44">
        <v>-1</v>
      </c>
      <c r="AV53" s="52">
        <f>+IF(AU53&gt;0,FIXED(Fuelbeds_english!AV53*2.54,1,0),AU53)</f>
        <v>-1</v>
      </c>
      <c r="AW53" s="52">
        <v>-1</v>
      </c>
      <c r="AX53" s="52">
        <v>-1</v>
      </c>
      <c r="AY53" s="52">
        <f>+IF(AX53&gt;0,FIXED(Fuelbeds_english!AY53*2.54,1,0),AX53)</f>
        <v>-1</v>
      </c>
      <c r="AZ53" s="45">
        <v>2</v>
      </c>
      <c r="BA53" s="36">
        <v>65</v>
      </c>
      <c r="BB53" s="52" t="str">
        <f>+IF(BA53&gt;0,FIXED(Fuelbeds_english!BB53*2.54,1,0),BA53)</f>
        <v>1.3</v>
      </c>
      <c r="BC53" s="53">
        <v>-1</v>
      </c>
      <c r="BD53" s="53">
        <v>-1</v>
      </c>
      <c r="BE53" s="53">
        <v>-1</v>
      </c>
      <c r="BF53" s="53">
        <v>-1</v>
      </c>
      <c r="BG53" s="53">
        <v>-1</v>
      </c>
      <c r="BH53" s="53">
        <v>-1</v>
      </c>
      <c r="BI53" s="45">
        <v>100</v>
      </c>
      <c r="BJ53" s="28">
        <v>-1</v>
      </c>
      <c r="BK53" s="36">
        <v>-1</v>
      </c>
      <c r="BL53" s="52">
        <f>+IF(BK53&gt;0,FIXED(Fuelbeds_english!BL53*2.54,1,0),BK53)</f>
        <v>-1</v>
      </c>
      <c r="BM53" s="36">
        <v>-1</v>
      </c>
      <c r="BN53" s="36">
        <v>-1</v>
      </c>
      <c r="BO53" s="52">
        <f>+IF(BN53&gt;0,FIXED(Fuelbeds_english!BO53*2.54,1,0),BN53)</f>
        <v>-1</v>
      </c>
    </row>
    <row r="54" spans="1:68" ht="15" customHeight="1" x14ac:dyDescent="0.25">
      <c r="A54" s="50">
        <v>53</v>
      </c>
      <c r="B54" s="36">
        <v>2013</v>
      </c>
      <c r="C54" s="46">
        <v>2013</v>
      </c>
      <c r="D54" s="45" t="s">
        <v>7</v>
      </c>
      <c r="E54" s="25" t="s">
        <v>413</v>
      </c>
      <c r="F54" s="39">
        <v>-3</v>
      </c>
      <c r="G54" s="45">
        <v>-3</v>
      </c>
      <c r="H54" s="45">
        <f>+IF(F54&gt;0,INT(Fuelbeds_english!H54*2.471),F54)</f>
        <v>-3</v>
      </c>
      <c r="I54" s="36">
        <f>+IF(F54&gt;0,INT(Fuelbeds_english!I54*0.3048),F54)</f>
        <v>-3</v>
      </c>
      <c r="J54" s="45">
        <f>+IF(F54&gt;0,INT(Fuelbeds_english!J54*0.3048),F54)</f>
        <v>-3</v>
      </c>
      <c r="K54" s="45">
        <f>+IF(F54&gt;0,INT(Fuelbeds_english!K54*2.54),F54)</f>
        <v>-3</v>
      </c>
      <c r="L54" s="45">
        <v>-3</v>
      </c>
      <c r="M54" s="45">
        <v>-3</v>
      </c>
      <c r="N54" s="45">
        <v>-3</v>
      </c>
      <c r="O54" s="45">
        <v>-3</v>
      </c>
      <c r="P54" s="45">
        <f>+IF(O54&gt;0,INT(Fuelbeds_english!P54*2.471),O54)</f>
        <v>-3</v>
      </c>
      <c r="Q54" s="36">
        <f>+IF(O54&gt;0,INT(Fuelbeds_english!Q54*0.3048),O54)</f>
        <v>-3</v>
      </c>
      <c r="R54" s="45">
        <f>+IF(O54&gt;0,INT(Fuelbeds_english!R54*0.3048),O54)</f>
        <v>-3</v>
      </c>
      <c r="S54" s="45">
        <f>+IF(O54&gt;0,INT(Fuelbeds_english!S54*2.54),O54)</f>
        <v>-3</v>
      </c>
      <c r="T54" s="45">
        <v>-3</v>
      </c>
      <c r="U54" s="45">
        <v>-3</v>
      </c>
      <c r="V54" s="45">
        <v>-3</v>
      </c>
      <c r="W54" s="45">
        <v>-3</v>
      </c>
      <c r="X54" s="99">
        <v>-3</v>
      </c>
      <c r="Y54" s="81">
        <v>-3</v>
      </c>
      <c r="Z54" s="88">
        <f>+IF(Y54&gt;0,FIXED(Fuelbeds_english!Z54*0.3048,1,0),Y54)</f>
        <v>-3</v>
      </c>
      <c r="AA54" s="48">
        <v>-3</v>
      </c>
      <c r="AB54" s="10">
        <v>-3</v>
      </c>
      <c r="AC54" s="10">
        <v>-3</v>
      </c>
      <c r="AD54" s="10">
        <v>-3</v>
      </c>
      <c r="AE54" s="42">
        <v>100</v>
      </c>
      <c r="AF54" s="52" t="str">
        <f>+IF(AE54&gt;0,FIXED(Fuelbeds_english!AF54*0.3048,1,0),AE54)</f>
        <v>0.2</v>
      </c>
      <c r="AG54" s="45">
        <v>0</v>
      </c>
      <c r="AH54" s="52" t="str">
        <f>+IF(AE54&gt;0,FIXED(Fuelbeds_english!AH54*2.242,1,0),AE54)</f>
        <v>0.4</v>
      </c>
      <c r="AI54" s="45">
        <v>26716</v>
      </c>
      <c r="AJ54" s="45" t="s">
        <v>208</v>
      </c>
      <c r="AK54" s="45">
        <v>100</v>
      </c>
      <c r="AL54" s="34">
        <v>-3</v>
      </c>
      <c r="AM54" s="52">
        <f>+IF(AL54&gt;0,FIXED(Fuelbeds_english!AM54*2.54,1,0),AL54)</f>
        <v>-3</v>
      </c>
      <c r="AN54" s="52">
        <f>+IF(AM54&gt;0,FIXED(Fuelbeds_english!AN54*0.3048,1,0),AM54)</f>
        <v>-3</v>
      </c>
      <c r="AO54" s="52">
        <f>+IF(AN54&gt;0,FIXED(Fuelbeds_english!AO54*0.3048,1,0),AN54)</f>
        <v>-3</v>
      </c>
      <c r="AP54" s="52">
        <f>+IF(AO54&gt;0,FIXED(Fuelbeds_english!AP54*0.3048,1,0),AO54)</f>
        <v>-3</v>
      </c>
      <c r="AQ54" s="52">
        <f>+IF(AP54&gt;0,FIXED(Fuelbeds_english!AQ54*0.3048,1,0),AP54)</f>
        <v>-3</v>
      </c>
      <c r="AR54" s="36">
        <v>-3</v>
      </c>
      <c r="AS54" s="36">
        <v>-3</v>
      </c>
      <c r="AT54" s="36">
        <v>-3</v>
      </c>
      <c r="AU54" s="44">
        <v>-1</v>
      </c>
      <c r="AV54" s="52">
        <f>+IF(AU54&gt;0,FIXED(Fuelbeds_english!AV54*2.54,1,0),AU54)</f>
        <v>-1</v>
      </c>
      <c r="AW54" s="52">
        <v>-1</v>
      </c>
      <c r="AX54" s="52">
        <v>-1</v>
      </c>
      <c r="AY54" s="52">
        <f>+IF(AX54&gt;0,FIXED(Fuelbeds_english!AY54*2.54,1,0),AX54)</f>
        <v>-1</v>
      </c>
      <c r="AZ54" s="45">
        <v>2</v>
      </c>
      <c r="BA54" s="36">
        <v>65</v>
      </c>
      <c r="BB54" s="52" t="str">
        <f>+IF(BA54&gt;0,FIXED(Fuelbeds_english!BB54*2.54,1,0),BA54)</f>
        <v>1.3</v>
      </c>
      <c r="BC54" s="53">
        <v>-1</v>
      </c>
      <c r="BD54" s="53">
        <v>-1</v>
      </c>
      <c r="BE54" s="53">
        <v>-1</v>
      </c>
      <c r="BF54" s="53">
        <v>-1</v>
      </c>
      <c r="BG54" s="53">
        <v>-1</v>
      </c>
      <c r="BH54" s="53">
        <v>-1</v>
      </c>
      <c r="BI54" s="45">
        <v>100</v>
      </c>
      <c r="BJ54" s="28">
        <v>-1</v>
      </c>
      <c r="BK54" s="36">
        <v>-1</v>
      </c>
      <c r="BL54" s="52">
        <f>+IF(BK54&gt;0,FIXED(Fuelbeds_english!BL54*2.54,1,0),BK54)</f>
        <v>-1</v>
      </c>
      <c r="BM54" s="36">
        <v>-1</v>
      </c>
      <c r="BN54" s="36">
        <v>-1</v>
      </c>
      <c r="BO54" s="52">
        <f>+IF(BN54&gt;0,FIXED(Fuelbeds_english!BO54*2.54,1,0),BN54)</f>
        <v>-1</v>
      </c>
    </row>
    <row r="55" spans="1:68" ht="15" customHeight="1" x14ac:dyDescent="0.25">
      <c r="A55" s="50">
        <v>54</v>
      </c>
      <c r="B55" s="36">
        <v>2014</v>
      </c>
      <c r="C55" s="46">
        <v>2014</v>
      </c>
      <c r="D55" s="45" t="s">
        <v>7</v>
      </c>
      <c r="E55" s="25" t="s">
        <v>422</v>
      </c>
      <c r="F55" s="39">
        <v>-3</v>
      </c>
      <c r="G55" s="45">
        <v>-3</v>
      </c>
      <c r="H55" s="45">
        <f>+IF(F55&gt;0,INT(Fuelbeds_english!H55*2.471),F55)</f>
        <v>-3</v>
      </c>
      <c r="I55" s="36">
        <f>+IF(F55&gt;0,INT(Fuelbeds_english!I55*0.3048),F55)</f>
        <v>-3</v>
      </c>
      <c r="J55" s="45">
        <f>+IF(F55&gt;0,INT(Fuelbeds_english!J55*0.3048),F55)</f>
        <v>-3</v>
      </c>
      <c r="K55" s="45">
        <f>+IF(F55&gt;0,INT(Fuelbeds_english!K55*2.54),F55)</f>
        <v>-3</v>
      </c>
      <c r="L55" s="45">
        <v>-3</v>
      </c>
      <c r="M55" s="45">
        <v>-3</v>
      </c>
      <c r="N55" s="45">
        <v>-3</v>
      </c>
      <c r="O55" s="45">
        <v>-3</v>
      </c>
      <c r="P55" s="45">
        <f>+IF(O55&gt;0,INT(Fuelbeds_english!P55*2.471),O55)</f>
        <v>-3</v>
      </c>
      <c r="Q55" s="36">
        <f>+IF(O55&gt;0,INT(Fuelbeds_english!Q55*0.3048),O55)</f>
        <v>-3</v>
      </c>
      <c r="R55" s="45">
        <f>+IF(O55&gt;0,INT(Fuelbeds_english!R55*0.3048),O55)</f>
        <v>-3</v>
      </c>
      <c r="S55" s="45">
        <f>+IF(O55&gt;0,INT(Fuelbeds_english!S55*2.54),O55)</f>
        <v>-3</v>
      </c>
      <c r="T55" s="45">
        <v>-3</v>
      </c>
      <c r="U55" s="45">
        <v>-3</v>
      </c>
      <c r="V55" s="45">
        <v>-3</v>
      </c>
      <c r="W55" s="45">
        <v>-3</v>
      </c>
      <c r="X55" s="99">
        <v>-3</v>
      </c>
      <c r="Y55" s="81">
        <v>-3</v>
      </c>
      <c r="Z55" s="88">
        <f>+IF(Y55&gt;0,FIXED(Fuelbeds_english!Z55*0.3048,1,0),Y55)</f>
        <v>-3</v>
      </c>
      <c r="AA55" s="48">
        <v>-3</v>
      </c>
      <c r="AB55" s="10">
        <v>-3</v>
      </c>
      <c r="AC55" s="10">
        <v>-3</v>
      </c>
      <c r="AD55" s="10">
        <v>-3</v>
      </c>
      <c r="AE55" s="42">
        <v>100</v>
      </c>
      <c r="AF55" s="52" t="str">
        <f>+IF(AE55&gt;0,FIXED(Fuelbeds_english!AF55*0.3048,1,0),AE55)</f>
        <v>0.2</v>
      </c>
      <c r="AG55" s="62">
        <v>0</v>
      </c>
      <c r="AH55" s="52" t="str">
        <f>+IF(AE55&gt;0,FIXED(Fuelbeds_english!AH55*2.242,1,0),AE55)</f>
        <v>1.1</v>
      </c>
      <c r="AI55" s="45">
        <v>42013</v>
      </c>
      <c r="AJ55" s="45" t="s">
        <v>423</v>
      </c>
      <c r="AK55" s="62">
        <v>100</v>
      </c>
      <c r="AL55" s="34">
        <v>-3</v>
      </c>
      <c r="AM55" s="52">
        <f>+IF(AL55&gt;0,FIXED(Fuelbeds_english!AM55*2.54,1,0),AL55)</f>
        <v>-3</v>
      </c>
      <c r="AN55" s="52">
        <f>+IF(AM55&gt;0,FIXED(Fuelbeds_english!AN55*0.3048,1,0),AM55)</f>
        <v>-3</v>
      </c>
      <c r="AO55" s="52">
        <f>+IF(AN55&gt;0,FIXED(Fuelbeds_english!AO55*0.3048,1,0),AN55)</f>
        <v>-3</v>
      </c>
      <c r="AP55" s="52">
        <f>+IF(AO55&gt;0,FIXED(Fuelbeds_english!AP55*0.3048,1,0),AO55)</f>
        <v>-3</v>
      </c>
      <c r="AQ55" s="52">
        <f>+IF(AP55&gt;0,FIXED(Fuelbeds_english!AQ55*0.3048,1,0),AP55)</f>
        <v>-3</v>
      </c>
      <c r="AR55" s="36">
        <v>-3</v>
      </c>
      <c r="AS55" s="36">
        <v>-3</v>
      </c>
      <c r="AT55" s="36">
        <v>-3</v>
      </c>
      <c r="AU55" s="44">
        <v>-1</v>
      </c>
      <c r="AV55" s="52">
        <f>+IF(AU55&gt;0,FIXED(Fuelbeds_english!AV55*2.54,1,0),AU55)</f>
        <v>-1</v>
      </c>
      <c r="AW55" s="52">
        <v>-1</v>
      </c>
      <c r="AX55" s="52">
        <v>-1</v>
      </c>
      <c r="AY55" s="52">
        <f>+IF(AX55&gt;0,FIXED(Fuelbeds_english!AY55*2.54,1,0),AX55)</f>
        <v>-1</v>
      </c>
      <c r="AZ55" s="45">
        <v>2</v>
      </c>
      <c r="BA55" s="36">
        <v>65</v>
      </c>
      <c r="BB55" s="52" t="str">
        <f>+IF(BA55&gt;0,FIXED(Fuelbeds_english!BB55*2.54,1,0),BA55)</f>
        <v>1.3</v>
      </c>
      <c r="BC55" s="53">
        <v>-1</v>
      </c>
      <c r="BD55" s="53">
        <v>-1</v>
      </c>
      <c r="BE55" s="53">
        <v>-1</v>
      </c>
      <c r="BF55" s="53">
        <v>-1</v>
      </c>
      <c r="BG55" s="53">
        <v>-1</v>
      </c>
      <c r="BH55" s="53">
        <v>-1</v>
      </c>
      <c r="BI55" s="45">
        <v>100</v>
      </c>
      <c r="BJ55" s="28">
        <v>-1</v>
      </c>
      <c r="BK55" s="36">
        <v>-1</v>
      </c>
      <c r="BL55" s="52">
        <f>+IF(BK55&gt;0,FIXED(Fuelbeds_english!BL55*2.54,1,0),BK55)</f>
        <v>-1</v>
      </c>
      <c r="BM55" s="36">
        <v>-1</v>
      </c>
      <c r="BN55" s="36">
        <v>-1</v>
      </c>
      <c r="BO55" s="52">
        <f>+IF(BN55&gt;0,FIXED(Fuelbeds_english!BO55*2.54,1,0),BN55)</f>
        <v>-1</v>
      </c>
    </row>
    <row r="56" spans="1:68" ht="15" customHeight="1" x14ac:dyDescent="0.25">
      <c r="A56" s="50">
        <v>55</v>
      </c>
      <c r="B56" s="36">
        <v>2015</v>
      </c>
      <c r="C56" s="46">
        <v>2015</v>
      </c>
      <c r="D56" s="45" t="s">
        <v>7</v>
      </c>
      <c r="E56" s="9" t="s">
        <v>424</v>
      </c>
      <c r="F56" s="39">
        <v>-3</v>
      </c>
      <c r="G56" s="45">
        <v>-3</v>
      </c>
      <c r="H56" s="45">
        <f>+IF(F56&gt;0,INT(Fuelbeds_english!H56*2.471),F56)</f>
        <v>-3</v>
      </c>
      <c r="I56" s="36">
        <f>+IF(F56&gt;0,INT(Fuelbeds_english!I56*0.3048),F56)</f>
        <v>-3</v>
      </c>
      <c r="J56" s="45">
        <f>+IF(F56&gt;0,INT(Fuelbeds_english!J56*0.3048),F56)</f>
        <v>-3</v>
      </c>
      <c r="K56" s="45">
        <f>+IF(F56&gt;0,INT(Fuelbeds_english!K56*2.54),F56)</f>
        <v>-3</v>
      </c>
      <c r="L56" s="45">
        <v>-3</v>
      </c>
      <c r="M56" s="45">
        <v>-3</v>
      </c>
      <c r="N56" s="45">
        <v>-3</v>
      </c>
      <c r="O56" s="45">
        <v>-3</v>
      </c>
      <c r="P56" s="45">
        <f>+IF(O56&gt;0,INT(Fuelbeds_english!P56*2.471),O56)</f>
        <v>-3</v>
      </c>
      <c r="Q56" s="36">
        <f>+IF(O56&gt;0,INT(Fuelbeds_english!Q56*0.3048),O56)</f>
        <v>-3</v>
      </c>
      <c r="R56" s="45">
        <f>+IF(O56&gt;0,INT(Fuelbeds_english!R56*0.3048),O56)</f>
        <v>-3</v>
      </c>
      <c r="S56" s="45">
        <f>+IF(O56&gt;0,INT(Fuelbeds_english!S56*2.54),O56)</f>
        <v>-3</v>
      </c>
      <c r="T56" s="45">
        <v>-3</v>
      </c>
      <c r="U56" s="45">
        <v>-3</v>
      </c>
      <c r="V56" s="45">
        <v>-3</v>
      </c>
      <c r="W56" s="45">
        <v>-3</v>
      </c>
      <c r="X56" s="99">
        <v>-3</v>
      </c>
      <c r="Y56" s="81">
        <v>-3</v>
      </c>
      <c r="Z56" s="88">
        <f>+IF(Y56&gt;0,FIXED(Fuelbeds_english!Z56*0.3048,1,0),Y56)</f>
        <v>-3</v>
      </c>
      <c r="AA56" s="48">
        <v>-3</v>
      </c>
      <c r="AB56" s="10">
        <v>-3</v>
      </c>
      <c r="AC56" s="10">
        <v>-3</v>
      </c>
      <c r="AD56" s="10">
        <v>-3</v>
      </c>
      <c r="AE56" s="42">
        <v>100</v>
      </c>
      <c r="AF56" s="52" t="str">
        <f>+IF(AE56&gt;0,FIXED(Fuelbeds_english!AF56*0.3048,1,0),AE56)</f>
        <v>0.2</v>
      </c>
      <c r="AG56" s="62">
        <v>0</v>
      </c>
      <c r="AH56" s="52" t="str">
        <f>+IF(AE56&gt;0,FIXED(Fuelbeds_english!AH56*2.242,1,0),AE56)</f>
        <v>1.5</v>
      </c>
      <c r="AI56" s="45">
        <v>21711</v>
      </c>
      <c r="AJ56" s="45" t="s">
        <v>425</v>
      </c>
      <c r="AK56" s="45">
        <v>100</v>
      </c>
      <c r="AL56" s="34">
        <v>-3</v>
      </c>
      <c r="AM56" s="52">
        <f>+IF(AL56&gt;0,FIXED(Fuelbeds_english!AM56*2.54,1,0),AL56)</f>
        <v>-3</v>
      </c>
      <c r="AN56" s="52">
        <f>+IF(AM56&gt;0,FIXED(Fuelbeds_english!AN56*0.3048,1,0),AM56)</f>
        <v>-3</v>
      </c>
      <c r="AO56" s="52">
        <f>+IF(AN56&gt;0,FIXED(Fuelbeds_english!AO56*0.3048,1,0),AN56)</f>
        <v>-3</v>
      </c>
      <c r="AP56" s="52">
        <f>+IF(AO56&gt;0,FIXED(Fuelbeds_english!AP56*0.3048,1,0),AO56)</f>
        <v>-3</v>
      </c>
      <c r="AQ56" s="52">
        <f>+IF(AP56&gt;0,FIXED(Fuelbeds_english!AQ56*0.3048,1,0),AP56)</f>
        <v>-3</v>
      </c>
      <c r="AR56" s="36">
        <v>-3</v>
      </c>
      <c r="AS56" s="36">
        <v>-3</v>
      </c>
      <c r="AT56" s="36">
        <v>-3</v>
      </c>
      <c r="AU56" s="44">
        <v>-1</v>
      </c>
      <c r="AV56" s="52">
        <f>+IF(AU56&gt;0,FIXED(Fuelbeds_english!AV56*2.54,1,0),AU56)</f>
        <v>-1</v>
      </c>
      <c r="AW56" s="52">
        <v>-1</v>
      </c>
      <c r="AX56" s="52">
        <v>-1</v>
      </c>
      <c r="AY56" s="52">
        <f>+IF(AX56&gt;0,FIXED(Fuelbeds_english!AY56*2.54,1,0),AX56)</f>
        <v>-1</v>
      </c>
      <c r="AZ56" s="45">
        <v>2</v>
      </c>
      <c r="BA56" s="36">
        <v>65</v>
      </c>
      <c r="BB56" s="52" t="str">
        <f>+IF(BA56&gt;0,FIXED(Fuelbeds_english!BB56*2.54,1,0),BA56)</f>
        <v>1.3</v>
      </c>
      <c r="BC56" s="53">
        <v>-1</v>
      </c>
      <c r="BD56" s="53">
        <v>-1</v>
      </c>
      <c r="BE56" s="53">
        <v>-1</v>
      </c>
      <c r="BF56" s="53">
        <v>-1</v>
      </c>
      <c r="BG56" s="53">
        <v>-1</v>
      </c>
      <c r="BH56" s="53">
        <v>-1</v>
      </c>
      <c r="BI56" s="45">
        <v>100</v>
      </c>
      <c r="BJ56" s="28">
        <v>-1</v>
      </c>
      <c r="BK56" s="36">
        <v>-1</v>
      </c>
      <c r="BL56" s="52">
        <f>+IF(BK56&gt;0,FIXED(Fuelbeds_english!BL56*2.54,1,0),BK56)</f>
        <v>-1</v>
      </c>
      <c r="BM56" s="36">
        <v>-1</v>
      </c>
      <c r="BN56" s="36">
        <v>-1</v>
      </c>
      <c r="BO56" s="52">
        <f>+IF(BN56&gt;0,FIXED(Fuelbeds_english!BO56*2.54,1,0),BN56)</f>
        <v>-1</v>
      </c>
    </row>
    <row r="57" spans="1:68" ht="15" customHeight="1" x14ac:dyDescent="0.25">
      <c r="A57" s="50">
        <v>56</v>
      </c>
      <c r="B57" s="36">
        <v>2020</v>
      </c>
      <c r="C57" s="46">
        <v>2020</v>
      </c>
      <c r="D57" s="45" t="s">
        <v>7</v>
      </c>
      <c r="E57" s="38" t="s">
        <v>427</v>
      </c>
      <c r="F57" s="39">
        <v>6.46699</v>
      </c>
      <c r="G57" s="56">
        <v>6.46699</v>
      </c>
      <c r="H57" s="45">
        <f>+IF(F57&gt;0,INT(Fuelbeds_english!H57*2.471),F57)</f>
        <v>31</v>
      </c>
      <c r="I57" s="36">
        <f>+IF(F57&gt;0,INT(Fuelbeds_english!I57*0.3048),F57)</f>
        <v>8</v>
      </c>
      <c r="J57" s="45">
        <f>+IF(F57&gt;0,INT(Fuelbeds_english!J57*0.3048),F57)</f>
        <v>4</v>
      </c>
      <c r="K57" s="45">
        <f>+IF(F57&gt;0,INT(Fuelbeds_english!K57*2.54),F57)</f>
        <v>16</v>
      </c>
      <c r="L57" s="36">
        <v>28766</v>
      </c>
      <c r="M57" s="36" t="s">
        <v>137</v>
      </c>
      <c r="N57" s="36">
        <v>100</v>
      </c>
      <c r="O57" s="43">
        <v>3.5418437500000004</v>
      </c>
      <c r="P57" s="45">
        <f>+IF(O57&gt;0,INT(Fuelbeds_english!P57*2.471),O57)</f>
        <v>21</v>
      </c>
      <c r="Q57" s="36">
        <f>+IF(O57&gt;0,INT(Fuelbeds_english!Q57*0.3048),O57)</f>
        <v>5</v>
      </c>
      <c r="R57" s="45">
        <f>+IF(O57&gt;0,INT(Fuelbeds_english!R57*0.3048),O57)</f>
        <v>2</v>
      </c>
      <c r="S57" s="45">
        <f>+IF(O57&gt;0,INT(Fuelbeds_english!S57*2.54),O57)</f>
        <v>9</v>
      </c>
      <c r="T57" s="36">
        <v>28766</v>
      </c>
      <c r="U57" s="36" t="s">
        <v>137</v>
      </c>
      <c r="V57" s="36">
        <v>100</v>
      </c>
      <c r="W57" s="36">
        <v>1</v>
      </c>
      <c r="X57" s="98">
        <v>3</v>
      </c>
      <c r="Y57" s="29">
        <v>34</v>
      </c>
      <c r="Z57" s="88" t="str">
        <f>+IF(Y57&gt;0,FIXED(Fuelbeds_english!Z57*0.3048,1,0),Y57)</f>
        <v>1.2</v>
      </c>
      <c r="AA57" s="36">
        <v>85</v>
      </c>
      <c r="AB57" s="45">
        <v>28862</v>
      </c>
      <c r="AC57" s="50" t="s">
        <v>376</v>
      </c>
      <c r="AD57" s="50">
        <v>100</v>
      </c>
      <c r="AE57" s="42">
        <v>60</v>
      </c>
      <c r="AF57" s="52" t="str">
        <f>+IF(AE57&gt;0,FIXED(Fuelbeds_english!AF57*0.3048,1,0),AE57)</f>
        <v>0.2</v>
      </c>
      <c r="AG57" s="45">
        <v>0</v>
      </c>
      <c r="AH57" s="52" t="str">
        <f>+IF(AE57&gt;0,FIXED(Fuelbeds_english!AH57*2.242,1,0),AE57)</f>
        <v>0.2</v>
      </c>
      <c r="AI57" s="45">
        <v>42236</v>
      </c>
      <c r="AJ57" s="45" t="s">
        <v>207</v>
      </c>
      <c r="AK57" s="45">
        <v>100</v>
      </c>
      <c r="AL57" s="34">
        <v>11</v>
      </c>
      <c r="AM57" s="52" t="str">
        <f>+IF(AL57&gt;0,FIXED(Fuelbeds_english!AM57*2.54,1,0),AL57)</f>
        <v>1.5</v>
      </c>
      <c r="AN57" s="52" t="str">
        <f>+IF($AM57&gt;0,FIXED(Fuelbeds_english!AN57*2.242,1,0),$AM57)</f>
        <v>1.4</v>
      </c>
      <c r="AO57" s="52" t="str">
        <f>+IF($AM57&gt;0,FIXED(Fuelbeds_english!AO57*2.242,1,0),$AM57)</f>
        <v>1.0</v>
      </c>
      <c r="AP57" s="52" t="str">
        <f>+IF($AM57&gt;0,FIXED(Fuelbeds_english!AP57*2.242,1,0),$AM57)</f>
        <v>1.6</v>
      </c>
      <c r="AQ57" s="52" t="str">
        <f>+IF($AM57&gt;0,FIXED(Fuelbeds_english!AQ57*2.242,1,0),$AM57)</f>
        <v>1.2</v>
      </c>
      <c r="AR57" s="36">
        <v>28766</v>
      </c>
      <c r="AS57" s="45" t="s">
        <v>137</v>
      </c>
      <c r="AT57" s="45">
        <v>100</v>
      </c>
      <c r="AU57" s="44">
        <v>-1</v>
      </c>
      <c r="AV57" s="52">
        <f>+IF(AU57&gt;0,FIXED(Fuelbeds_english!AV57*2.54,1,0),AU57)</f>
        <v>-1</v>
      </c>
      <c r="AW57" s="52">
        <v>-1</v>
      </c>
      <c r="AX57" s="52">
        <v>-1</v>
      </c>
      <c r="AY57" s="52">
        <f>+IF(AX57&gt;0,FIXED(Fuelbeds_english!AY57*2.54,1,0),AX57)</f>
        <v>-1</v>
      </c>
      <c r="AZ57" s="59">
        <v>2</v>
      </c>
      <c r="BA57" s="36">
        <v>90</v>
      </c>
      <c r="BB57" s="52" t="str">
        <f>+IF(BA57&gt;0,FIXED(Fuelbeds_english!BB57*2.54,1,0),BA57)</f>
        <v>2.5</v>
      </c>
      <c r="BC57" s="59">
        <v>-1</v>
      </c>
      <c r="BD57" s="59">
        <v>-1</v>
      </c>
      <c r="BE57" s="59">
        <v>-1</v>
      </c>
      <c r="BF57" s="61">
        <v>6</v>
      </c>
      <c r="BG57" s="59">
        <v>34</v>
      </c>
      <c r="BH57" s="59">
        <v>-1</v>
      </c>
      <c r="BI57" s="59">
        <v>60</v>
      </c>
      <c r="BJ57" s="28">
        <v>1</v>
      </c>
      <c r="BK57" s="67">
        <v>33.388605610561058</v>
      </c>
      <c r="BL57" s="52" t="str">
        <f>+IF(BK57&gt;0,FIXED(Fuelbeds_english!BL57*2.54,1,0),BK57)</f>
        <v>0.5</v>
      </c>
      <c r="BM57" s="59">
        <v>3</v>
      </c>
      <c r="BN57" s="67">
        <v>30.049745049504953</v>
      </c>
      <c r="BO57" s="52" t="str">
        <f>+IF(BN57&gt;0,FIXED(Fuelbeds_english!BO57*2.54,1,0),BN57)</f>
        <v>0.4</v>
      </c>
      <c r="BP57" s="43"/>
    </row>
    <row r="58" spans="1:68" ht="15" customHeight="1" x14ac:dyDescent="0.25">
      <c r="A58" s="50">
        <v>57</v>
      </c>
      <c r="B58" s="36">
        <v>2021</v>
      </c>
      <c r="C58" s="46">
        <v>2021</v>
      </c>
      <c r="D58" s="45" t="s">
        <v>7</v>
      </c>
      <c r="E58" s="38" t="s">
        <v>426</v>
      </c>
      <c r="F58" s="39">
        <v>13.2537</v>
      </c>
      <c r="G58" s="56">
        <v>13.2537</v>
      </c>
      <c r="H58" s="45">
        <f>+IF(F58&gt;0,INT(Fuelbeds_english!H58*2.471),F58)</f>
        <v>64</v>
      </c>
      <c r="I58" s="36">
        <f>+IF(F58&gt;0,INT(Fuelbeds_english!I58*0.3048),F58)</f>
        <v>12</v>
      </c>
      <c r="J58" s="45">
        <f>+IF(F58&gt;0,INT(Fuelbeds_english!J58*0.3048),F58)</f>
        <v>7</v>
      </c>
      <c r="K58" s="45">
        <f>+IF(F58&gt;0,INT(Fuelbeds_english!K58*2.54),F58)</f>
        <v>23</v>
      </c>
      <c r="L58" s="36">
        <v>28766</v>
      </c>
      <c r="M58" s="36" t="s">
        <v>137</v>
      </c>
      <c r="N58" s="36">
        <v>100</v>
      </c>
      <c r="O58" s="43">
        <v>7.2587918814432992</v>
      </c>
      <c r="P58" s="45">
        <f>+IF(O58&gt;0,INT(Fuelbeds_english!P58*2.471),O58)</f>
        <v>44</v>
      </c>
      <c r="Q58" s="36">
        <f>+IF(O58&gt;0,INT(Fuelbeds_english!Q58*0.3048),O58)</f>
        <v>7</v>
      </c>
      <c r="R58" s="45">
        <f>+IF(O58&gt;0,INT(Fuelbeds_english!R58*0.3048),O58)</f>
        <v>2</v>
      </c>
      <c r="S58" s="45">
        <f>+IF(O58&gt;0,INT(Fuelbeds_english!S58*2.54),O58)</f>
        <v>14</v>
      </c>
      <c r="T58" s="36">
        <v>28766</v>
      </c>
      <c r="U58" s="36" t="s">
        <v>137</v>
      </c>
      <c r="V58" s="36">
        <v>100</v>
      </c>
      <c r="W58" s="36">
        <v>1</v>
      </c>
      <c r="X58" s="98">
        <v>3</v>
      </c>
      <c r="Y58" s="29">
        <v>27</v>
      </c>
      <c r="Z58" s="88" t="str">
        <f>+IF(Y58&gt;0,FIXED(Fuelbeds_english!Z58*0.3048,1,0),Y58)</f>
        <v>1.2</v>
      </c>
      <c r="AA58" s="36">
        <v>85</v>
      </c>
      <c r="AB58" s="45">
        <v>28862</v>
      </c>
      <c r="AC58" s="50" t="s">
        <v>376</v>
      </c>
      <c r="AD58" s="50">
        <v>100</v>
      </c>
      <c r="AE58" s="42">
        <v>60</v>
      </c>
      <c r="AF58" s="52" t="str">
        <f>+IF(AE58&gt;0,FIXED(Fuelbeds_english!AF58*0.3048,1,0),AE58)</f>
        <v>0.2</v>
      </c>
      <c r="AG58" s="45">
        <v>0</v>
      </c>
      <c r="AH58" s="52" t="str">
        <f>+IF(AE58&gt;0,FIXED(Fuelbeds_english!AH58*2.242,1,0),AE58)</f>
        <v>1.7</v>
      </c>
      <c r="AI58" s="45">
        <v>41976</v>
      </c>
      <c r="AJ58" s="45" t="s">
        <v>209</v>
      </c>
      <c r="AK58" s="45">
        <v>100</v>
      </c>
      <c r="AL58" s="34">
        <v>11</v>
      </c>
      <c r="AM58" s="52" t="str">
        <f>+IF(AL58&gt;0,FIXED(Fuelbeds_english!AM58*2.54,1,0),AL58)</f>
        <v>1.5</v>
      </c>
      <c r="AN58" s="52" t="str">
        <f>+IF($AM58&gt;0,FIXED(Fuelbeds_english!AN58*2.242,1,0),$AM58)</f>
        <v>1.4</v>
      </c>
      <c r="AO58" s="52" t="str">
        <f>+IF($AM58&gt;0,FIXED(Fuelbeds_english!AO58*2.242,1,0),$AM58)</f>
        <v>1.0</v>
      </c>
      <c r="AP58" s="52" t="str">
        <f>+IF($AM58&gt;0,FIXED(Fuelbeds_english!AP58*2.242,1,0),$AM58)</f>
        <v>1.6</v>
      </c>
      <c r="AQ58" s="52" t="str">
        <f>+IF($AM58&gt;0,FIXED(Fuelbeds_english!AQ58*2.242,1,0),$AM58)</f>
        <v>1.2</v>
      </c>
      <c r="AR58" s="36">
        <v>28766</v>
      </c>
      <c r="AS58" s="45" t="s">
        <v>137</v>
      </c>
      <c r="AT58" s="45">
        <v>100</v>
      </c>
      <c r="AU58" s="44">
        <v>-1</v>
      </c>
      <c r="AV58" s="52">
        <f>+IF(AU58&gt;0,FIXED(Fuelbeds_english!AV58*2.54,1,0),AU58)</f>
        <v>-1</v>
      </c>
      <c r="AW58" s="52">
        <v>-1</v>
      </c>
      <c r="AX58" s="52">
        <v>-1</v>
      </c>
      <c r="AY58" s="52">
        <f>+IF(AX58&gt;0,FIXED(Fuelbeds_english!AY58*2.54,1,0),AX58)</f>
        <v>-1</v>
      </c>
      <c r="AZ58" s="59">
        <v>2</v>
      </c>
      <c r="BA58" s="36">
        <v>90</v>
      </c>
      <c r="BB58" s="52" t="str">
        <f>+IF(BA58&gt;0,FIXED(Fuelbeds_english!BB58*2.54,1,0),BA58)</f>
        <v>2.5</v>
      </c>
      <c r="BC58" s="59">
        <v>-1</v>
      </c>
      <c r="BD58" s="59">
        <v>-1</v>
      </c>
      <c r="BE58" s="59">
        <v>-1</v>
      </c>
      <c r="BF58" s="61">
        <v>13</v>
      </c>
      <c r="BG58" s="59">
        <v>27</v>
      </c>
      <c r="BH58" s="59">
        <v>-1</v>
      </c>
      <c r="BI58" s="59">
        <v>60</v>
      </c>
      <c r="BJ58" s="28">
        <v>1</v>
      </c>
      <c r="BK58" s="67">
        <v>33.212623762376239</v>
      </c>
      <c r="BL58" s="52" t="str">
        <f>+IF(BK58&gt;0,FIXED(Fuelbeds_english!BL58*2.54,1,0),BK58)</f>
        <v>0.5</v>
      </c>
      <c r="BM58" s="59">
        <v>3</v>
      </c>
      <c r="BN58" s="67">
        <v>29.891361386138616</v>
      </c>
      <c r="BO58" s="52" t="str">
        <f>+IF(BN58&gt;0,FIXED(Fuelbeds_english!BO58*2.54,1,0),BN58)</f>
        <v>0.4</v>
      </c>
      <c r="BP58" s="43"/>
    </row>
    <row r="59" spans="1:68" ht="15" customHeight="1" x14ac:dyDescent="0.25">
      <c r="A59" s="50">
        <v>58</v>
      </c>
      <c r="B59" s="36">
        <v>2022</v>
      </c>
      <c r="C59" s="46">
        <v>2022</v>
      </c>
      <c r="D59" s="45" t="s">
        <v>7</v>
      </c>
      <c r="E59" s="38" t="s">
        <v>428</v>
      </c>
      <c r="F59" s="39">
        <v>25.7498</v>
      </c>
      <c r="G59" s="56">
        <v>25.7498</v>
      </c>
      <c r="H59" s="45">
        <f>+IF(F59&gt;0,INT(Fuelbeds_english!H59*2.471),F59)</f>
        <v>125</v>
      </c>
      <c r="I59" s="36">
        <f>+IF(F59&gt;0,INT(Fuelbeds_english!I59*0.3048),F59)</f>
        <v>13</v>
      </c>
      <c r="J59" s="45">
        <f>+IF(F59&gt;0,INT(Fuelbeds_english!J59*0.3048),F59)</f>
        <v>7</v>
      </c>
      <c r="K59" s="45">
        <f>+IF(F59&gt;0,INT(Fuelbeds_english!K59*2.54),F59)</f>
        <v>26</v>
      </c>
      <c r="L59" s="36">
        <v>28766</v>
      </c>
      <c r="M59" s="36" t="s">
        <v>137</v>
      </c>
      <c r="N59" s="36">
        <v>100</v>
      </c>
      <c r="O59" s="43">
        <v>14.10266108247423</v>
      </c>
      <c r="P59" s="45">
        <f>+IF(O59&gt;0,INT(Fuelbeds_english!P59*2.471),O59)</f>
        <v>86</v>
      </c>
      <c r="Q59" s="36">
        <f>+IF(O59&gt;0,INT(Fuelbeds_english!Q59*0.3048),O59)</f>
        <v>8</v>
      </c>
      <c r="R59" s="45">
        <f>+IF(O59&gt;0,INT(Fuelbeds_english!R59*0.3048),O59)</f>
        <v>3</v>
      </c>
      <c r="S59" s="45">
        <f>+IF(O59&gt;0,INT(Fuelbeds_english!S59*2.54),O59)</f>
        <v>16</v>
      </c>
      <c r="T59" s="36">
        <v>28766</v>
      </c>
      <c r="U59" s="36" t="s">
        <v>137</v>
      </c>
      <c r="V59" s="36">
        <v>100</v>
      </c>
      <c r="W59" s="36">
        <v>1</v>
      </c>
      <c r="X59" s="98">
        <v>3</v>
      </c>
      <c r="Y59" s="29">
        <v>14</v>
      </c>
      <c r="Z59" s="88" t="str">
        <f>+IF(Y59&gt;0,FIXED(Fuelbeds_english!Z59*0.3048,1,0),Y59)</f>
        <v>1.2</v>
      </c>
      <c r="AA59" s="36">
        <v>85</v>
      </c>
      <c r="AB59" s="45">
        <v>28862</v>
      </c>
      <c r="AC59" s="50" t="s">
        <v>376</v>
      </c>
      <c r="AD59" s="50">
        <v>100</v>
      </c>
      <c r="AE59" s="42">
        <v>60</v>
      </c>
      <c r="AF59" s="52" t="str">
        <f>+IF(AE59&gt;0,FIXED(Fuelbeds_english!AF59*0.3048,1,0),AE59)</f>
        <v>0.2</v>
      </c>
      <c r="AG59" s="45">
        <v>0</v>
      </c>
      <c r="AH59" s="52" t="str">
        <f>+IF(AE59&gt;0,FIXED(Fuelbeds_english!AH59*2.242,1,0),AE59)</f>
        <v>0.6</v>
      </c>
      <c r="AI59" s="45">
        <v>42269</v>
      </c>
      <c r="AJ59" s="45" t="s">
        <v>206</v>
      </c>
      <c r="AK59" s="45">
        <v>100</v>
      </c>
      <c r="AL59" s="34">
        <v>11</v>
      </c>
      <c r="AM59" s="52" t="str">
        <f>+IF(AL59&gt;0,FIXED(Fuelbeds_english!AM59*2.54,1,0),AL59)</f>
        <v>1.5</v>
      </c>
      <c r="AN59" s="52" t="str">
        <f>+IF($AM59&gt;0,FIXED(Fuelbeds_english!AN59*2.242,1,0),$AM59)</f>
        <v>1.3</v>
      </c>
      <c r="AO59" s="52" t="str">
        <f>+IF($AM59&gt;0,FIXED(Fuelbeds_english!AO59*2.242,1,0),$AM59)</f>
        <v>1.0</v>
      </c>
      <c r="AP59" s="52" t="str">
        <f>+IF($AM59&gt;0,FIXED(Fuelbeds_english!AP59*2.242,1,0),$AM59)</f>
        <v>1.5</v>
      </c>
      <c r="AQ59" s="52" t="str">
        <f>+IF($AM59&gt;0,FIXED(Fuelbeds_english!AQ59*2.242,1,0),$AM59)</f>
        <v>1.2</v>
      </c>
      <c r="AR59" s="36">
        <v>28766</v>
      </c>
      <c r="AS59" s="45" t="s">
        <v>137</v>
      </c>
      <c r="AT59" s="45">
        <v>100</v>
      </c>
      <c r="AU59" s="44">
        <v>-1</v>
      </c>
      <c r="AV59" s="52">
        <f>+IF(AU59&gt;0,FIXED(Fuelbeds_english!AV59*2.54,1,0),AU59)</f>
        <v>-1</v>
      </c>
      <c r="AW59" s="52">
        <v>-1</v>
      </c>
      <c r="AX59" s="52">
        <v>-1</v>
      </c>
      <c r="AY59" s="52">
        <f>+IF(AX59&gt;0,FIXED(Fuelbeds_english!AY59*2.54,1,0),AX59)</f>
        <v>-1</v>
      </c>
      <c r="AZ59" s="59">
        <v>2</v>
      </c>
      <c r="BA59" s="36">
        <v>90</v>
      </c>
      <c r="BB59" s="52" t="str">
        <f>+IF(BA59&gt;0,FIXED(Fuelbeds_english!BB59*2.54,1,0),BA59)</f>
        <v>2.5</v>
      </c>
      <c r="BC59" s="59">
        <v>-1</v>
      </c>
      <c r="BD59" s="59">
        <v>-1</v>
      </c>
      <c r="BE59" s="59">
        <v>-1</v>
      </c>
      <c r="BF59" s="61">
        <v>26</v>
      </c>
      <c r="BG59" s="59">
        <v>14</v>
      </c>
      <c r="BH59" s="59">
        <v>-1</v>
      </c>
      <c r="BI59" s="59">
        <v>60</v>
      </c>
      <c r="BJ59" s="28">
        <v>1</v>
      </c>
      <c r="BK59" s="67">
        <v>32.796864686468645</v>
      </c>
      <c r="BL59" s="52" t="str">
        <f>+IF(BK59&gt;0,FIXED(Fuelbeds_english!BL59*2.54,1,0),BK59)</f>
        <v>0.5</v>
      </c>
      <c r="BM59" s="59">
        <v>3</v>
      </c>
      <c r="BN59" s="67">
        <v>29.517178217821783</v>
      </c>
      <c r="BO59" s="52" t="str">
        <f>+IF(BN59&gt;0,FIXED(Fuelbeds_english!BO59*2.54,1,0),BN59)</f>
        <v>0.4</v>
      </c>
      <c r="BP59" s="43"/>
    </row>
    <row r="60" spans="1:68" ht="15" customHeight="1" x14ac:dyDescent="0.25">
      <c r="A60" s="50">
        <v>59</v>
      </c>
      <c r="B60" s="36">
        <v>2023</v>
      </c>
      <c r="C60" s="46">
        <v>2023</v>
      </c>
      <c r="D60" s="45" t="s">
        <v>7</v>
      </c>
      <c r="E60" s="38" t="s">
        <v>429</v>
      </c>
      <c r="F60" s="39">
        <v>7.6572300000000002</v>
      </c>
      <c r="G60" s="56">
        <v>7.6572300000000002</v>
      </c>
      <c r="H60" s="45">
        <f>+IF(F60&gt;0,INT(Fuelbeds_english!H60*2.471),F60)</f>
        <v>37</v>
      </c>
      <c r="I60" s="36">
        <f>+IF(F60&gt;0,INT(Fuelbeds_english!I60*0.3048),F60)</f>
        <v>9</v>
      </c>
      <c r="J60" s="45">
        <f>+IF(F60&gt;0,INT(Fuelbeds_english!J60*0.3048),F60)</f>
        <v>5</v>
      </c>
      <c r="K60" s="45">
        <f>+IF(F60&gt;0,INT(Fuelbeds_english!K60*2.54),F60)</f>
        <v>19</v>
      </c>
      <c r="L60" s="36">
        <v>28766</v>
      </c>
      <c r="M60" s="36" t="s">
        <v>137</v>
      </c>
      <c r="N60" s="36">
        <v>100</v>
      </c>
      <c r="O60" s="43">
        <v>4.1937148840206193</v>
      </c>
      <c r="P60" s="45">
        <f>+IF(O60&gt;0,INT(Fuelbeds_english!P60*2.471),O60)</f>
        <v>25</v>
      </c>
      <c r="Q60" s="36">
        <f>+IF(O60&gt;0,INT(Fuelbeds_english!Q60*0.3048),O60)</f>
        <v>5</v>
      </c>
      <c r="R60" s="45">
        <f>+IF(O60&gt;0,INT(Fuelbeds_english!R60*0.3048),O60)</f>
        <v>2</v>
      </c>
      <c r="S60" s="45">
        <f>+IF(O60&gt;0,INT(Fuelbeds_english!S60*2.54),O60)</f>
        <v>11</v>
      </c>
      <c r="T60" s="36">
        <v>28766</v>
      </c>
      <c r="U60" s="36" t="s">
        <v>137</v>
      </c>
      <c r="V60" s="36">
        <v>100</v>
      </c>
      <c r="W60" s="36">
        <v>1</v>
      </c>
      <c r="X60" s="98">
        <v>3</v>
      </c>
      <c r="Y60" s="29">
        <v>32</v>
      </c>
      <c r="Z60" s="88" t="str">
        <f>+IF(Y60&gt;0,FIXED(Fuelbeds_english!Z60*0.3048,1,0),Y60)</f>
        <v>1.2</v>
      </c>
      <c r="AA60" s="36">
        <v>85</v>
      </c>
      <c r="AB60" s="45">
        <v>28862</v>
      </c>
      <c r="AC60" s="50" t="s">
        <v>376</v>
      </c>
      <c r="AD60" s="50">
        <v>100</v>
      </c>
      <c r="AE60" s="42">
        <v>60</v>
      </c>
      <c r="AF60" s="52" t="str">
        <f>+IF(AE60&gt;0,FIXED(Fuelbeds_english!AF60*0.3048,1,0),AE60)</f>
        <v>0.2</v>
      </c>
      <c r="AG60" s="45">
        <v>0</v>
      </c>
      <c r="AH60" s="52" t="str">
        <f>+IF(AE60&gt;0,FIXED(Fuelbeds_english!AH60*2.242,1,0),AE60)</f>
        <v>0.2</v>
      </c>
      <c r="AI60" s="45">
        <v>26716</v>
      </c>
      <c r="AJ60" s="45" t="s">
        <v>208</v>
      </c>
      <c r="AK60" s="45">
        <v>100</v>
      </c>
      <c r="AL60" s="34">
        <v>11</v>
      </c>
      <c r="AM60" s="52" t="str">
        <f>+IF(AL60&gt;0,FIXED(Fuelbeds_english!AM60*2.54,1,0),AL60)</f>
        <v>1.5</v>
      </c>
      <c r="AN60" s="52" t="str">
        <f>+IF($AM60&gt;0,FIXED(Fuelbeds_english!AN60*2.242,1,0),$AM60)</f>
        <v>1.3</v>
      </c>
      <c r="AO60" s="52" t="str">
        <f>+IF($AM60&gt;0,FIXED(Fuelbeds_english!AO60*2.242,1,0),$AM60)</f>
        <v>1.0</v>
      </c>
      <c r="AP60" s="52" t="str">
        <f>+IF($AM60&gt;0,FIXED(Fuelbeds_english!AP60*2.242,1,0),$AM60)</f>
        <v>1.5</v>
      </c>
      <c r="AQ60" s="52" t="str">
        <f>+IF($AM60&gt;0,FIXED(Fuelbeds_english!AQ60*2.242,1,0),$AM60)</f>
        <v>1.2</v>
      </c>
      <c r="AR60" s="36">
        <v>28766</v>
      </c>
      <c r="AS60" s="45" t="s">
        <v>137</v>
      </c>
      <c r="AT60" s="45">
        <v>100</v>
      </c>
      <c r="AU60" s="44">
        <v>-1</v>
      </c>
      <c r="AV60" s="52">
        <f>+IF(AU60&gt;0,FIXED(Fuelbeds_english!AV60*2.54,1,0),AU60)</f>
        <v>-1</v>
      </c>
      <c r="AW60" s="52">
        <v>-1</v>
      </c>
      <c r="AX60" s="52">
        <v>-1</v>
      </c>
      <c r="AY60" s="52">
        <f>+IF(AX60&gt;0,FIXED(Fuelbeds_english!AY60*2.54,1,0),AX60)</f>
        <v>-1</v>
      </c>
      <c r="AZ60" s="59">
        <v>2</v>
      </c>
      <c r="BA60" s="36">
        <v>90</v>
      </c>
      <c r="BB60" s="52" t="str">
        <f>+IF(BA60&gt;0,FIXED(Fuelbeds_english!BB60*2.54,1,0),BA60)</f>
        <v>2.5</v>
      </c>
      <c r="BC60" s="59">
        <v>-1</v>
      </c>
      <c r="BD60" s="59">
        <v>-1</v>
      </c>
      <c r="BE60" s="59">
        <v>-1</v>
      </c>
      <c r="BF60" s="61">
        <v>8</v>
      </c>
      <c r="BG60" s="59">
        <v>32</v>
      </c>
      <c r="BH60" s="59">
        <v>-1</v>
      </c>
      <c r="BI60" s="59">
        <v>60</v>
      </c>
      <c r="BJ60" s="28">
        <v>1</v>
      </c>
      <c r="BK60" s="67">
        <v>32.720486798679865</v>
      </c>
      <c r="BL60" s="52" t="str">
        <f>+IF(BK60&gt;0,FIXED(Fuelbeds_english!BL60*2.54,1,0),BK60)</f>
        <v>0.5</v>
      </c>
      <c r="BM60" s="59">
        <v>3</v>
      </c>
      <c r="BN60" s="67">
        <v>29.448438118811882</v>
      </c>
      <c r="BO60" s="52" t="str">
        <f>+IF(BN60&gt;0,FIXED(Fuelbeds_english!BO60*2.54,1,0),BN60)</f>
        <v>0.4</v>
      </c>
      <c r="BP60" s="43"/>
    </row>
    <row r="61" spans="1:68" ht="15" customHeight="1" x14ac:dyDescent="0.25">
      <c r="A61" s="50">
        <v>60</v>
      </c>
      <c r="B61" s="36">
        <v>2026</v>
      </c>
      <c r="C61" s="46">
        <v>2026</v>
      </c>
      <c r="D61" s="45" t="s">
        <v>7</v>
      </c>
      <c r="E61" s="38" t="s">
        <v>430</v>
      </c>
      <c r="F61" s="39">
        <v>17.986799999999999</v>
      </c>
      <c r="G61" s="56">
        <v>17.986799999999999</v>
      </c>
      <c r="H61" s="45">
        <f>+IF(F61&gt;0,INT(Fuelbeds_english!H61*2.471),F61)</f>
        <v>87</v>
      </c>
      <c r="I61" s="36">
        <f>+IF(F61&gt;0,INT(Fuelbeds_english!I61*0.3048),F61)</f>
        <v>10</v>
      </c>
      <c r="J61" s="45">
        <f>+IF(F61&gt;0,INT(Fuelbeds_english!J61*0.3048),F61)</f>
        <v>6</v>
      </c>
      <c r="K61" s="45">
        <f>+IF(F61&gt;0,INT(Fuelbeds_english!K61*2.54),F61)</f>
        <v>20</v>
      </c>
      <c r="L61" s="36">
        <v>28766</v>
      </c>
      <c r="M61" s="36" t="s">
        <v>137</v>
      </c>
      <c r="N61" s="36">
        <v>100</v>
      </c>
      <c r="O61" s="43">
        <v>9.8510180412371131</v>
      </c>
      <c r="P61" s="45">
        <f>+IF(O61&gt;0,INT(Fuelbeds_english!P61*2.471),O61)</f>
        <v>60</v>
      </c>
      <c r="Q61" s="36">
        <f>+IF(O61&gt;0,INT(Fuelbeds_english!Q61*0.3048),O61)</f>
        <v>6</v>
      </c>
      <c r="R61" s="45">
        <f>+IF(O61&gt;0,INT(Fuelbeds_english!R61*0.3048),O61)</f>
        <v>2</v>
      </c>
      <c r="S61" s="45">
        <f>+IF(O61&gt;0,INT(Fuelbeds_english!S61*2.54),O61)</f>
        <v>12</v>
      </c>
      <c r="T61" s="36">
        <v>28766</v>
      </c>
      <c r="U61" s="36" t="s">
        <v>137</v>
      </c>
      <c r="V61" s="36">
        <v>100</v>
      </c>
      <c r="W61" s="36">
        <v>1</v>
      </c>
      <c r="X61" s="98">
        <v>3</v>
      </c>
      <c r="Y61" s="29">
        <v>22</v>
      </c>
      <c r="Z61" s="88" t="str">
        <f>+IF(Y61&gt;0,FIXED(Fuelbeds_english!Z61*0.3048,1,0),Y61)</f>
        <v>1.2</v>
      </c>
      <c r="AA61" s="36">
        <v>85</v>
      </c>
      <c r="AB61" s="45">
        <v>28862</v>
      </c>
      <c r="AC61" s="46" t="s">
        <v>376</v>
      </c>
      <c r="AD61" s="46">
        <v>100</v>
      </c>
      <c r="AE61" s="42">
        <v>60</v>
      </c>
      <c r="AF61" s="52" t="str">
        <f>+IF(AE61&gt;0,FIXED(Fuelbeds_english!AF61*0.3048,1,0),AE61)</f>
        <v>0.2</v>
      </c>
      <c r="AG61" s="45">
        <v>0</v>
      </c>
      <c r="AH61" s="52" t="str">
        <f>+IF(AE61&gt;0,FIXED(Fuelbeds_english!AH61*2.242,1,0),AE61)</f>
        <v>0.2</v>
      </c>
      <c r="AI61" s="36">
        <v>26857</v>
      </c>
      <c r="AJ61" s="43" t="s">
        <v>415</v>
      </c>
      <c r="AK61" s="36">
        <v>100</v>
      </c>
      <c r="AL61" s="34">
        <v>11</v>
      </c>
      <c r="AM61" s="52" t="str">
        <f>+IF(AL61&gt;0,FIXED(Fuelbeds_english!AM61*2.54,1,0),AL61)</f>
        <v>1.5</v>
      </c>
      <c r="AN61" s="52" t="str">
        <f>+IF($AM61&gt;0,FIXED(Fuelbeds_english!AN61*2.242,1,0),$AM61)</f>
        <v>1.3</v>
      </c>
      <c r="AO61" s="52" t="str">
        <f>+IF($AM61&gt;0,FIXED(Fuelbeds_english!AO61*2.242,1,0),$AM61)</f>
        <v>1.0</v>
      </c>
      <c r="AP61" s="52" t="str">
        <f>+IF($AM61&gt;0,FIXED(Fuelbeds_english!AP61*2.242,1,0),$AM61)</f>
        <v>1.5</v>
      </c>
      <c r="AQ61" s="52" t="str">
        <f>+IF($AM61&gt;0,FIXED(Fuelbeds_english!AQ61*2.242,1,0),$AM61)</f>
        <v>1.2</v>
      </c>
      <c r="AR61" s="36">
        <v>28766</v>
      </c>
      <c r="AS61" s="45" t="s">
        <v>137</v>
      </c>
      <c r="AT61" s="45">
        <v>100</v>
      </c>
      <c r="AU61" s="44">
        <v>-1</v>
      </c>
      <c r="AV61" s="52">
        <f>+IF(AU61&gt;0,FIXED(Fuelbeds_english!AV61*2.54,1,0),AU61)</f>
        <v>-1</v>
      </c>
      <c r="AW61" s="52">
        <v>-1</v>
      </c>
      <c r="AX61" s="52">
        <v>-1</v>
      </c>
      <c r="AY61" s="52">
        <f>+IF(AX61&gt;0,FIXED(Fuelbeds_english!AY61*2.54,1,0),AX61)</f>
        <v>-1</v>
      </c>
      <c r="AZ61" s="59">
        <v>2</v>
      </c>
      <c r="BA61" s="36">
        <v>90</v>
      </c>
      <c r="BB61" s="52" t="str">
        <f>+IF(BA61&gt;0,FIXED(Fuelbeds_english!BB61*2.54,1,0),BA61)</f>
        <v>2.5</v>
      </c>
      <c r="BC61" s="59">
        <v>-1</v>
      </c>
      <c r="BD61" s="59">
        <v>-1</v>
      </c>
      <c r="BE61" s="59">
        <v>-1</v>
      </c>
      <c r="BF61" s="61">
        <v>18</v>
      </c>
      <c r="BG61" s="59">
        <v>22</v>
      </c>
      <c r="BH61" s="59">
        <v>-1</v>
      </c>
      <c r="BI61" s="59">
        <v>60</v>
      </c>
      <c r="BJ61" s="28">
        <v>1</v>
      </c>
      <c r="BK61" s="67">
        <v>32.99240924092409</v>
      </c>
      <c r="BL61" s="52" t="str">
        <f>+IF(BK61&gt;0,FIXED(Fuelbeds_english!BL61*2.54,1,0),BK61)</f>
        <v>0.5</v>
      </c>
      <c r="BM61" s="59">
        <v>3</v>
      </c>
      <c r="BN61" s="67">
        <v>29.693168316831684</v>
      </c>
      <c r="BO61" s="52" t="str">
        <f>+IF(BN61&gt;0,FIXED(Fuelbeds_english!BO61*2.54,1,0),BN61)</f>
        <v>0.4</v>
      </c>
      <c r="BP61" s="43"/>
    </row>
    <row r="62" spans="1:68" ht="15" customHeight="1" x14ac:dyDescent="0.25">
      <c r="A62" s="50">
        <v>61</v>
      </c>
      <c r="B62" s="36">
        <v>2029</v>
      </c>
      <c r="C62" s="36">
        <v>2029</v>
      </c>
      <c r="D62" s="45" t="s">
        <v>7</v>
      </c>
      <c r="E62" s="38" t="s">
        <v>433</v>
      </c>
      <c r="F62" s="39">
        <v>19.204499999999999</v>
      </c>
      <c r="G62" s="56">
        <v>19.204499999999999</v>
      </c>
      <c r="H62" s="45">
        <f>+IF(F62&gt;0,INT(Fuelbeds_english!H62*2.471),F62)</f>
        <v>93</v>
      </c>
      <c r="I62" s="36">
        <f>+IF(F62&gt;0,INT(Fuelbeds_english!I62*0.3048),F62)</f>
        <v>13</v>
      </c>
      <c r="J62" s="45">
        <f>+IF(F62&gt;0,INT(Fuelbeds_english!J62*0.3048),F62)</f>
        <v>7</v>
      </c>
      <c r="K62" s="45">
        <f>+IF(F62&gt;0,INT(Fuelbeds_english!K62*2.54),F62)</f>
        <v>26</v>
      </c>
      <c r="L62" s="36">
        <v>28766</v>
      </c>
      <c r="M62" s="36" t="s">
        <v>137</v>
      </c>
      <c r="N62" s="36">
        <v>100</v>
      </c>
      <c r="O62" s="43">
        <v>10.517928479381444</v>
      </c>
      <c r="P62" s="45">
        <f>+IF(O62&gt;0,INT(Fuelbeds_english!P62*2.471),O62)</f>
        <v>64</v>
      </c>
      <c r="Q62" s="36">
        <f>+IF(O62&gt;0,INT(Fuelbeds_english!Q62*0.3048),O62)</f>
        <v>8</v>
      </c>
      <c r="R62" s="45">
        <f>+IF(O62&gt;0,INT(Fuelbeds_english!R62*0.3048),O62)</f>
        <v>3</v>
      </c>
      <c r="S62" s="45">
        <f>+IF(O62&gt;0,INT(Fuelbeds_english!S62*2.54),O62)</f>
        <v>15</v>
      </c>
      <c r="T62" s="36">
        <v>28766</v>
      </c>
      <c r="U62" s="36" t="s">
        <v>137</v>
      </c>
      <c r="V62" s="36">
        <v>100</v>
      </c>
      <c r="W62" s="36">
        <v>1</v>
      </c>
      <c r="X62" s="98">
        <v>3</v>
      </c>
      <c r="Y62" s="29">
        <v>21</v>
      </c>
      <c r="Z62" s="88" t="str">
        <f>+IF(Y62&gt;0,FIXED(Fuelbeds_english!Z62*0.3048,1,0),Y62)</f>
        <v>1.2</v>
      </c>
      <c r="AA62" s="36">
        <v>85</v>
      </c>
      <c r="AB62" s="45">
        <v>28862</v>
      </c>
      <c r="AC62" s="50" t="s">
        <v>376</v>
      </c>
      <c r="AD62" s="50">
        <v>100</v>
      </c>
      <c r="AE62" s="42">
        <v>60</v>
      </c>
      <c r="AF62" s="52" t="str">
        <f>+IF(AE62&gt;0,FIXED(Fuelbeds_english!AF62*0.3048,1,0),AE62)</f>
        <v>3.0</v>
      </c>
      <c r="AG62" s="62">
        <v>100</v>
      </c>
      <c r="AH62" s="52" t="str">
        <f>+IF(AE62&gt;0,FIXED(Fuelbeds_english!AH62*2.242,1,0),AE62)</f>
        <v>5.4</v>
      </c>
      <c r="AI62" s="45">
        <v>42058</v>
      </c>
      <c r="AJ62" s="45" t="s">
        <v>421</v>
      </c>
      <c r="AK62" s="62">
        <v>100</v>
      </c>
      <c r="AL62" s="34">
        <v>11</v>
      </c>
      <c r="AM62" s="52" t="str">
        <f>+IF(AL62&gt;0,FIXED(Fuelbeds_english!AM62*2.54,1,0),AL62)</f>
        <v>1.5</v>
      </c>
      <c r="AN62" s="52" t="str">
        <f>+IF($AM62&gt;0,FIXED(Fuelbeds_english!AN62*2.242,1,0),$AM62)</f>
        <v>1.4</v>
      </c>
      <c r="AO62" s="52" t="str">
        <f>+IF($AM62&gt;0,FIXED(Fuelbeds_english!AO62*2.242,1,0),$AM62)</f>
        <v>1.0</v>
      </c>
      <c r="AP62" s="52" t="str">
        <f>+IF($AM62&gt;0,FIXED(Fuelbeds_english!AP62*2.242,1,0),$AM62)</f>
        <v>1.6</v>
      </c>
      <c r="AQ62" s="52" t="str">
        <f>+IF($AM62&gt;0,FIXED(Fuelbeds_english!AQ62*2.242,1,0),$AM62)</f>
        <v>1.2</v>
      </c>
      <c r="AR62" s="36">
        <v>28766</v>
      </c>
      <c r="AS62" s="45" t="s">
        <v>137</v>
      </c>
      <c r="AT62" s="45">
        <v>100</v>
      </c>
      <c r="AU62" s="44">
        <v>-1</v>
      </c>
      <c r="AV62" s="52">
        <f>+IF(AU62&gt;0,FIXED(Fuelbeds_english!AV62*2.54,1,0),AU62)</f>
        <v>-1</v>
      </c>
      <c r="AW62" s="52">
        <v>-1</v>
      </c>
      <c r="AX62" s="52">
        <v>-1</v>
      </c>
      <c r="AY62" s="52">
        <f>+IF(AX62&gt;0,FIXED(Fuelbeds_english!AY62*2.54,1,0),AX62)</f>
        <v>-1</v>
      </c>
      <c r="AZ62" s="59">
        <v>2</v>
      </c>
      <c r="BA62" s="36">
        <v>90</v>
      </c>
      <c r="BB62" s="52" t="str">
        <f>+IF(BA62&gt;0,FIXED(Fuelbeds_english!BB62*2.54,1,0),BA62)</f>
        <v>2.5</v>
      </c>
      <c r="BC62" s="59">
        <v>-1</v>
      </c>
      <c r="BD62" s="59">
        <v>-1</v>
      </c>
      <c r="BE62" s="59">
        <v>-1</v>
      </c>
      <c r="BF62" s="61">
        <v>19</v>
      </c>
      <c r="BG62" s="59">
        <v>21</v>
      </c>
      <c r="BH62" s="59">
        <v>-1</v>
      </c>
      <c r="BI62" s="59">
        <v>60</v>
      </c>
      <c r="BJ62" s="28">
        <v>1</v>
      </c>
      <c r="BK62" s="67">
        <v>33.172029702970292</v>
      </c>
      <c r="BL62" s="52" t="str">
        <f>+IF(BK62&gt;0,FIXED(Fuelbeds_english!BL62*2.54,1,0),BK62)</f>
        <v>0.5</v>
      </c>
      <c r="BM62" s="59">
        <v>3</v>
      </c>
      <c r="BN62" s="67">
        <v>29.854826732673263</v>
      </c>
      <c r="BO62" s="52" t="str">
        <f>+IF(BN62&gt;0,FIXED(Fuelbeds_english!BO62*2.54,1,0),BN62)</f>
        <v>0.4</v>
      </c>
      <c r="BP62" s="43"/>
    </row>
    <row r="63" spans="1:68" ht="15" customHeight="1" x14ac:dyDescent="0.25">
      <c r="A63" s="50">
        <v>62</v>
      </c>
      <c r="B63" s="52">
        <v>2030</v>
      </c>
      <c r="C63" s="52">
        <v>2030</v>
      </c>
      <c r="D63" s="45" t="s">
        <v>7</v>
      </c>
      <c r="E63" s="39" t="s">
        <v>461</v>
      </c>
      <c r="F63" s="39">
        <v>10.8071</v>
      </c>
      <c r="G63" s="56">
        <v>10.8071</v>
      </c>
      <c r="H63" s="45">
        <f>+IF(F63&gt;0,INT(Fuelbeds_english!H63*2.471),F63)</f>
        <v>52</v>
      </c>
      <c r="I63" s="36">
        <f>+IF(F63&gt;0,INT(Fuelbeds_english!I63*0.3048),F63)</f>
        <v>9</v>
      </c>
      <c r="J63" s="45">
        <f>+IF(F63&gt;0,INT(Fuelbeds_english!J63*0.3048),F63)</f>
        <v>5</v>
      </c>
      <c r="K63" s="45">
        <f>+IF(F63&gt;0,INT(Fuelbeds_english!K63*2.54),F63)</f>
        <v>19</v>
      </c>
      <c r="L63" s="36">
        <v>28766</v>
      </c>
      <c r="M63" s="36" t="s">
        <v>137</v>
      </c>
      <c r="N63" s="36">
        <v>100</v>
      </c>
      <c r="O63" s="43">
        <v>5.9188369845360835</v>
      </c>
      <c r="P63" s="45">
        <f>+IF(O63&gt;0,INT(Fuelbeds_english!P63*2.471),O63)</f>
        <v>36</v>
      </c>
      <c r="Q63" s="36">
        <f>+IF(O63&gt;0,INT(Fuelbeds_english!Q63*0.3048),O63)</f>
        <v>5</v>
      </c>
      <c r="R63" s="45">
        <f>+IF(O63&gt;0,INT(Fuelbeds_english!R63*0.3048),O63)</f>
        <v>2</v>
      </c>
      <c r="S63" s="45">
        <f>+IF(O63&gt;0,INT(Fuelbeds_english!S63*2.54),O63)</f>
        <v>11</v>
      </c>
      <c r="T63" s="36">
        <v>28766</v>
      </c>
      <c r="U63" s="36" t="s">
        <v>137</v>
      </c>
      <c r="V63" s="36">
        <v>100</v>
      </c>
      <c r="W63" s="36">
        <v>1</v>
      </c>
      <c r="X63" s="98">
        <v>3</v>
      </c>
      <c r="Y63" s="29">
        <v>49</v>
      </c>
      <c r="Z63" s="88" t="str">
        <f>+IF(Y63&gt;0,FIXED(Fuelbeds_english!Z63*0.3048,1,0),Y63)</f>
        <v>1.2</v>
      </c>
      <c r="AA63" s="36">
        <v>85</v>
      </c>
      <c r="AB63" s="45">
        <v>28862</v>
      </c>
      <c r="AC63" s="50" t="s">
        <v>376</v>
      </c>
      <c r="AD63" s="50">
        <v>100</v>
      </c>
      <c r="AE63" s="42">
        <v>40</v>
      </c>
      <c r="AF63" s="52" t="str">
        <f>+IF(AE63&gt;0,FIXED(Fuelbeds_english!AF63*0.3048,1,0),AE63)</f>
        <v>0.2</v>
      </c>
      <c r="AG63" s="45">
        <v>0</v>
      </c>
      <c r="AH63" s="52" t="str">
        <f>+IF(AE63&gt;0,FIXED(Fuelbeds_english!AH63*2.242,1,0),AE63)</f>
        <v>0.2</v>
      </c>
      <c r="AI63" s="45">
        <v>42236</v>
      </c>
      <c r="AJ63" s="45" t="s">
        <v>207</v>
      </c>
      <c r="AK63" s="45">
        <v>100</v>
      </c>
      <c r="AL63" s="34">
        <v>16.955621134020621</v>
      </c>
      <c r="AM63" s="52" t="str">
        <f>+IF(AL63&gt;0,FIXED(Fuelbeds_english!AM63*2.54,1,0),AL63)</f>
        <v>2.3</v>
      </c>
      <c r="AN63" s="52" t="str">
        <f>+IF($AM63&gt;0,FIXED(Fuelbeds_english!AN63*2.242,1,0),$AM63)</f>
        <v>2.0</v>
      </c>
      <c r="AO63" s="52" t="str">
        <f>+IF($AM63&gt;0,FIXED(Fuelbeds_english!AO63*2.242,1,0),$AM63)</f>
        <v>1.5</v>
      </c>
      <c r="AP63" s="52" t="str">
        <f>+IF($AM63&gt;0,FIXED(Fuelbeds_english!AP63*2.242,1,0),$AM63)</f>
        <v>2.3</v>
      </c>
      <c r="AQ63" s="52" t="str">
        <f>+IF($AM63&gt;0,FIXED(Fuelbeds_english!AQ63*2.242,1,0),$AM63)</f>
        <v>1.8</v>
      </c>
      <c r="AR63" s="36">
        <v>28766</v>
      </c>
      <c r="AS63" s="45" t="s">
        <v>137</v>
      </c>
      <c r="AT63" s="45">
        <v>100</v>
      </c>
      <c r="AU63" s="44">
        <v>-1</v>
      </c>
      <c r="AV63" s="52">
        <f>+IF(AU63&gt;0,FIXED(Fuelbeds_english!AV63*2.54,1,0),AU63)</f>
        <v>-1</v>
      </c>
      <c r="AW63" s="52">
        <v>-1</v>
      </c>
      <c r="AX63" s="52">
        <v>-1</v>
      </c>
      <c r="AY63" s="52">
        <f>+IF(AX63&gt;0,FIXED(Fuelbeds_english!AY63*2.54,1,0),AX63)</f>
        <v>-1</v>
      </c>
      <c r="AZ63" s="59">
        <v>1</v>
      </c>
      <c r="BA63" s="36">
        <v>90</v>
      </c>
      <c r="BB63" s="52" t="str">
        <f>+IF(BA63&gt;0,FIXED(Fuelbeds_english!BB63*2.54,1,0),BA63)</f>
        <v>2.5</v>
      </c>
      <c r="BC63" s="59">
        <v>-1</v>
      </c>
      <c r="BD63" s="59">
        <v>-1</v>
      </c>
      <c r="BE63" s="59">
        <v>-1</v>
      </c>
      <c r="BF63" s="61">
        <v>11</v>
      </c>
      <c r="BG63" s="59">
        <v>49</v>
      </c>
      <c r="BH63" s="59">
        <v>-1</v>
      </c>
      <c r="BI63" s="59">
        <v>40</v>
      </c>
      <c r="BJ63" s="28">
        <v>1</v>
      </c>
      <c r="BK63" s="67">
        <v>49.345792079207911</v>
      </c>
      <c r="BL63" s="52" t="str">
        <f>+IF(BK63&gt;0,FIXED(Fuelbeds_english!BL63*2.54,1,0),BK63)</f>
        <v>0.5</v>
      </c>
      <c r="BM63" s="59">
        <v>3</v>
      </c>
      <c r="BN63" s="67">
        <v>44.411212871287134</v>
      </c>
      <c r="BO63" s="52" t="str">
        <f>+IF(BN63&gt;0,FIXED(Fuelbeds_english!BO63*2.54,1,0),BN63)</f>
        <v>0.4</v>
      </c>
      <c r="BP63" s="43"/>
    </row>
    <row r="64" spans="1:68" ht="15" customHeight="1" x14ac:dyDescent="0.25">
      <c r="A64" s="50">
        <v>63</v>
      </c>
      <c r="B64" s="52">
        <v>2031</v>
      </c>
      <c r="C64" s="52">
        <v>2031</v>
      </c>
      <c r="D64" s="45" t="s">
        <v>7</v>
      </c>
      <c r="E64" s="39" t="s">
        <v>460</v>
      </c>
      <c r="F64" s="39">
        <v>22.269400000000001</v>
      </c>
      <c r="G64" s="56">
        <v>22.269400000000001</v>
      </c>
      <c r="H64" s="45">
        <f>+IF(F64&gt;0,INT(Fuelbeds_english!H64*2.471),F64)</f>
        <v>108</v>
      </c>
      <c r="I64" s="36">
        <f>+IF(F64&gt;0,INT(Fuelbeds_english!I64*0.3048),F64)</f>
        <v>14</v>
      </c>
      <c r="J64" s="45">
        <f>+IF(F64&gt;0,INT(Fuelbeds_english!J64*0.3048),F64)</f>
        <v>8</v>
      </c>
      <c r="K64" s="45">
        <f>+IF(F64&gt;0,INT(Fuelbeds_english!K64*2.54),F64)</f>
        <v>28</v>
      </c>
      <c r="L64" s="36">
        <v>28766</v>
      </c>
      <c r="M64" s="36" t="s">
        <v>137</v>
      </c>
      <c r="N64" s="36">
        <v>100</v>
      </c>
      <c r="O64" s="43">
        <v>12.196514175257734</v>
      </c>
      <c r="P64" s="45">
        <f>+IF(O64&gt;0,INT(Fuelbeds_english!P64*2.471),O64)</f>
        <v>74</v>
      </c>
      <c r="Q64" s="36">
        <f>+IF(O64&gt;0,INT(Fuelbeds_english!Q64*0.3048),O64)</f>
        <v>8</v>
      </c>
      <c r="R64" s="45">
        <f>+IF(O64&gt;0,INT(Fuelbeds_english!R64*0.3048),O64)</f>
        <v>3</v>
      </c>
      <c r="S64" s="45">
        <f>+IF(O64&gt;0,INT(Fuelbeds_english!S64*2.54),O64)</f>
        <v>17</v>
      </c>
      <c r="T64" s="36">
        <v>28766</v>
      </c>
      <c r="U64" s="36" t="s">
        <v>137</v>
      </c>
      <c r="V64" s="36">
        <v>100</v>
      </c>
      <c r="W64" s="36">
        <v>1</v>
      </c>
      <c r="X64" s="98">
        <v>3</v>
      </c>
      <c r="Y64" s="29">
        <v>38</v>
      </c>
      <c r="Z64" s="88" t="str">
        <f>+IF(Y64&gt;0,FIXED(Fuelbeds_english!Z64*0.3048,1,0),Y64)</f>
        <v>1.2</v>
      </c>
      <c r="AA64" s="36">
        <v>85</v>
      </c>
      <c r="AB64" s="45">
        <v>28862</v>
      </c>
      <c r="AC64" s="46" t="s">
        <v>376</v>
      </c>
      <c r="AD64" s="46">
        <v>100</v>
      </c>
      <c r="AE64" s="42">
        <v>40</v>
      </c>
      <c r="AF64" s="52" t="str">
        <f>+IF(AE64&gt;0,FIXED(Fuelbeds_english!AF64*0.3048,1,0),AE64)</f>
        <v>0.2</v>
      </c>
      <c r="AG64" s="45">
        <v>0</v>
      </c>
      <c r="AH64" s="52" t="str">
        <f>+IF(AE64&gt;0,FIXED(Fuelbeds_english!AH64*2.242,1,0),AE64)</f>
        <v>1.2</v>
      </c>
      <c r="AI64" s="45">
        <v>41976</v>
      </c>
      <c r="AJ64" s="45" t="s">
        <v>209</v>
      </c>
      <c r="AK64" s="45">
        <v>100</v>
      </c>
      <c r="AL64" s="34">
        <v>16.912092783505202</v>
      </c>
      <c r="AM64" s="52" t="str">
        <f>+IF(AL64&gt;0,FIXED(Fuelbeds_english!AM64*2.54,1,0),AL64)</f>
        <v>2.3</v>
      </c>
      <c r="AN64" s="52" t="str">
        <f>+IF($AM64&gt;0,FIXED(Fuelbeds_english!AN64*2.242,1,0),$AM64)</f>
        <v>2.0</v>
      </c>
      <c r="AO64" s="52" t="str">
        <f>+IF($AM64&gt;0,FIXED(Fuelbeds_english!AO64*2.242,1,0),$AM64)</f>
        <v>1.6</v>
      </c>
      <c r="AP64" s="52" t="str">
        <f>+IF($AM64&gt;0,FIXED(Fuelbeds_english!AP64*2.242,1,0),$AM64)</f>
        <v>2.3</v>
      </c>
      <c r="AQ64" s="52" t="str">
        <f>+IF($AM64&gt;0,FIXED(Fuelbeds_english!AQ64*2.242,1,0),$AM64)</f>
        <v>1.8</v>
      </c>
      <c r="AR64" s="36">
        <v>28766</v>
      </c>
      <c r="AS64" s="45" t="s">
        <v>137</v>
      </c>
      <c r="AT64" s="45">
        <v>100</v>
      </c>
      <c r="AU64" s="44">
        <v>-1</v>
      </c>
      <c r="AV64" s="52">
        <f>+IF(AU64&gt;0,FIXED(Fuelbeds_english!AV64*2.54,1,0),AU64)</f>
        <v>-1</v>
      </c>
      <c r="AW64" s="52">
        <v>-1</v>
      </c>
      <c r="AX64" s="52">
        <v>-1</v>
      </c>
      <c r="AY64" s="52">
        <f>+IF(AX64&gt;0,FIXED(Fuelbeds_english!AY64*2.54,1,0),AX64)</f>
        <v>-1</v>
      </c>
      <c r="AZ64" s="59">
        <v>1</v>
      </c>
      <c r="BA64" s="36">
        <v>90</v>
      </c>
      <c r="BB64" s="52" t="str">
        <f>+IF(BA64&gt;0,FIXED(Fuelbeds_english!BB64*2.54,1,0),BA64)</f>
        <v>2.5</v>
      </c>
      <c r="BC64" s="59">
        <v>-1</v>
      </c>
      <c r="BD64" s="59">
        <v>-1</v>
      </c>
      <c r="BE64" s="59">
        <v>-1</v>
      </c>
      <c r="BF64" s="61">
        <v>22</v>
      </c>
      <c r="BG64" s="59">
        <v>38</v>
      </c>
      <c r="BH64" s="59">
        <v>-1</v>
      </c>
      <c r="BI64" s="59">
        <v>40</v>
      </c>
      <c r="BJ64" s="28">
        <v>1</v>
      </c>
      <c r="BK64" s="67">
        <v>49.727227722772277</v>
      </c>
      <c r="BL64" s="52" t="str">
        <f>+IF(BK64&gt;0,FIXED(Fuelbeds_english!BL64*2.54,1,0),BK64)</f>
        <v>0.5</v>
      </c>
      <c r="BM64" s="59">
        <v>3</v>
      </c>
      <c r="BN64" s="67">
        <v>44.754504950495047</v>
      </c>
      <c r="BO64" s="52" t="str">
        <f>+IF(BN64&gt;0,FIXED(Fuelbeds_english!BO64*2.54,1,0),BN64)</f>
        <v>0.4</v>
      </c>
      <c r="BP64" s="43"/>
    </row>
    <row r="65" spans="1:68" ht="15" customHeight="1" x14ac:dyDescent="0.25">
      <c r="A65" s="50">
        <v>64</v>
      </c>
      <c r="B65" s="52" t="s">
        <v>516</v>
      </c>
      <c r="C65" s="68">
        <v>912032</v>
      </c>
      <c r="D65" s="45" t="s">
        <v>7</v>
      </c>
      <c r="E65" s="39" t="s">
        <v>462</v>
      </c>
      <c r="F65" s="39">
        <v>16.808599999999998</v>
      </c>
      <c r="G65" s="56">
        <v>16.808599999999998</v>
      </c>
      <c r="H65" s="45">
        <f>+IF(F65&gt;0,INT(Fuelbeds_english!H65*2.471),F65)</f>
        <v>81</v>
      </c>
      <c r="I65" s="36">
        <f>+IF(F65&gt;0,INT(Fuelbeds_english!I65*0.3048),F65)</f>
        <v>11</v>
      </c>
      <c r="J65" s="45">
        <f>+IF(F65&gt;0,INT(Fuelbeds_english!J65*0.3048),F65)</f>
        <v>6</v>
      </c>
      <c r="K65" s="45">
        <f>+IF(F65&gt;0,INT(Fuelbeds_english!K65*2.54),F65)</f>
        <v>22</v>
      </c>
      <c r="L65" s="36">
        <v>28766</v>
      </c>
      <c r="M65" s="36" t="s">
        <v>137</v>
      </c>
      <c r="N65" s="36">
        <v>100</v>
      </c>
      <c r="O65" s="43">
        <v>9.2057409793814422</v>
      </c>
      <c r="P65" s="45">
        <f>+IF(O65&gt;0,INT(Fuelbeds_english!P65*2.471),O65)</f>
        <v>56</v>
      </c>
      <c r="Q65" s="36">
        <f>+IF(O65&gt;0,INT(Fuelbeds_english!Q65*0.3048),O65)</f>
        <v>6</v>
      </c>
      <c r="R65" s="45">
        <f>+IF(O65&gt;0,INT(Fuelbeds_english!R65*0.3048),O65)</f>
        <v>2</v>
      </c>
      <c r="S65" s="45">
        <f>+IF(O65&gt;0,INT(Fuelbeds_english!S65*2.54),O65)</f>
        <v>13</v>
      </c>
      <c r="T65" s="36">
        <v>28766</v>
      </c>
      <c r="U65" s="36" t="s">
        <v>137</v>
      </c>
      <c r="V65" s="36">
        <v>100</v>
      </c>
      <c r="W65" s="36">
        <v>1</v>
      </c>
      <c r="X65" s="98">
        <v>3</v>
      </c>
      <c r="Y65" s="29">
        <v>43</v>
      </c>
      <c r="Z65" s="88" t="str">
        <f>+IF(Y65&gt;0,FIXED(Fuelbeds_english!Z65*0.3048,1,0),Y65)</f>
        <v>1.2</v>
      </c>
      <c r="AA65" s="36">
        <v>85</v>
      </c>
      <c r="AB65" s="45">
        <v>28862</v>
      </c>
      <c r="AC65" s="46" t="s">
        <v>376</v>
      </c>
      <c r="AD65" s="50">
        <v>100</v>
      </c>
      <c r="AE65" s="42">
        <v>40</v>
      </c>
      <c r="AF65" s="52" t="str">
        <f>+IF(AE65&gt;0,FIXED(Fuelbeds_english!AF65*0.3048,1,0),AE65)</f>
        <v>0.2</v>
      </c>
      <c r="AG65" s="45">
        <v>0</v>
      </c>
      <c r="AH65" s="52" t="str">
        <f>+IF(AE65&gt;0,FIXED(Fuelbeds_english!AH65*2.242,1,0),AE65)</f>
        <v>0.4</v>
      </c>
      <c r="AI65" s="45">
        <v>42269</v>
      </c>
      <c r="AJ65" s="45" t="s">
        <v>206</v>
      </c>
      <c r="AK65" s="45">
        <v>100</v>
      </c>
      <c r="AL65" s="34">
        <v>16.956046391752579</v>
      </c>
      <c r="AM65" s="52" t="str">
        <f>+IF(AL65&gt;0,FIXED(Fuelbeds_english!AM65*2.54,1,0),AL65)</f>
        <v>2.3</v>
      </c>
      <c r="AN65" s="52" t="str">
        <f>+IF($AM65&gt;0,FIXED(Fuelbeds_english!AN65*2.242,1,0),$AM65)</f>
        <v>2.0</v>
      </c>
      <c r="AO65" s="52" t="str">
        <f>+IF($AM65&gt;0,FIXED(Fuelbeds_english!AO65*2.242,1,0),$AM65)</f>
        <v>1.5</v>
      </c>
      <c r="AP65" s="52" t="str">
        <f>+IF($AM65&gt;0,FIXED(Fuelbeds_english!AP65*2.242,1,0),$AM65)</f>
        <v>2.3</v>
      </c>
      <c r="AQ65" s="52" t="str">
        <f>+IF($AM65&gt;0,FIXED(Fuelbeds_english!AQ65*2.242,1,0),$AM65)</f>
        <v>1.8</v>
      </c>
      <c r="AR65" s="36">
        <v>28766</v>
      </c>
      <c r="AS65" s="45" t="s">
        <v>137</v>
      </c>
      <c r="AT65" s="45">
        <v>100</v>
      </c>
      <c r="AU65" s="44">
        <v>-1</v>
      </c>
      <c r="AV65" s="52">
        <f>+IF(AU65&gt;0,FIXED(Fuelbeds_english!AV65*2.54,1,0),AU65)</f>
        <v>-1</v>
      </c>
      <c r="AW65" s="52">
        <v>-1</v>
      </c>
      <c r="AX65" s="52">
        <v>-1</v>
      </c>
      <c r="AY65" s="52">
        <f>+IF(AX65&gt;0,FIXED(Fuelbeds_english!AY65*2.54,1,0),AX65)</f>
        <v>-1</v>
      </c>
      <c r="AZ65" s="59">
        <v>1</v>
      </c>
      <c r="BA65" s="36">
        <v>90</v>
      </c>
      <c r="BB65" s="52" t="str">
        <f>+IF(BA65&gt;0,FIXED(Fuelbeds_english!BB65*2.54,1,0),BA65)</f>
        <v>2.5</v>
      </c>
      <c r="BC65" s="59">
        <v>-1</v>
      </c>
      <c r="BD65" s="59">
        <v>-1</v>
      </c>
      <c r="BE65" s="59">
        <v>-1</v>
      </c>
      <c r="BF65" s="61">
        <v>17</v>
      </c>
      <c r="BG65" s="59">
        <v>43</v>
      </c>
      <c r="BH65" s="59">
        <v>-1</v>
      </c>
      <c r="BI65" s="59">
        <v>40</v>
      </c>
      <c r="BJ65" s="28">
        <v>1</v>
      </c>
      <c r="BK65" s="67">
        <v>49.347029702970289</v>
      </c>
      <c r="BL65" s="52" t="str">
        <f>+IF(BK65&gt;0,FIXED(Fuelbeds_english!BL65*2.54,1,0),BK65)</f>
        <v>0.5</v>
      </c>
      <c r="BM65" s="59">
        <v>3</v>
      </c>
      <c r="BN65" s="67">
        <v>44.412326732673264</v>
      </c>
      <c r="BO65" s="52" t="str">
        <f>+IF(BN65&gt;0,FIXED(Fuelbeds_english!BO65*2.54,1,0),BN65)</f>
        <v>0.4</v>
      </c>
      <c r="BP65" s="43"/>
    </row>
    <row r="66" spans="1:68" ht="15" customHeight="1" x14ac:dyDescent="0.25">
      <c r="A66" s="50">
        <v>65</v>
      </c>
      <c r="B66" s="52" t="s">
        <v>517</v>
      </c>
      <c r="C66" s="68">
        <v>922032</v>
      </c>
      <c r="D66" s="45" t="s">
        <v>7</v>
      </c>
      <c r="E66" s="39" t="s">
        <v>462</v>
      </c>
      <c r="F66" s="39">
        <v>52.365000000000002</v>
      </c>
      <c r="G66" s="56">
        <v>52.365000000000002</v>
      </c>
      <c r="H66" s="45">
        <f>+IF(F66&gt;0,INT(Fuelbeds_english!H66*2.471),F66)</f>
        <v>254</v>
      </c>
      <c r="I66" s="36">
        <f>+IF(F66&gt;0,INT(Fuelbeds_english!I66*0.3048),F66)</f>
        <v>14</v>
      </c>
      <c r="J66" s="45">
        <f>+IF(F66&gt;0,INT(Fuelbeds_english!J66*0.3048),F66)</f>
        <v>8</v>
      </c>
      <c r="K66" s="45">
        <f>+IF(F66&gt;0,INT(Fuelbeds_english!K66*2.54),F66)</f>
        <v>29</v>
      </c>
      <c r="L66" s="36">
        <v>28766</v>
      </c>
      <c r="M66" s="36" t="s">
        <v>137</v>
      </c>
      <c r="N66" s="36">
        <v>100</v>
      </c>
      <c r="O66" s="43">
        <v>28.679284793814439</v>
      </c>
      <c r="P66" s="45">
        <f>+IF(O66&gt;0,INT(Fuelbeds_english!P66*2.471),O66)</f>
        <v>175</v>
      </c>
      <c r="Q66" s="36">
        <f>+IF(O66&gt;0,INT(Fuelbeds_english!Q66*0.3048),O66)</f>
        <v>8</v>
      </c>
      <c r="R66" s="45">
        <f>+IF(O66&gt;0,INT(Fuelbeds_english!R66*0.3048),O66)</f>
        <v>3</v>
      </c>
      <c r="S66" s="45">
        <f>+IF(O66&gt;0,INT(Fuelbeds_english!S66*2.54),O66)</f>
        <v>17</v>
      </c>
      <c r="T66" s="36">
        <v>28766</v>
      </c>
      <c r="U66" s="36" t="s">
        <v>137</v>
      </c>
      <c r="V66" s="36">
        <v>100</v>
      </c>
      <c r="W66" s="36">
        <v>1</v>
      </c>
      <c r="X66" s="98">
        <v>3</v>
      </c>
      <c r="Y66" s="29">
        <v>8</v>
      </c>
      <c r="Z66" s="88" t="str">
        <f>+IF(Y66&gt;0,FIXED(Fuelbeds_english!Z66*0.3048,1,0),Y66)</f>
        <v>1.2</v>
      </c>
      <c r="AA66" s="36">
        <v>85</v>
      </c>
      <c r="AB66" s="45">
        <v>28862</v>
      </c>
      <c r="AC66" s="46" t="s">
        <v>376</v>
      </c>
      <c r="AD66" s="46">
        <v>100</v>
      </c>
      <c r="AE66" s="42">
        <v>40</v>
      </c>
      <c r="AF66" s="52" t="str">
        <f>+IF(AE66&gt;0,FIXED(Fuelbeds_english!AF66*0.3048,1,0),AE66)</f>
        <v>0.2</v>
      </c>
      <c r="AG66" s="45">
        <v>0</v>
      </c>
      <c r="AH66" s="52" t="str">
        <f>+IF(AE66&gt;0,FIXED(Fuelbeds_english!AH66*2.242,1,0),AE66)</f>
        <v>0.4</v>
      </c>
      <c r="AI66" s="45">
        <v>42269</v>
      </c>
      <c r="AJ66" s="45" t="s">
        <v>206</v>
      </c>
      <c r="AK66" s="45">
        <v>100</v>
      </c>
      <c r="AL66" s="34">
        <v>17</v>
      </c>
      <c r="AM66" s="52" t="str">
        <f>+IF(AL66&gt;0,FIXED(Fuelbeds_english!AM66*2.54,1,0),AL66)</f>
        <v>2.3</v>
      </c>
      <c r="AN66" s="52" t="str">
        <f>+IF($AM66&gt;0,FIXED(Fuelbeds_english!AN66*2.242,1,0),$AM66)</f>
        <v>2.0</v>
      </c>
      <c r="AO66" s="52" t="str">
        <f>+IF($AM66&gt;0,FIXED(Fuelbeds_english!AO66*2.242,1,0),$AM66)</f>
        <v>1.6</v>
      </c>
      <c r="AP66" s="52" t="str">
        <f>+IF($AM66&gt;0,FIXED(Fuelbeds_english!AP66*2.242,1,0),$AM66)</f>
        <v>2.3</v>
      </c>
      <c r="AQ66" s="52" t="str">
        <f>+IF($AM66&gt;0,FIXED(Fuelbeds_english!AQ66*2.242,1,0),$AM66)</f>
        <v>1.8</v>
      </c>
      <c r="AR66" s="36">
        <v>28766</v>
      </c>
      <c r="AS66" s="45" t="s">
        <v>137</v>
      </c>
      <c r="AT66" s="45">
        <v>100</v>
      </c>
      <c r="AU66" s="44">
        <v>-1</v>
      </c>
      <c r="AV66" s="52">
        <f>+IF(AU66&gt;0,FIXED(Fuelbeds_english!AV66*2.54,1,0),AU66)</f>
        <v>-1</v>
      </c>
      <c r="AW66" s="52">
        <v>-1</v>
      </c>
      <c r="AX66" s="52">
        <v>-1</v>
      </c>
      <c r="AY66" s="52">
        <f>+IF(AX66&gt;0,FIXED(Fuelbeds_english!AY66*2.54,1,0),AX66)</f>
        <v>-1</v>
      </c>
      <c r="AZ66" s="59">
        <v>1</v>
      </c>
      <c r="BA66" s="36">
        <v>90</v>
      </c>
      <c r="BB66" s="52" t="str">
        <f>+IF(BA66&gt;0,FIXED(Fuelbeds_english!BB66*2.54,1,0),BA66)</f>
        <v>2.5</v>
      </c>
      <c r="BC66" s="59">
        <v>-1</v>
      </c>
      <c r="BD66" s="59">
        <v>-1</v>
      </c>
      <c r="BE66" s="59">
        <v>-1</v>
      </c>
      <c r="BF66" s="61">
        <v>52</v>
      </c>
      <c r="BG66" s="59">
        <v>8</v>
      </c>
      <c r="BH66" s="59">
        <v>-1</v>
      </c>
      <c r="BI66" s="59">
        <v>40</v>
      </c>
      <c r="BJ66" s="28">
        <v>1</v>
      </c>
      <c r="BK66" s="67">
        <v>49.806105610561062</v>
      </c>
      <c r="BL66" s="52" t="str">
        <f>+IF(BK66&gt;0,FIXED(Fuelbeds_english!BL66*2.54,1,0),BK66)</f>
        <v>0.5</v>
      </c>
      <c r="BM66" s="59">
        <v>3</v>
      </c>
      <c r="BN66" s="67">
        <v>44.825495049504951</v>
      </c>
      <c r="BO66" s="52" t="str">
        <f>+IF(BN66&gt;0,FIXED(Fuelbeds_english!BO66*2.54,1,0),BN66)</f>
        <v>0.4</v>
      </c>
      <c r="BP66" s="43"/>
    </row>
    <row r="67" spans="1:68" ht="15" customHeight="1" x14ac:dyDescent="0.25">
      <c r="A67" s="50">
        <v>66</v>
      </c>
      <c r="B67" s="52">
        <v>2033</v>
      </c>
      <c r="C67" s="68">
        <v>2033</v>
      </c>
      <c r="D67" s="45" t="s">
        <v>7</v>
      </c>
      <c r="E67" s="39" t="s">
        <v>463</v>
      </c>
      <c r="F67" s="39">
        <v>23.547899999999998</v>
      </c>
      <c r="G67" s="56">
        <v>23.547899999999998</v>
      </c>
      <c r="H67" s="45">
        <f>+IF(F67&gt;0,INT(Fuelbeds_english!H67*2.471),F67)</f>
        <v>114</v>
      </c>
      <c r="I67" s="36">
        <f>+IF(F67&gt;0,INT(Fuelbeds_english!I67*0.3048),F67)</f>
        <v>13</v>
      </c>
      <c r="J67" s="45">
        <f>+IF(F67&gt;0,INT(Fuelbeds_english!J67*0.3048),F67)</f>
        <v>8</v>
      </c>
      <c r="K67" s="45">
        <f>+IF(F67&gt;0,INT(Fuelbeds_english!K67*2.54),F67)</f>
        <v>27</v>
      </c>
      <c r="L67" s="36">
        <v>28766</v>
      </c>
      <c r="M67" s="36" t="s">
        <v>137</v>
      </c>
      <c r="N67" s="36">
        <v>100</v>
      </c>
      <c r="O67" s="43">
        <v>12.896723582474227</v>
      </c>
      <c r="P67" s="45">
        <f>+IF(O67&gt;0,INT(Fuelbeds_english!P67*2.471),O67)</f>
        <v>78</v>
      </c>
      <c r="Q67" s="36">
        <f>+IF(O67&gt;0,INT(Fuelbeds_english!Q67*0.3048),O67)</f>
        <v>8</v>
      </c>
      <c r="R67" s="45">
        <f>+IF(O67&gt;0,INT(Fuelbeds_english!R67*0.3048),O67)</f>
        <v>3</v>
      </c>
      <c r="S67" s="45">
        <f>+IF(O67&gt;0,INT(Fuelbeds_english!S67*2.54),O67)</f>
        <v>16</v>
      </c>
      <c r="T67" s="36">
        <v>28766</v>
      </c>
      <c r="U67" s="36" t="s">
        <v>137</v>
      </c>
      <c r="V67" s="36">
        <v>100</v>
      </c>
      <c r="W67" s="36">
        <v>1</v>
      </c>
      <c r="X67" s="98">
        <v>3</v>
      </c>
      <c r="Y67" s="29">
        <v>36</v>
      </c>
      <c r="Z67" s="88" t="str">
        <f>+IF(Y67&gt;0,FIXED(Fuelbeds_english!Z67*0.3048,1,0),Y67)</f>
        <v>1.2</v>
      </c>
      <c r="AA67" s="36">
        <v>85</v>
      </c>
      <c r="AB67" s="45">
        <v>28862</v>
      </c>
      <c r="AC67" s="46" t="s">
        <v>376</v>
      </c>
      <c r="AD67" s="50">
        <v>100</v>
      </c>
      <c r="AE67" s="42">
        <v>40</v>
      </c>
      <c r="AF67" s="52" t="str">
        <f>+IF(AE67&gt;0,FIXED(Fuelbeds_english!AF67*0.3048,1,0),AE67)</f>
        <v>0.2</v>
      </c>
      <c r="AG67" s="45">
        <v>0</v>
      </c>
      <c r="AH67" s="52" t="str">
        <f>+IF(AE67&gt;0,FIXED(Fuelbeds_english!AH67*2.242,1,0),AE67)</f>
        <v>0.2</v>
      </c>
      <c r="AI67" s="45">
        <v>26716</v>
      </c>
      <c r="AJ67" s="45" t="s">
        <v>208</v>
      </c>
      <c r="AK67" s="45">
        <v>100</v>
      </c>
      <c r="AL67" s="34">
        <v>17</v>
      </c>
      <c r="AM67" s="52" t="str">
        <f>+IF(AL67&gt;0,FIXED(Fuelbeds_english!AM67*2.54,1,0),AL67)</f>
        <v>2.3</v>
      </c>
      <c r="AN67" s="52" t="str">
        <f>+IF($AM67&gt;0,FIXED(Fuelbeds_english!AN67*2.242,1,0),$AM67)</f>
        <v>2.0</v>
      </c>
      <c r="AO67" s="52" t="str">
        <f>+IF($AM67&gt;0,FIXED(Fuelbeds_english!AO67*2.242,1,0),$AM67)</f>
        <v>1.5</v>
      </c>
      <c r="AP67" s="52" t="str">
        <f>+IF($AM67&gt;0,FIXED(Fuelbeds_english!AP67*2.242,1,0),$AM67)</f>
        <v>2.3</v>
      </c>
      <c r="AQ67" s="52" t="str">
        <f>+IF($AM67&gt;0,FIXED(Fuelbeds_english!AQ67*2.242,1,0),$AM67)</f>
        <v>1.8</v>
      </c>
      <c r="AR67" s="36">
        <v>28766</v>
      </c>
      <c r="AS67" s="45" t="s">
        <v>137</v>
      </c>
      <c r="AT67" s="45">
        <v>100</v>
      </c>
      <c r="AU67" s="44">
        <v>-1</v>
      </c>
      <c r="AV67" s="52">
        <f>+IF(AU67&gt;0,FIXED(Fuelbeds_english!AV67*2.54,1,0),AU67)</f>
        <v>-1</v>
      </c>
      <c r="AW67" s="52">
        <v>-1</v>
      </c>
      <c r="AX67" s="52">
        <v>-1</v>
      </c>
      <c r="AY67" s="52">
        <f>+IF(AX67&gt;0,FIXED(Fuelbeds_english!AY67*2.54,1,0),AX67)</f>
        <v>-1</v>
      </c>
      <c r="AZ67" s="59">
        <v>1</v>
      </c>
      <c r="BA67" s="36">
        <v>90</v>
      </c>
      <c r="BB67" s="52" t="str">
        <f>+IF(BA67&gt;0,FIXED(Fuelbeds_english!BB67*2.54,1,0),BA67)</f>
        <v>2.5</v>
      </c>
      <c r="BC67" s="59">
        <v>-1</v>
      </c>
      <c r="BD67" s="59">
        <v>-1</v>
      </c>
      <c r="BE67" s="59">
        <v>-1</v>
      </c>
      <c r="BF67" s="61">
        <v>24</v>
      </c>
      <c r="BG67" s="59">
        <v>36</v>
      </c>
      <c r="BH67" s="59">
        <v>-1</v>
      </c>
      <c r="BI67" s="59">
        <v>40</v>
      </c>
      <c r="BJ67" s="28">
        <v>1</v>
      </c>
      <c r="BK67" s="67">
        <v>49.131930693069307</v>
      </c>
      <c r="BL67" s="52" t="str">
        <f>+IF(BK67&gt;0,FIXED(Fuelbeds_english!BL67*2.54,1,0),BK67)</f>
        <v>0.5</v>
      </c>
      <c r="BM67" s="59">
        <v>3</v>
      </c>
      <c r="BN67" s="67">
        <v>44.218737623762372</v>
      </c>
      <c r="BO67" s="52" t="str">
        <f>+IF(BN67&gt;0,FIXED(Fuelbeds_english!BO67*2.54,1,0),BN67)</f>
        <v>0.4</v>
      </c>
      <c r="BP67" s="43"/>
    </row>
    <row r="68" spans="1:68" ht="15" customHeight="1" x14ac:dyDescent="0.25">
      <c r="A68" s="50">
        <v>67</v>
      </c>
      <c r="B68" s="52">
        <v>2036</v>
      </c>
      <c r="C68" s="68">
        <v>2036</v>
      </c>
      <c r="D68" s="45" t="s">
        <v>7</v>
      </c>
      <c r="E68" s="39" t="s">
        <v>465</v>
      </c>
      <c r="F68" s="39">
        <v>16.049099999999999</v>
      </c>
      <c r="G68" s="56">
        <v>16.049099999999999</v>
      </c>
      <c r="H68" s="45">
        <f>+IF(F68&gt;0,INT(Fuelbeds_english!H68*2.471),F68)</f>
        <v>78</v>
      </c>
      <c r="I68" s="36">
        <f>+IF(F68&gt;0,INT(Fuelbeds_english!I68*0.3048),F68)</f>
        <v>10</v>
      </c>
      <c r="J68" s="45">
        <f>+IF(F68&gt;0,INT(Fuelbeds_english!J68*0.3048),F68)</f>
        <v>6</v>
      </c>
      <c r="K68" s="45">
        <f>+IF(F68&gt;0,INT(Fuelbeds_english!K68*2.54),F68)</f>
        <v>21</v>
      </c>
      <c r="L68" s="36">
        <v>28766</v>
      </c>
      <c r="M68" s="36" t="s">
        <v>137</v>
      </c>
      <c r="N68" s="36">
        <v>100</v>
      </c>
      <c r="O68" s="43">
        <v>8.789777706185566</v>
      </c>
      <c r="P68" s="45">
        <f>+IF(O68&gt;0,INT(Fuelbeds_english!P68*2.471),O68)</f>
        <v>53</v>
      </c>
      <c r="Q68" s="36">
        <f>+IF(O68&gt;0,INT(Fuelbeds_english!Q68*0.3048),O68)</f>
        <v>6</v>
      </c>
      <c r="R68" s="45">
        <f>+IF(O68&gt;0,INT(Fuelbeds_english!R68*0.3048),O68)</f>
        <v>2</v>
      </c>
      <c r="S68" s="45">
        <f>+IF(O68&gt;0,INT(Fuelbeds_english!S68*2.54),O68)</f>
        <v>12</v>
      </c>
      <c r="T68" s="36">
        <v>28766</v>
      </c>
      <c r="U68" s="36" t="s">
        <v>137</v>
      </c>
      <c r="V68" s="36">
        <v>100</v>
      </c>
      <c r="W68" s="36">
        <v>1</v>
      </c>
      <c r="X68" s="98">
        <v>3</v>
      </c>
      <c r="Y68" s="29">
        <v>44</v>
      </c>
      <c r="Z68" s="88" t="str">
        <f>+IF(Y68&gt;0,FIXED(Fuelbeds_english!Z68*0.3048,1,0),Y68)</f>
        <v>1.2</v>
      </c>
      <c r="AA68" s="36">
        <v>85</v>
      </c>
      <c r="AB68" s="45">
        <v>28862</v>
      </c>
      <c r="AC68" s="46" t="s">
        <v>376</v>
      </c>
      <c r="AD68" s="46">
        <v>100</v>
      </c>
      <c r="AE68" s="42">
        <v>40</v>
      </c>
      <c r="AF68" s="52" t="str">
        <f>+IF(AE68&gt;0,FIXED(Fuelbeds_english!AF68*0.3048,1,0),AE68)</f>
        <v>0.2</v>
      </c>
      <c r="AG68" s="45">
        <v>0</v>
      </c>
      <c r="AH68" s="52" t="str">
        <f>+IF(AE68&gt;0,FIXED(Fuelbeds_english!AH68*2.242,1,0),AE68)</f>
        <v>0.2</v>
      </c>
      <c r="AI68" s="36">
        <v>26857</v>
      </c>
      <c r="AJ68" s="43" t="s">
        <v>415</v>
      </c>
      <c r="AK68" s="36">
        <v>100</v>
      </c>
      <c r="AL68" s="34">
        <v>17.024229381443298</v>
      </c>
      <c r="AM68" s="52" t="str">
        <f>+IF(AL68&gt;0,FIXED(Fuelbeds_english!AM68*2.54,1,0),AL68)</f>
        <v>2.3</v>
      </c>
      <c r="AN68" s="52" t="str">
        <f>+IF($AM68&gt;0,FIXED(Fuelbeds_english!AN68*2.242,1,0),$AM68)</f>
        <v>2.0</v>
      </c>
      <c r="AO68" s="52" t="str">
        <f>+IF($AM68&gt;0,FIXED(Fuelbeds_english!AO68*2.242,1,0),$AM68)</f>
        <v>1.6</v>
      </c>
      <c r="AP68" s="52" t="str">
        <f>+IF($AM68&gt;0,FIXED(Fuelbeds_english!AP68*2.242,1,0),$AM68)</f>
        <v>2.3</v>
      </c>
      <c r="AQ68" s="52" t="str">
        <f>+IF($AM68&gt;0,FIXED(Fuelbeds_english!AQ68*2.242,1,0),$AM68)</f>
        <v>1.8</v>
      </c>
      <c r="AR68" s="36">
        <v>28766</v>
      </c>
      <c r="AS68" s="45" t="s">
        <v>137</v>
      </c>
      <c r="AT68" s="45">
        <v>100</v>
      </c>
      <c r="AU68" s="44">
        <v>-1</v>
      </c>
      <c r="AV68" s="52">
        <f>+IF(AU68&gt;0,FIXED(Fuelbeds_english!AV68*2.54,1,0),AU68)</f>
        <v>-1</v>
      </c>
      <c r="AW68" s="52">
        <v>-1</v>
      </c>
      <c r="AX68" s="52">
        <v>-1</v>
      </c>
      <c r="AY68" s="52">
        <f>+IF(AX68&gt;0,FIXED(Fuelbeds_english!AY68*2.54,1,0),AX68)</f>
        <v>-1</v>
      </c>
      <c r="AZ68" s="59">
        <v>1</v>
      </c>
      <c r="BA68" s="36">
        <v>90</v>
      </c>
      <c r="BB68" s="52" t="str">
        <f>+IF(BA68&gt;0,FIXED(Fuelbeds_english!BB68*2.54,1,0),BA68)</f>
        <v>2.5</v>
      </c>
      <c r="BC68" s="59">
        <v>-1</v>
      </c>
      <c r="BD68" s="59">
        <v>-1</v>
      </c>
      <c r="BE68" s="59">
        <v>-1</v>
      </c>
      <c r="BF68" s="61">
        <v>16</v>
      </c>
      <c r="BG68" s="59">
        <v>44</v>
      </c>
      <c r="BH68" s="59">
        <v>-1</v>
      </c>
      <c r="BI68" s="59">
        <v>40</v>
      </c>
      <c r="BJ68" s="28">
        <v>1</v>
      </c>
      <c r="BK68" s="67">
        <v>49.545462046204619</v>
      </c>
      <c r="BL68" s="52" t="str">
        <f>+IF(BK68&gt;0,FIXED(Fuelbeds_english!BL68*2.54,1,0),BK68)</f>
        <v>0.5</v>
      </c>
      <c r="BM68" s="59">
        <v>3</v>
      </c>
      <c r="BN68" s="67">
        <v>44.590915841584156</v>
      </c>
      <c r="BO68" s="52" t="str">
        <f>+IF(BN68&gt;0,FIXED(Fuelbeds_english!BO68*2.54,1,0),BN68)</f>
        <v>0.4</v>
      </c>
      <c r="BP68" s="43"/>
    </row>
    <row r="69" spans="1:68" ht="15" customHeight="1" x14ac:dyDescent="0.25">
      <c r="A69" s="50">
        <v>68</v>
      </c>
      <c r="B69" s="52">
        <v>2039</v>
      </c>
      <c r="C69" s="68">
        <v>2039</v>
      </c>
      <c r="D69" s="45" t="s">
        <v>7</v>
      </c>
      <c r="E69" s="39" t="s">
        <v>467</v>
      </c>
      <c r="F69" s="39">
        <v>18.1311</v>
      </c>
      <c r="G69" s="56">
        <v>18.1311</v>
      </c>
      <c r="H69" s="45">
        <f>+IF(F69&gt;0,INT(Fuelbeds_english!H69*2.471),F69)</f>
        <v>88</v>
      </c>
      <c r="I69" s="36">
        <f>+IF(F69&gt;0,INT(Fuelbeds_english!I69*0.3048),F69)</f>
        <v>12</v>
      </c>
      <c r="J69" s="45">
        <f>+IF(F69&gt;0,INT(Fuelbeds_english!J69*0.3048),F69)</f>
        <v>7</v>
      </c>
      <c r="K69" s="45">
        <f>+IF(F69&gt;0,INT(Fuelbeds_english!K69*2.54),F69)</f>
        <v>25</v>
      </c>
      <c r="L69" s="36">
        <v>28766</v>
      </c>
      <c r="M69" s="36" t="s">
        <v>137</v>
      </c>
      <c r="N69" s="36">
        <v>100</v>
      </c>
      <c r="O69" s="43">
        <v>9.930048324742268</v>
      </c>
      <c r="P69" s="45">
        <f>+IF(O69&gt;0,INT(Fuelbeds_english!P69*2.471),O69)</f>
        <v>60</v>
      </c>
      <c r="Q69" s="36">
        <f>+IF(O69&gt;0,INT(Fuelbeds_english!Q69*0.3048),O69)</f>
        <v>7</v>
      </c>
      <c r="R69" s="45">
        <f>+IF(O69&gt;0,INT(Fuelbeds_english!R69*0.3048),O69)</f>
        <v>3</v>
      </c>
      <c r="S69" s="45">
        <f>+IF(O69&gt;0,INT(Fuelbeds_english!S69*2.54),O69)</f>
        <v>15</v>
      </c>
      <c r="T69" s="36">
        <v>28766</v>
      </c>
      <c r="U69" s="36" t="s">
        <v>137</v>
      </c>
      <c r="V69" s="36">
        <v>100</v>
      </c>
      <c r="W69" s="36">
        <v>1</v>
      </c>
      <c r="X69" s="98">
        <v>3</v>
      </c>
      <c r="Y69" s="29">
        <v>42</v>
      </c>
      <c r="Z69" s="88" t="str">
        <f>+IF(Y69&gt;0,FIXED(Fuelbeds_english!Z69*0.3048,1,0),Y69)</f>
        <v>1.2</v>
      </c>
      <c r="AA69" s="36">
        <v>85</v>
      </c>
      <c r="AB69" s="45">
        <v>28862</v>
      </c>
      <c r="AC69" s="46" t="s">
        <v>376</v>
      </c>
      <c r="AD69" s="50">
        <v>100</v>
      </c>
      <c r="AE69" s="42">
        <v>40</v>
      </c>
      <c r="AF69" s="52" t="str">
        <f>+IF(AE69&gt;0,FIXED(Fuelbeds_english!AF69*0.3048,1,0),AE69)</f>
        <v>3.0</v>
      </c>
      <c r="AG69" s="62">
        <v>100</v>
      </c>
      <c r="AH69" s="52" t="str">
        <f>+IF(AE69&gt;0,FIXED(Fuelbeds_english!AH69*2.242,1,0),AE69)</f>
        <v>3.6</v>
      </c>
      <c r="AI69" s="45">
        <v>42058</v>
      </c>
      <c r="AJ69" s="45" t="s">
        <v>421</v>
      </c>
      <c r="AK69" s="62">
        <v>100</v>
      </c>
      <c r="AL69" s="34">
        <v>17.047476804123711</v>
      </c>
      <c r="AM69" s="52" t="str">
        <f>+IF(AL69&gt;0,FIXED(Fuelbeds_english!AM69*2.54,1,0),AL69)</f>
        <v>2.3</v>
      </c>
      <c r="AN69" s="52" t="str">
        <f>+IF($AM69&gt;0,FIXED(Fuelbeds_english!AN69*2.242,1,0),$AM69)</f>
        <v>2.0</v>
      </c>
      <c r="AO69" s="52" t="str">
        <f>+IF($AM69&gt;0,FIXED(Fuelbeds_english!AO69*2.242,1,0),$AM69)</f>
        <v>1.6</v>
      </c>
      <c r="AP69" s="52" t="str">
        <f>+IF($AM69&gt;0,FIXED(Fuelbeds_english!AP69*2.242,1,0),$AM69)</f>
        <v>2.3</v>
      </c>
      <c r="AQ69" s="52" t="str">
        <f>+IF($AM69&gt;0,FIXED(Fuelbeds_english!AQ69*2.242,1,0),$AM69)</f>
        <v>1.8</v>
      </c>
      <c r="AR69" s="36">
        <v>28766</v>
      </c>
      <c r="AS69" s="45" t="s">
        <v>137</v>
      </c>
      <c r="AT69" s="45">
        <v>100</v>
      </c>
      <c r="AU69" s="44">
        <v>-1</v>
      </c>
      <c r="AV69" s="52">
        <f>+IF(AU69&gt;0,FIXED(Fuelbeds_english!AV69*2.54,1,0),AU69)</f>
        <v>-1</v>
      </c>
      <c r="AW69" s="52">
        <v>-1</v>
      </c>
      <c r="AX69" s="52">
        <v>-1</v>
      </c>
      <c r="AY69" s="52">
        <f>+IF(AX69&gt;0,FIXED(Fuelbeds_english!AY69*2.54,1,0),AX69)</f>
        <v>-1</v>
      </c>
      <c r="AZ69" s="59">
        <v>1</v>
      </c>
      <c r="BA69" s="36">
        <v>90</v>
      </c>
      <c r="BB69" s="52" t="str">
        <f>+IF(BA69&gt;0,FIXED(Fuelbeds_english!BB69*2.54,1,0),BA69)</f>
        <v>2.5</v>
      </c>
      <c r="BC69" s="59">
        <v>-1</v>
      </c>
      <c r="BD69" s="59">
        <v>-1</v>
      </c>
      <c r="BE69" s="59">
        <v>-1</v>
      </c>
      <c r="BF69" s="61">
        <v>18</v>
      </c>
      <c r="BG69" s="59">
        <v>42</v>
      </c>
      <c r="BH69" s="59">
        <v>-1</v>
      </c>
      <c r="BI69" s="59">
        <v>40</v>
      </c>
      <c r="BJ69" s="28">
        <v>1</v>
      </c>
      <c r="BK69" s="67">
        <v>49.613118811881193</v>
      </c>
      <c r="BL69" s="52" t="str">
        <f>+IF(BK69&gt;0,FIXED(Fuelbeds_english!BL69*2.54,1,0),BK69)</f>
        <v>0.5</v>
      </c>
      <c r="BM69" s="59">
        <v>3</v>
      </c>
      <c r="BN69" s="67">
        <v>44.651806930693077</v>
      </c>
      <c r="BO69" s="52" t="str">
        <f>+IF(BN69&gt;0,FIXED(Fuelbeds_english!BO69*2.54,1,0),BN69)</f>
        <v>0.4</v>
      </c>
      <c r="BP69" s="43"/>
    </row>
    <row r="70" spans="1:68" ht="15" customHeight="1" x14ac:dyDescent="0.25">
      <c r="A70" s="50">
        <v>69</v>
      </c>
      <c r="B70" s="52" t="s">
        <v>224</v>
      </c>
      <c r="C70" s="68">
        <v>912040</v>
      </c>
      <c r="D70" s="45" t="s">
        <v>7</v>
      </c>
      <c r="E70" s="6" t="s">
        <v>17</v>
      </c>
      <c r="F70" s="39">
        <v>21.6</v>
      </c>
      <c r="G70" s="36">
        <v>21.6</v>
      </c>
      <c r="H70" s="45">
        <f>+IF(F70&gt;0,INT(Fuelbeds_english!H70*2.471),F70)</f>
        <v>47</v>
      </c>
      <c r="I70" s="36">
        <f>+IF(F70&gt;0,INT(Fuelbeds_english!I70*0.3048),F70)</f>
        <v>16</v>
      </c>
      <c r="J70" s="45">
        <f>+IF(F70&gt;0,INT(Fuelbeds_english!J70*0.3048),F70)</f>
        <v>10</v>
      </c>
      <c r="K70" s="45">
        <f>+IF(F70&gt;0,INT(Fuelbeds_english!K70*2.54),F70)</f>
        <v>25</v>
      </c>
      <c r="L70" s="36">
        <v>195176</v>
      </c>
      <c r="M70" s="36" t="s">
        <v>372</v>
      </c>
      <c r="N70" s="36">
        <v>100</v>
      </c>
      <c r="O70" s="36">
        <v>13.570680628272251</v>
      </c>
      <c r="P70" s="45">
        <f>+IF(O70&gt;0,INT(Fuelbeds_english!P70*2.471),O70)</f>
        <v>139</v>
      </c>
      <c r="Q70" s="36">
        <f>+IF(O70&gt;0,INT(Fuelbeds_english!Q70*0.3048),O70)</f>
        <v>7</v>
      </c>
      <c r="R70" s="45">
        <f>+IF(O70&gt;0,INT(Fuelbeds_english!R70*0.3048),O70)</f>
        <v>3</v>
      </c>
      <c r="S70" s="45">
        <f>+IF(O70&gt;0,INT(Fuelbeds_english!S70*2.54),O70)</f>
        <v>11</v>
      </c>
      <c r="T70" s="36">
        <v>195176</v>
      </c>
      <c r="U70" s="36" t="s">
        <v>372</v>
      </c>
      <c r="V70" s="36">
        <v>100</v>
      </c>
      <c r="W70" s="36">
        <v>-1</v>
      </c>
      <c r="X70" s="98">
        <v>-1</v>
      </c>
      <c r="Y70" s="29">
        <v>2.0586000000000002</v>
      </c>
      <c r="Z70" s="88" t="str">
        <f>+IF(Y70&gt;0,FIXED(Fuelbeds_english!Z70*0.3048,1,0),Y70)</f>
        <v>0.1</v>
      </c>
      <c r="AA70" s="36">
        <v>85</v>
      </c>
      <c r="AB70" s="45">
        <v>19092</v>
      </c>
      <c r="AC70" s="50" t="s">
        <v>160</v>
      </c>
      <c r="AD70" s="50">
        <v>100</v>
      </c>
      <c r="AE70" s="42">
        <v>2</v>
      </c>
      <c r="AF70" s="52" t="str">
        <f>+IF(AE70&gt;0,FIXED(Fuelbeds_english!AF70*0.3048,1,0),AE70)</f>
        <v>0.2</v>
      </c>
      <c r="AG70" s="36">
        <v>70</v>
      </c>
      <c r="AH70" s="52" t="str">
        <f>+IF(AE70&gt;0,FIXED(Fuelbeds_english!AH70*2.242,1,0),AE70)</f>
        <v>0.0</v>
      </c>
      <c r="AI70" s="45">
        <v>40450</v>
      </c>
      <c r="AJ70" s="45" t="s">
        <v>148</v>
      </c>
      <c r="AK70" s="45">
        <v>100</v>
      </c>
      <c r="AL70" s="34">
        <v>7</v>
      </c>
      <c r="AM70" s="52" t="str">
        <f>+IF(AL70&gt;0,FIXED(Fuelbeds_english!AM70*2.54,1,0),AL70)</f>
        <v>2.3</v>
      </c>
      <c r="AN70" s="52" t="str">
        <f>+IF($AM70&gt;0,FIXED(Fuelbeds_english!AN70*2.242,1,0),$AM70)</f>
        <v>0.1</v>
      </c>
      <c r="AO70" s="52" t="str">
        <f>+IF($AM70&gt;0,FIXED(Fuelbeds_english!AO70*2.242,1,0),$AM70)</f>
        <v>0.2</v>
      </c>
      <c r="AP70" s="52" t="str">
        <f>+IF($AM70&gt;0,FIXED(Fuelbeds_english!AP70*2.242,1,0),$AM70)</f>
        <v>0.3</v>
      </c>
      <c r="AQ70" s="52" t="str">
        <f>+IF($AM70&gt;0,FIXED(Fuelbeds_english!AQ70*2.242,1,0),$AM70)</f>
        <v>0.3</v>
      </c>
      <c r="AR70" s="36">
        <v>195176</v>
      </c>
      <c r="AS70" s="45" t="s">
        <v>372</v>
      </c>
      <c r="AT70" s="45">
        <v>100</v>
      </c>
      <c r="AU70" s="44">
        <v>-1</v>
      </c>
      <c r="AV70" s="52">
        <f>+IF(AU70&gt;0,FIXED(Fuelbeds_english!AV70*2.54,1,0),AU70)</f>
        <v>-1</v>
      </c>
      <c r="AW70" s="52">
        <v>-1</v>
      </c>
      <c r="AX70" s="52">
        <v>-1</v>
      </c>
      <c r="AY70" s="52">
        <f>+IF(AX70&gt;0,FIXED(Fuelbeds_english!AY70*2.54,1,0),AX70)</f>
        <v>-1</v>
      </c>
      <c r="AZ70" s="45">
        <v>1</v>
      </c>
      <c r="BA70" s="36">
        <v>23</v>
      </c>
      <c r="BB70" s="52" t="str">
        <f>+IF(BA70&gt;0,FIXED(Fuelbeds_english!BB70*2.54,1,0),BA70)</f>
        <v>2.7</v>
      </c>
      <c r="BC70" s="45">
        <v>-1</v>
      </c>
      <c r="BD70" s="45">
        <v>-1</v>
      </c>
      <c r="BE70" s="45">
        <v>-1</v>
      </c>
      <c r="BF70" s="45">
        <v>-1</v>
      </c>
      <c r="BG70" s="45">
        <v>100</v>
      </c>
      <c r="BH70" s="45">
        <v>-1</v>
      </c>
      <c r="BI70" s="45">
        <v>-1</v>
      </c>
      <c r="BJ70" s="28">
        <v>1</v>
      </c>
      <c r="BK70" s="36">
        <v>21.826178010471207</v>
      </c>
      <c r="BL70" s="52" t="str">
        <f>+IF(BK70&gt;0,FIXED(Fuelbeds_english!BL70*2.54,1,0),BK70)</f>
        <v>1.9</v>
      </c>
      <c r="BM70" s="45">
        <v>3</v>
      </c>
      <c r="BN70" s="36">
        <v>21.826178010471207</v>
      </c>
      <c r="BO70" s="52" t="str">
        <f>+IF(BN70&gt;0,FIXED(Fuelbeds_english!BO70*2.54,1,0),BN70)</f>
        <v>1.9</v>
      </c>
    </row>
    <row r="71" spans="1:68" ht="15" customHeight="1" x14ac:dyDescent="0.25">
      <c r="A71" s="50">
        <v>70</v>
      </c>
      <c r="B71" s="52" t="s">
        <v>225</v>
      </c>
      <c r="C71" s="68">
        <v>922040</v>
      </c>
      <c r="D71" s="45" t="s">
        <v>7</v>
      </c>
      <c r="E71" s="6" t="s">
        <v>17</v>
      </c>
      <c r="F71" s="39">
        <v>55.9</v>
      </c>
      <c r="G71" s="36">
        <v>55.9</v>
      </c>
      <c r="H71" s="45">
        <f>+IF(F71&gt;0,INT(Fuelbeds_english!H71*2.471),F71)</f>
        <v>122</v>
      </c>
      <c r="I71" s="36">
        <f>+IF(F71&gt;0,INT(Fuelbeds_english!I71*0.3048),F71)</f>
        <v>19</v>
      </c>
      <c r="J71" s="45">
        <f>+IF(F71&gt;0,INT(Fuelbeds_english!J71*0.3048),F71)</f>
        <v>12</v>
      </c>
      <c r="K71" s="45">
        <f>+IF(F71&gt;0,INT(Fuelbeds_english!K71*2.54),F71)</f>
        <v>30</v>
      </c>
      <c r="L71" s="36">
        <v>195176</v>
      </c>
      <c r="M71" s="36" t="s">
        <v>372</v>
      </c>
      <c r="N71" s="36">
        <v>100</v>
      </c>
      <c r="O71" s="36">
        <v>35.120418848167539</v>
      </c>
      <c r="P71" s="45">
        <f>+IF(O71&gt;0,INT(Fuelbeds_english!P71*2.471),O71)</f>
        <v>361</v>
      </c>
      <c r="Q71" s="36">
        <f>+IF(O71&gt;0,INT(Fuelbeds_english!Q71*0.3048),O71)</f>
        <v>9</v>
      </c>
      <c r="R71" s="45">
        <f>+IF(O71&gt;0,INT(Fuelbeds_english!R71*0.3048),O71)</f>
        <v>3</v>
      </c>
      <c r="S71" s="45">
        <f>+IF(O71&gt;0,INT(Fuelbeds_english!S71*2.54),O71)</f>
        <v>13</v>
      </c>
      <c r="T71" s="36">
        <v>195176</v>
      </c>
      <c r="U71" s="36" t="s">
        <v>372</v>
      </c>
      <c r="V71" s="36">
        <v>100</v>
      </c>
      <c r="W71" s="36">
        <v>-1</v>
      </c>
      <c r="X71" s="98">
        <v>-1</v>
      </c>
      <c r="Y71" s="29">
        <v>1.29</v>
      </c>
      <c r="Z71" s="88" t="str">
        <f>+IF(Y71&gt;0,FIXED(Fuelbeds_english!Z71*0.3048,1,0),Y71)</f>
        <v>0.1</v>
      </c>
      <c r="AA71" s="46">
        <v>85</v>
      </c>
      <c r="AB71" s="50">
        <v>19092</v>
      </c>
      <c r="AC71" s="50" t="s">
        <v>160</v>
      </c>
      <c r="AD71" s="50">
        <v>100</v>
      </c>
      <c r="AE71" s="42">
        <v>42</v>
      </c>
      <c r="AF71" s="52" t="str">
        <f>+IF(AE71&gt;0,FIXED(Fuelbeds_english!AF71*0.3048,1,0),AE71)</f>
        <v>0.2</v>
      </c>
      <c r="AG71" s="36">
        <v>70</v>
      </c>
      <c r="AH71" s="52" t="str">
        <f>+IF(AE71&gt;0,FIXED(Fuelbeds_english!AH71*2.242,1,0),AE71)</f>
        <v>0.8</v>
      </c>
      <c r="AI71" s="45">
        <v>40450</v>
      </c>
      <c r="AJ71" s="45" t="s">
        <v>148</v>
      </c>
      <c r="AK71" s="45">
        <v>100</v>
      </c>
      <c r="AL71" s="34">
        <v>17</v>
      </c>
      <c r="AM71" s="52" t="str">
        <f>+IF(AL71&gt;0,FIXED(Fuelbeds_english!AM71*2.54,1,0),AL71)</f>
        <v>2.3</v>
      </c>
      <c r="AN71" s="52" t="str">
        <f>+IF($AM71&gt;0,FIXED(Fuelbeds_english!AN71*2.242,1,0),$AM71)</f>
        <v>0.3</v>
      </c>
      <c r="AO71" s="52" t="str">
        <f>+IF($AM71&gt;0,FIXED(Fuelbeds_english!AO71*2.242,1,0),$AM71)</f>
        <v>0.4</v>
      </c>
      <c r="AP71" s="52" t="str">
        <f>+IF($AM71&gt;0,FIXED(Fuelbeds_english!AP71*2.242,1,0),$AM71)</f>
        <v>0.9</v>
      </c>
      <c r="AQ71" s="52" t="str">
        <f>+IF($AM71&gt;0,FIXED(Fuelbeds_english!AQ71*2.242,1,0),$AM71)</f>
        <v>0.9</v>
      </c>
      <c r="AR71" s="36">
        <v>195176</v>
      </c>
      <c r="AS71" s="45" t="s">
        <v>372</v>
      </c>
      <c r="AT71" s="45">
        <v>100</v>
      </c>
      <c r="AU71" s="44">
        <v>-1</v>
      </c>
      <c r="AV71" s="52">
        <f>+IF(AU71&gt;0,FIXED(Fuelbeds_english!AV71*2.54,1,0),AU71)</f>
        <v>-1</v>
      </c>
      <c r="AW71" s="52">
        <v>-1</v>
      </c>
      <c r="AX71" s="52">
        <v>-1</v>
      </c>
      <c r="AY71" s="52">
        <f>+IF(AX71&gt;0,FIXED(Fuelbeds_english!AY71*2.54,1,0),AX71)</f>
        <v>-1</v>
      </c>
      <c r="AZ71" s="45">
        <v>1</v>
      </c>
      <c r="BA71" s="36">
        <v>59</v>
      </c>
      <c r="BB71" s="52" t="str">
        <f>+IF(BA71&gt;0,FIXED(Fuelbeds_english!BB71*2.54,1,0),BA71)</f>
        <v>2.7</v>
      </c>
      <c r="BC71" s="45">
        <v>-1</v>
      </c>
      <c r="BD71" s="45">
        <v>-1</v>
      </c>
      <c r="BE71" s="45">
        <v>-1</v>
      </c>
      <c r="BF71" s="45">
        <v>-1</v>
      </c>
      <c r="BG71" s="45">
        <v>100</v>
      </c>
      <c r="BH71" s="45">
        <v>-1</v>
      </c>
      <c r="BI71" s="45">
        <v>-1</v>
      </c>
      <c r="BJ71" s="28">
        <v>1</v>
      </c>
      <c r="BK71" s="36">
        <v>56.485340314136117</v>
      </c>
      <c r="BL71" s="52" t="str">
        <f>+IF(BK71&gt;0,FIXED(Fuelbeds_english!BL71*2.54,1,0),BK71)</f>
        <v>1.9</v>
      </c>
      <c r="BM71" s="45">
        <v>3</v>
      </c>
      <c r="BN71" s="36">
        <v>56.485340314136117</v>
      </c>
      <c r="BO71" s="52" t="str">
        <f>+IF(BN71&gt;0,FIXED(Fuelbeds_english!BO71*2.54,1,0),BN71)</f>
        <v>1.9</v>
      </c>
    </row>
    <row r="72" spans="1:68" ht="15" customHeight="1" x14ac:dyDescent="0.25">
      <c r="A72" s="50">
        <v>71</v>
      </c>
      <c r="B72" s="52" t="s">
        <v>226</v>
      </c>
      <c r="C72" s="68">
        <v>932040</v>
      </c>
      <c r="D72" s="36" t="s">
        <v>7</v>
      </c>
      <c r="E72" s="6" t="s">
        <v>17</v>
      </c>
      <c r="F72" s="39">
        <v>77.599999999999994</v>
      </c>
      <c r="G72" s="36">
        <v>77.599999999999994</v>
      </c>
      <c r="H72" s="45">
        <f>+IF(F72&gt;0,INT(Fuelbeds_english!H72*2.471),F72)</f>
        <v>169</v>
      </c>
      <c r="I72" s="36">
        <f>+IF(F72&gt;0,INT(Fuelbeds_english!I72*0.3048),F72)</f>
        <v>25</v>
      </c>
      <c r="J72" s="45">
        <f>+IF(F72&gt;0,INT(Fuelbeds_english!J72*0.3048),F72)</f>
        <v>16</v>
      </c>
      <c r="K72" s="45">
        <f>+IF(F72&gt;0,INT(Fuelbeds_english!K72*2.54),F72)</f>
        <v>39</v>
      </c>
      <c r="L72" s="36">
        <v>195176</v>
      </c>
      <c r="M72" s="36" t="s">
        <v>372</v>
      </c>
      <c r="N72" s="36">
        <v>100</v>
      </c>
      <c r="O72" s="36">
        <v>48.753926701570684</v>
      </c>
      <c r="P72" s="45">
        <f>+IF(O72&gt;0,INT(Fuelbeds_english!P72*2.471),O72)</f>
        <v>501</v>
      </c>
      <c r="Q72" s="36">
        <f>+IF(O72&gt;0,INT(Fuelbeds_english!Q72*0.3048),O72)</f>
        <v>12</v>
      </c>
      <c r="R72" s="45">
        <f>+IF(O72&gt;0,INT(Fuelbeds_english!R72*0.3048),O72)</f>
        <v>4</v>
      </c>
      <c r="S72" s="45">
        <f>+IF(O72&gt;0,INT(Fuelbeds_english!S72*2.54),O72)</f>
        <v>17</v>
      </c>
      <c r="T72" s="36">
        <v>195176</v>
      </c>
      <c r="U72" s="36" t="s">
        <v>372</v>
      </c>
      <c r="V72" s="36">
        <v>100</v>
      </c>
      <c r="W72" s="36">
        <v>-1</v>
      </c>
      <c r="X72" s="98">
        <v>-1</v>
      </c>
      <c r="Y72" s="29">
        <v>0.78300000000000003</v>
      </c>
      <c r="Z72" s="88" t="str">
        <f>+IF(Y72&gt;0,FIXED(Fuelbeds_english!Z72*0.3048,1,0),Y72)</f>
        <v>0.1</v>
      </c>
      <c r="AA72" s="46">
        <v>85</v>
      </c>
      <c r="AB72" s="50">
        <v>19092</v>
      </c>
      <c r="AC72" s="50" t="s">
        <v>160</v>
      </c>
      <c r="AD72" s="50">
        <v>100</v>
      </c>
      <c r="AE72" s="42">
        <v>25</v>
      </c>
      <c r="AF72" s="52" t="str">
        <f>+IF(AE72&gt;0,FIXED(Fuelbeds_english!AF72*0.3048,1,0),AE72)</f>
        <v>0.2</v>
      </c>
      <c r="AG72" s="36">
        <v>70</v>
      </c>
      <c r="AH72" s="52" t="str">
        <f>+IF(AE72&gt;0,FIXED(Fuelbeds_english!AH72*2.242,1,0),AE72)</f>
        <v>0.5</v>
      </c>
      <c r="AI72" s="45">
        <v>40450</v>
      </c>
      <c r="AJ72" s="45" t="s">
        <v>148</v>
      </c>
      <c r="AK72" s="45">
        <v>100</v>
      </c>
      <c r="AL72" s="34">
        <v>24</v>
      </c>
      <c r="AM72" s="52" t="str">
        <f>+IF(AL72&gt;0,FIXED(Fuelbeds_english!AM72*2.54,1,0),AL72)</f>
        <v>2.3</v>
      </c>
      <c r="AN72" s="52" t="str">
        <f>+IF($AM72&gt;0,FIXED(Fuelbeds_english!AN72*2.242,1,0),$AM72)</f>
        <v>0.4</v>
      </c>
      <c r="AO72" s="52" t="str">
        <f>+IF($AM72&gt;0,FIXED(Fuelbeds_english!AO72*2.242,1,0),$AM72)</f>
        <v>0.6</v>
      </c>
      <c r="AP72" s="52" t="str">
        <f>+IF($AM72&gt;0,FIXED(Fuelbeds_english!AP72*2.242,1,0),$AM72)</f>
        <v>1.2</v>
      </c>
      <c r="AQ72" s="52" t="str">
        <f>+IF($AM72&gt;0,FIXED(Fuelbeds_english!AQ72*2.242,1,0),$AM72)</f>
        <v>1.2</v>
      </c>
      <c r="AR72" s="36">
        <v>195176</v>
      </c>
      <c r="AS72" s="45" t="s">
        <v>372</v>
      </c>
      <c r="AT72" s="45">
        <v>100</v>
      </c>
      <c r="AU72" s="44">
        <v>-1</v>
      </c>
      <c r="AV72" s="52">
        <f>+IF(AU72&gt;0,FIXED(Fuelbeds_english!AV72*2.54,1,0),AU72)</f>
        <v>-1</v>
      </c>
      <c r="AW72" s="52">
        <v>-1</v>
      </c>
      <c r="AX72" s="52">
        <v>-1</v>
      </c>
      <c r="AY72" s="52">
        <f>+IF(AX72&gt;0,FIXED(Fuelbeds_english!AY72*2.54,1,0),AX72)</f>
        <v>-1</v>
      </c>
      <c r="AZ72" s="45">
        <v>1</v>
      </c>
      <c r="BA72" s="36">
        <v>81</v>
      </c>
      <c r="BB72" s="52" t="str">
        <f>+IF(BA72&gt;0,FIXED(Fuelbeds_english!BB72*2.54,1,0),BA72)</f>
        <v>2.7</v>
      </c>
      <c r="BC72" s="45">
        <v>-1</v>
      </c>
      <c r="BD72" s="45">
        <v>-1</v>
      </c>
      <c r="BE72" s="45">
        <v>-1</v>
      </c>
      <c r="BF72" s="45">
        <v>-1</v>
      </c>
      <c r="BG72" s="45">
        <v>100</v>
      </c>
      <c r="BH72" s="45">
        <v>-1</v>
      </c>
      <c r="BI72" s="45">
        <v>-1</v>
      </c>
      <c r="BJ72" s="28">
        <v>1</v>
      </c>
      <c r="BK72" s="36">
        <v>78.412565445026175</v>
      </c>
      <c r="BL72" s="52" t="str">
        <f>+IF(BK72&gt;0,FIXED(Fuelbeds_english!BL72*2.54,1,0),BK72)</f>
        <v>1.9</v>
      </c>
      <c r="BM72" s="45">
        <v>3</v>
      </c>
      <c r="BN72" s="36">
        <v>78.412565445026175</v>
      </c>
      <c r="BO72" s="52" t="str">
        <f>+IF(BN72&gt;0,FIXED(Fuelbeds_english!BO72*2.54,1,0),BN72)</f>
        <v>1.9</v>
      </c>
    </row>
    <row r="73" spans="1:68" ht="15" customHeight="1" x14ac:dyDescent="0.25">
      <c r="A73" s="50">
        <v>72</v>
      </c>
      <c r="B73" s="52" t="s">
        <v>227</v>
      </c>
      <c r="C73" s="68">
        <v>912061</v>
      </c>
      <c r="D73" s="45" t="s">
        <v>7</v>
      </c>
      <c r="E73" s="11" t="s">
        <v>16</v>
      </c>
      <c r="F73" s="39">
        <v>19.399999999999999</v>
      </c>
      <c r="G73" s="36">
        <v>19.399999999999999</v>
      </c>
      <c r="H73" s="45">
        <f>+IF(F73&gt;0,INT(Fuelbeds_english!H73*2.471),F73)</f>
        <v>32</v>
      </c>
      <c r="I73" s="36">
        <f>+IF(F73&gt;0,INT(Fuelbeds_english!I73*0.3048),F73)</f>
        <v>14</v>
      </c>
      <c r="J73" s="45">
        <f>+IF(F73&gt;0,INT(Fuelbeds_english!J73*0.3048),F73)</f>
        <v>10</v>
      </c>
      <c r="K73" s="45">
        <f>+IF(F73&gt;0,INT(Fuelbeds_english!K73*2.54),F73)</f>
        <v>23</v>
      </c>
      <c r="L73" s="36">
        <v>28766</v>
      </c>
      <c r="M73" s="36" t="s">
        <v>137</v>
      </c>
      <c r="N73" s="36">
        <v>100</v>
      </c>
      <c r="O73" s="36">
        <v>11.639999999999999</v>
      </c>
      <c r="P73" s="45">
        <f>+IF(O73&gt;0,INT(Fuelbeds_english!P73*2.471),O73)</f>
        <v>64</v>
      </c>
      <c r="Q73" s="36">
        <f>+IF(O73&gt;0,INT(Fuelbeds_english!Q73*0.3048),O73)</f>
        <v>8</v>
      </c>
      <c r="R73" s="45">
        <f>+IF(O73&gt;0,INT(Fuelbeds_english!R73*0.3048),O73)</f>
        <v>4</v>
      </c>
      <c r="S73" s="45">
        <f>+IF(O73&gt;0,INT(Fuelbeds_english!S73*2.54),O73)</f>
        <v>12</v>
      </c>
      <c r="T73" s="36">
        <v>28766</v>
      </c>
      <c r="U73" s="36" t="s">
        <v>137</v>
      </c>
      <c r="V73" s="36">
        <v>100</v>
      </c>
      <c r="W73" s="36">
        <v>1</v>
      </c>
      <c r="X73" s="98">
        <v>3</v>
      </c>
      <c r="Y73" s="29">
        <v>49.5</v>
      </c>
      <c r="Z73" s="88" t="str">
        <f>+IF(Y73&gt;0,FIXED(Fuelbeds_english!Z73*0.3048,1,0),Y73)</f>
        <v>2.1</v>
      </c>
      <c r="AA73" s="46">
        <v>85</v>
      </c>
      <c r="AB73" s="46">
        <v>28862</v>
      </c>
      <c r="AC73" s="46" t="s">
        <v>376</v>
      </c>
      <c r="AD73" s="46">
        <v>100</v>
      </c>
      <c r="AE73" s="42">
        <v>16</v>
      </c>
      <c r="AF73" s="52" t="str">
        <f>+IF(AE73&gt;0,FIXED(Fuelbeds_english!AF73*0.3048,1,0),AE73)</f>
        <v>0.3</v>
      </c>
      <c r="AG73" s="36">
        <v>85</v>
      </c>
      <c r="AH73" s="52" t="str">
        <f>+IF(AE73&gt;0,FIXED(Fuelbeds_english!AH73*2.242,1,0),AE73)</f>
        <v>0.2</v>
      </c>
      <c r="AI73" s="36">
        <v>40450</v>
      </c>
      <c r="AJ73" s="36" t="s">
        <v>148</v>
      </c>
      <c r="AK73" s="36">
        <v>100</v>
      </c>
      <c r="AL73" s="34">
        <v>4.9885714285714275</v>
      </c>
      <c r="AM73" s="52" t="str">
        <f>+IF(AL73&gt;0,FIXED(Fuelbeds_english!AM73*2.54,1,0),AL73)</f>
        <v>1.9</v>
      </c>
      <c r="AN73" s="52" t="str">
        <f>+IF($AM73&gt;0,FIXED(Fuelbeds_english!AN73*2.242,1,0),$AM73)</f>
        <v>0.1</v>
      </c>
      <c r="AO73" s="52" t="str">
        <f>+IF($AM73&gt;0,FIXED(Fuelbeds_english!AO73*2.242,1,0),$AM73)</f>
        <v>0.2</v>
      </c>
      <c r="AP73" s="52" t="str">
        <f>+IF($AM73&gt;0,FIXED(Fuelbeds_english!AP73*2.242,1,0),$AM73)</f>
        <v>0.5</v>
      </c>
      <c r="AQ73" s="52" t="str">
        <f>+IF($AM73&gt;0,FIXED(Fuelbeds_english!AQ73*2.242,1,0),$AM73)</f>
        <v>0.7</v>
      </c>
      <c r="AR73" s="36">
        <v>28766</v>
      </c>
      <c r="AS73" s="36" t="s">
        <v>137</v>
      </c>
      <c r="AT73" s="36">
        <v>100</v>
      </c>
      <c r="AU73" s="44">
        <v>-1</v>
      </c>
      <c r="AV73" s="52">
        <f>+IF(AU73&gt;0,FIXED(Fuelbeds_english!AV73*2.54,1,0),AU73)</f>
        <v>-1</v>
      </c>
      <c r="AW73" s="52">
        <v>-1</v>
      </c>
      <c r="AX73" s="52">
        <v>-1</v>
      </c>
      <c r="AY73" s="52">
        <f>+IF(AX73&gt;0,FIXED(Fuelbeds_english!AY73*2.54,1,0),AX73)</f>
        <v>-1</v>
      </c>
      <c r="AZ73" s="45">
        <v>1</v>
      </c>
      <c r="BA73" s="36">
        <v>19.399999999999999</v>
      </c>
      <c r="BB73" s="52" t="str">
        <f>+IF(BA73&gt;0,FIXED(Fuelbeds_english!BB73*2.54,1,0),BA73)</f>
        <v>2.5</v>
      </c>
      <c r="BC73" s="45">
        <v>-1</v>
      </c>
      <c r="BD73" s="45">
        <v>-1</v>
      </c>
      <c r="BE73" s="45">
        <v>-1</v>
      </c>
      <c r="BF73" s="45">
        <v>100</v>
      </c>
      <c r="BG73" s="45">
        <v>-1</v>
      </c>
      <c r="BH73" s="45">
        <v>-1</v>
      </c>
      <c r="BI73" s="45">
        <v>-1</v>
      </c>
      <c r="BJ73" s="28">
        <v>1</v>
      </c>
      <c r="BK73" s="36">
        <v>17.737142857142857</v>
      </c>
      <c r="BL73" s="52" t="str">
        <f>+IF(BK73&gt;0,FIXED(Fuelbeds_english!BL73*2.54,1,0),BK73)</f>
        <v>3.2</v>
      </c>
      <c r="BM73" s="45">
        <v>3</v>
      </c>
      <c r="BN73" s="36">
        <v>17.737142857142857</v>
      </c>
      <c r="BO73" s="52" t="str">
        <f>+IF(BN73&gt;0,FIXED(Fuelbeds_english!BO73*2.54,1,0),BN73)</f>
        <v>3.2</v>
      </c>
    </row>
    <row r="74" spans="1:68" ht="15" customHeight="1" x14ac:dyDescent="0.25">
      <c r="A74" s="50">
        <v>73</v>
      </c>
      <c r="B74" s="52" t="s">
        <v>228</v>
      </c>
      <c r="C74" s="68">
        <v>922061</v>
      </c>
      <c r="D74" s="45" t="s">
        <v>7</v>
      </c>
      <c r="E74" s="11" t="s">
        <v>16</v>
      </c>
      <c r="F74" s="39">
        <v>55.5</v>
      </c>
      <c r="G74" s="36">
        <v>55.5</v>
      </c>
      <c r="H74" s="45">
        <f>+IF(F74&gt;0,INT(Fuelbeds_english!H74*2.471),F74)</f>
        <v>94</v>
      </c>
      <c r="I74" s="36">
        <f>+IF(F74&gt;0,INT(Fuelbeds_english!I74*0.3048),F74)</f>
        <v>15</v>
      </c>
      <c r="J74" s="45">
        <f>+IF(F74&gt;0,INT(Fuelbeds_english!J74*0.3048),F74)</f>
        <v>11</v>
      </c>
      <c r="K74" s="45">
        <f>+IF(F74&gt;0,INT(Fuelbeds_english!K74*2.54),F74)</f>
        <v>24</v>
      </c>
      <c r="L74" s="36">
        <v>28766</v>
      </c>
      <c r="M74" s="36" t="s">
        <v>137</v>
      </c>
      <c r="N74" s="36">
        <v>100</v>
      </c>
      <c r="O74" s="36">
        <v>33.299999999999997</v>
      </c>
      <c r="P74" s="45">
        <f>+IF(O74&gt;0,INT(Fuelbeds_english!P74*2.471),O74)</f>
        <v>184</v>
      </c>
      <c r="Q74" s="36">
        <f>+IF(O74&gt;0,INT(Fuelbeds_english!Q74*0.3048),O74)</f>
        <v>9</v>
      </c>
      <c r="R74" s="45">
        <f>+IF(O74&gt;0,INT(Fuelbeds_english!R74*0.3048),O74)</f>
        <v>4</v>
      </c>
      <c r="S74" s="45">
        <f>+IF(O74&gt;0,INT(Fuelbeds_english!S74*2.54),O74)</f>
        <v>13</v>
      </c>
      <c r="T74" s="36">
        <v>28766</v>
      </c>
      <c r="U74" s="36" t="s">
        <v>137</v>
      </c>
      <c r="V74" s="36">
        <v>100</v>
      </c>
      <c r="W74" s="36">
        <v>1</v>
      </c>
      <c r="X74" s="98">
        <v>3</v>
      </c>
      <c r="Y74" s="29">
        <v>33.375</v>
      </c>
      <c r="Z74" s="88" t="str">
        <f>+IF(Y74&gt;0,FIXED(Fuelbeds_english!Z74*0.3048,1,0),Y74)</f>
        <v>2.1</v>
      </c>
      <c r="AA74" s="46">
        <v>85</v>
      </c>
      <c r="AB74" s="46">
        <v>28862</v>
      </c>
      <c r="AC74" s="46" t="s">
        <v>376</v>
      </c>
      <c r="AD74" s="46">
        <v>100</v>
      </c>
      <c r="AE74" s="42">
        <v>11</v>
      </c>
      <c r="AF74" s="52" t="str">
        <f>+IF(AE74&gt;0,FIXED(Fuelbeds_english!AF74*0.3048,1,0),AE74)</f>
        <v>0.3</v>
      </c>
      <c r="AG74" s="36">
        <v>85</v>
      </c>
      <c r="AH74" s="52" t="str">
        <f>+IF(AE74&gt;0,FIXED(Fuelbeds_english!AH74*2.242,1,0),AE74)</f>
        <v>0.1</v>
      </c>
      <c r="AI74" s="36">
        <v>40450</v>
      </c>
      <c r="AJ74" s="36" t="s">
        <v>148</v>
      </c>
      <c r="AK74" s="36">
        <v>100</v>
      </c>
      <c r="AL74" s="34">
        <v>14.271428571428572</v>
      </c>
      <c r="AM74" s="52" t="str">
        <f>+IF(AL74&gt;0,FIXED(Fuelbeds_english!AM74*2.54,1,0),AL74)</f>
        <v>1.9</v>
      </c>
      <c r="AN74" s="52" t="str">
        <f>+IF($AM74&gt;0,FIXED(Fuelbeds_english!AN74*2.242,1,0),$AM74)</f>
        <v>0.4</v>
      </c>
      <c r="AO74" s="52" t="str">
        <f>+IF($AM74&gt;0,FIXED(Fuelbeds_english!AO74*2.242,1,0),$AM74)</f>
        <v>0.5</v>
      </c>
      <c r="AP74" s="52" t="str">
        <f>+IF($AM74&gt;0,FIXED(Fuelbeds_english!AP74*2.242,1,0),$AM74)</f>
        <v>1.4</v>
      </c>
      <c r="AQ74" s="52" t="str">
        <f>+IF($AM74&gt;0,FIXED(Fuelbeds_english!AQ74*2.242,1,0),$AM74)</f>
        <v>2.1</v>
      </c>
      <c r="AR74" s="36">
        <v>28766</v>
      </c>
      <c r="AS74" s="36" t="s">
        <v>137</v>
      </c>
      <c r="AT74" s="36">
        <v>100</v>
      </c>
      <c r="AU74" s="44">
        <v>-1</v>
      </c>
      <c r="AV74" s="52">
        <f>+IF(AU74&gt;0,FIXED(Fuelbeds_english!AV74*2.54,1,0),AU74)</f>
        <v>-1</v>
      </c>
      <c r="AW74" s="52">
        <v>-1</v>
      </c>
      <c r="AX74" s="52">
        <v>-1</v>
      </c>
      <c r="AY74" s="52">
        <f>+IF(AX74&gt;0,FIXED(Fuelbeds_english!AY74*2.54,1,0),AX74)</f>
        <v>-1</v>
      </c>
      <c r="AZ74" s="45">
        <v>1</v>
      </c>
      <c r="BA74" s="36">
        <v>55.5</v>
      </c>
      <c r="BB74" s="52" t="str">
        <f>+IF(BA74&gt;0,FIXED(Fuelbeds_english!BB74*2.54,1,0),BA74)</f>
        <v>2.5</v>
      </c>
      <c r="BC74" s="45">
        <v>-1</v>
      </c>
      <c r="BD74" s="45">
        <v>-1</v>
      </c>
      <c r="BE74" s="45">
        <v>-1</v>
      </c>
      <c r="BF74" s="45">
        <v>100</v>
      </c>
      <c r="BG74" s="45">
        <v>-1</v>
      </c>
      <c r="BH74" s="45">
        <v>-1</v>
      </c>
      <c r="BI74" s="45">
        <v>-1</v>
      </c>
      <c r="BJ74" s="28">
        <v>1</v>
      </c>
      <c r="BK74" s="36">
        <v>50.74285714285714</v>
      </c>
      <c r="BL74" s="52" t="str">
        <f>+IF(BK74&gt;0,FIXED(Fuelbeds_english!BL74*2.54,1,0),BK74)</f>
        <v>3.2</v>
      </c>
      <c r="BM74" s="45">
        <v>3</v>
      </c>
      <c r="BN74" s="36">
        <v>50.74285714285714</v>
      </c>
      <c r="BO74" s="52" t="str">
        <f>+IF(BN74&gt;0,FIXED(Fuelbeds_english!BO74*2.54,1,0),BN74)</f>
        <v>3.2</v>
      </c>
    </row>
    <row r="75" spans="1:68" ht="15" customHeight="1" x14ac:dyDescent="0.25">
      <c r="A75" s="50">
        <v>74</v>
      </c>
      <c r="B75" s="36">
        <v>2091</v>
      </c>
      <c r="C75" s="46">
        <v>2091</v>
      </c>
      <c r="D75" s="45" t="s">
        <v>7</v>
      </c>
      <c r="E75" s="24" t="s">
        <v>353</v>
      </c>
      <c r="F75" s="39">
        <v>24.5</v>
      </c>
      <c r="G75" s="36">
        <v>15.450450450450449</v>
      </c>
      <c r="H75" s="45">
        <f>+IF(F75&gt;0,INT(Fuelbeds_english!H75*2.471),F75)</f>
        <v>54</v>
      </c>
      <c r="I75" s="36">
        <f>+IF(F75&gt;0,INT(Fuelbeds_english!I75*0.3048),F75)</f>
        <v>22</v>
      </c>
      <c r="J75" s="45">
        <f>+IF(F75&gt;0,INT(Fuelbeds_english!J75*0.3048),F75)</f>
        <v>16</v>
      </c>
      <c r="K75" s="45">
        <f>+IF(F75&gt;0,INT(Fuelbeds_english!K75*2.54),F75)</f>
        <v>34</v>
      </c>
      <c r="L75" s="36">
        <v>18035</v>
      </c>
      <c r="M75" s="36" t="s">
        <v>370</v>
      </c>
      <c r="N75" s="36">
        <v>100</v>
      </c>
      <c r="O75" s="36">
        <v>24.5</v>
      </c>
      <c r="P75" s="45">
        <f>+IF(O75&gt;0,INT(Fuelbeds_english!P75*2.471),O75)</f>
        <v>111</v>
      </c>
      <c r="Q75" s="36">
        <f>+IF(O75&gt;0,INT(Fuelbeds_english!Q75*0.3048),O75)</f>
        <v>14</v>
      </c>
      <c r="R75" s="45">
        <f>+IF(O75&gt;0,INT(Fuelbeds_english!R75*0.3048),O75)</f>
        <v>7</v>
      </c>
      <c r="S75" s="45">
        <f>+IF(O75&gt;0,INT(Fuelbeds_english!S75*2.54),O75)</f>
        <v>17</v>
      </c>
      <c r="T75" s="36">
        <v>18035</v>
      </c>
      <c r="U75" s="36" t="s">
        <v>370</v>
      </c>
      <c r="V75" s="36">
        <v>100</v>
      </c>
      <c r="W75" s="36">
        <v>-1</v>
      </c>
      <c r="X75" s="98">
        <v>-1</v>
      </c>
      <c r="Y75" s="29">
        <v>7.8</v>
      </c>
      <c r="Z75" s="88" t="str">
        <f>+IF(Y75&gt;0,FIXED(Fuelbeds_english!Z75*0.3048,1,0),Y75)</f>
        <v>0.8</v>
      </c>
      <c r="AA75" s="46">
        <v>85</v>
      </c>
      <c r="AB75" s="50">
        <v>18148</v>
      </c>
      <c r="AC75" s="50" t="s">
        <v>371</v>
      </c>
      <c r="AD75" s="50">
        <v>100</v>
      </c>
      <c r="AE75" s="42">
        <v>11</v>
      </c>
      <c r="AF75" s="52" t="str">
        <f>+IF(AE75&gt;0,FIXED(Fuelbeds_english!AF75*0.3048,1,0),AE75)</f>
        <v>0.3</v>
      </c>
      <c r="AG75" s="36">
        <v>70</v>
      </c>
      <c r="AH75" s="52" t="str">
        <f>+IF(AE75&gt;0,FIXED(Fuelbeds_english!AH75*2.242,1,0),AE75)</f>
        <v>1.3</v>
      </c>
      <c r="AI75" s="45">
        <v>40792</v>
      </c>
      <c r="AJ75" s="45" t="s">
        <v>365</v>
      </c>
      <c r="AK75" s="45">
        <v>100</v>
      </c>
      <c r="AL75" s="34">
        <v>17</v>
      </c>
      <c r="AM75" s="52" t="str">
        <f>+IF(AL75&gt;0,FIXED(Fuelbeds_english!AM75*2.54,1,0),AL75)</f>
        <v>7.4</v>
      </c>
      <c r="AN75" s="52" t="str">
        <f>+IF($AM75&gt;0,FIXED(Fuelbeds_english!AN75*2.242,1,0),$AM75)</f>
        <v>0.1</v>
      </c>
      <c r="AO75" s="52" t="str">
        <f>+IF($AM75&gt;0,FIXED(Fuelbeds_english!AO75*2.242,1,0),$AM75)</f>
        <v>0.8</v>
      </c>
      <c r="AP75" s="52" t="str">
        <f>+IF($AM75&gt;0,FIXED(Fuelbeds_english!AP75*2.242,1,0),$AM75)</f>
        <v>1.2</v>
      </c>
      <c r="AQ75" s="52" t="str">
        <f>+IF($AM75&gt;0,FIXED(Fuelbeds_english!AQ75*2.242,1,0),$AM75)</f>
        <v>2.7</v>
      </c>
      <c r="AR75" s="36">
        <v>18035</v>
      </c>
      <c r="AS75" s="45" t="s">
        <v>370</v>
      </c>
      <c r="AT75" s="45">
        <v>100</v>
      </c>
      <c r="AU75" s="44">
        <v>-1</v>
      </c>
      <c r="AV75" s="52">
        <f>+IF(AU75&gt;0,FIXED(Fuelbeds_english!AV75*2.54,1,0),AU75)</f>
        <v>-1</v>
      </c>
      <c r="AW75" s="52">
        <v>-1</v>
      </c>
      <c r="AX75" s="52">
        <v>-1</v>
      </c>
      <c r="AY75" s="52">
        <f>+IF(AX75&gt;0,FIXED(Fuelbeds_english!AY75*2.54,1,0),AX75)</f>
        <v>-1</v>
      </c>
      <c r="AZ75" s="45">
        <v>1</v>
      </c>
      <c r="BA75" s="36">
        <v>30.2</v>
      </c>
      <c r="BB75" s="52" t="str">
        <f>+IF(BA75&gt;0,FIXED(Fuelbeds_english!BB75*2.54,1,0),BA75)</f>
        <v>5.6</v>
      </c>
      <c r="BC75" s="45">
        <v>100</v>
      </c>
      <c r="BD75" s="45">
        <v>-1</v>
      </c>
      <c r="BE75" s="45">
        <v>-1</v>
      </c>
      <c r="BF75" s="45">
        <v>-1</v>
      </c>
      <c r="BG75" s="45">
        <v>-1</v>
      </c>
      <c r="BH75" s="45">
        <v>-1</v>
      </c>
      <c r="BI75" s="45">
        <v>-1</v>
      </c>
      <c r="BJ75" s="28">
        <v>1</v>
      </c>
      <c r="BK75" s="36">
        <v>30.1</v>
      </c>
      <c r="BL75" s="52" t="str">
        <f>+IF(BK75&gt;0,FIXED(Fuelbeds_english!BL75*2.54,1,0),BK75)</f>
        <v>2.5</v>
      </c>
      <c r="BM75" s="45">
        <v>3</v>
      </c>
      <c r="BN75" s="36">
        <v>30.1</v>
      </c>
      <c r="BO75" s="52" t="str">
        <f>+IF(BN75&gt;0,FIXED(Fuelbeds_english!BO75*2.54,1,0),BN75)</f>
        <v>2.5</v>
      </c>
    </row>
    <row r="76" spans="1:68" ht="15" customHeight="1" x14ac:dyDescent="0.25">
      <c r="A76" s="50">
        <v>75</v>
      </c>
      <c r="B76" s="36">
        <v>2110</v>
      </c>
      <c r="C76" s="46">
        <v>2110</v>
      </c>
      <c r="D76" s="45" t="s">
        <v>7</v>
      </c>
      <c r="E76" s="12" t="s">
        <v>9</v>
      </c>
      <c r="F76" s="39">
        <v>18.309999999999999</v>
      </c>
      <c r="G76" s="36">
        <v>18.309999999999999</v>
      </c>
      <c r="H76" s="45">
        <f>+IF(F76&gt;0,INT(Fuelbeds_english!H76*2.471),F76)</f>
        <v>31</v>
      </c>
      <c r="I76" s="36">
        <f>+IF(F76&gt;0,INT(Fuelbeds_english!I76*0.3048),F76)</f>
        <v>12</v>
      </c>
      <c r="J76" s="45">
        <f>+IF(F76&gt;0,INT(Fuelbeds_english!J76*0.3048),F76)</f>
        <v>8</v>
      </c>
      <c r="K76" s="45">
        <f>+IF(F76&gt;0,INT(Fuelbeds_english!K76*2.54),F76)</f>
        <v>19</v>
      </c>
      <c r="L76" s="36">
        <v>28766</v>
      </c>
      <c r="M76" s="36" t="s">
        <v>137</v>
      </c>
      <c r="N76" s="36">
        <v>100</v>
      </c>
      <c r="O76" s="36">
        <v>10.985999999999999</v>
      </c>
      <c r="P76" s="45">
        <f>+IF(O76&gt;0,INT(Fuelbeds_english!P76*2.471),O76)</f>
        <v>60</v>
      </c>
      <c r="Q76" s="36">
        <f>+IF(O76&gt;0,INT(Fuelbeds_english!Q76*0.3048),O76)</f>
        <v>7</v>
      </c>
      <c r="R76" s="45">
        <f>+IF(O76&gt;0,INT(Fuelbeds_english!R76*0.3048),O76)</f>
        <v>3</v>
      </c>
      <c r="S76" s="45">
        <f>+IF(O76&gt;0,INT(Fuelbeds_english!S76*2.54),O76)</f>
        <v>11</v>
      </c>
      <c r="T76" s="36">
        <v>28766</v>
      </c>
      <c r="U76" s="36" t="s">
        <v>137</v>
      </c>
      <c r="V76" s="36">
        <v>100</v>
      </c>
      <c r="W76" s="36">
        <v>1</v>
      </c>
      <c r="X76" s="98">
        <v>3</v>
      </c>
      <c r="Y76" s="29">
        <v>40.6477</v>
      </c>
      <c r="Z76" s="88" t="str">
        <f>+IF(Y76&gt;0,FIXED(Fuelbeds_english!Z76*0.3048,1,0),Y76)</f>
        <v>2.1</v>
      </c>
      <c r="AA76" s="46">
        <v>85</v>
      </c>
      <c r="AB76" s="50">
        <v>28862</v>
      </c>
      <c r="AC76" s="50" t="s">
        <v>376</v>
      </c>
      <c r="AD76" s="50">
        <v>100</v>
      </c>
      <c r="AE76" s="42">
        <v>30</v>
      </c>
      <c r="AF76" s="52" t="str">
        <f>+IF(AE76&gt;0,FIXED(Fuelbeds_english!AF76*0.3048,1,0),AE76)</f>
        <v>0.3</v>
      </c>
      <c r="AG76" s="36">
        <v>85</v>
      </c>
      <c r="AH76" s="52" t="str">
        <f>+IF(AE76&gt;0,FIXED(Fuelbeds_english!AH76*2.242,1,0),AE76)</f>
        <v>0.3</v>
      </c>
      <c r="AI76" s="45">
        <v>40450</v>
      </c>
      <c r="AJ76" s="45" t="s">
        <v>148</v>
      </c>
      <c r="AK76" s="45">
        <v>100</v>
      </c>
      <c r="AL76" s="34">
        <v>15.160551428571429</v>
      </c>
      <c r="AM76" s="52" t="str">
        <f>+IF(AL76&gt;0,FIXED(Fuelbeds_english!AM76*2.54,1,0),AL76)</f>
        <v>1.9</v>
      </c>
      <c r="AN76" s="52" t="str">
        <f>+IF($AM76&gt;0,FIXED(Fuelbeds_english!AN76*2.242,1,0),$AM76)</f>
        <v>0.5</v>
      </c>
      <c r="AO76" s="52" t="str">
        <f>+IF($AM76&gt;0,FIXED(Fuelbeds_english!AO76*2.242,1,0),$AM76)</f>
        <v>0.5</v>
      </c>
      <c r="AP76" s="52" t="str">
        <f>+IF($AM76&gt;0,FIXED(Fuelbeds_english!AP76*2.242,1,0),$AM76)</f>
        <v>1.5</v>
      </c>
      <c r="AQ76" s="52" t="str">
        <f>+IF($AM76&gt;0,FIXED(Fuelbeds_english!AQ76*2.242,1,0),$AM76)</f>
        <v>2.3</v>
      </c>
      <c r="AR76" s="36">
        <v>28766</v>
      </c>
      <c r="AS76" s="45" t="s">
        <v>137</v>
      </c>
      <c r="AT76" s="45">
        <v>100</v>
      </c>
      <c r="AU76" s="44">
        <v>-1</v>
      </c>
      <c r="AV76" s="52">
        <f>+IF(AU76&gt;0,FIXED(Fuelbeds_english!AV76*2.54,1,0),AU76)</f>
        <v>-1</v>
      </c>
      <c r="AW76" s="52">
        <v>-1</v>
      </c>
      <c r="AX76" s="52">
        <v>-1</v>
      </c>
      <c r="AY76" s="52">
        <f>+IF(AX76&gt;0,FIXED(Fuelbeds_english!AY76*2.54,1,0),AX76)</f>
        <v>-1</v>
      </c>
      <c r="AZ76" s="45">
        <v>1</v>
      </c>
      <c r="BA76" s="36">
        <v>88.957700000000003</v>
      </c>
      <c r="BB76" s="52" t="str">
        <f>+IF(BA76&gt;0,FIXED(Fuelbeds_english!BB76*2.54,1,0),BA76)</f>
        <v>2.5</v>
      </c>
      <c r="BC76" s="45">
        <v>-1</v>
      </c>
      <c r="BD76" s="45">
        <v>-1</v>
      </c>
      <c r="BE76" s="45">
        <v>-1</v>
      </c>
      <c r="BF76" s="45">
        <v>70</v>
      </c>
      <c r="BG76" s="45">
        <v>-1</v>
      </c>
      <c r="BH76" s="45">
        <v>-1</v>
      </c>
      <c r="BI76" s="45">
        <v>30</v>
      </c>
      <c r="BJ76" s="28">
        <v>1</v>
      </c>
      <c r="BK76" s="36">
        <v>53.904182857142857</v>
      </c>
      <c r="BL76" s="52" t="str">
        <f>+IF(BK76&gt;0,FIXED(Fuelbeds_english!BL76*2.54,1,0),BK76)</f>
        <v>3.2</v>
      </c>
      <c r="BM76" s="45">
        <v>3</v>
      </c>
      <c r="BN76" s="36">
        <v>53.904182857142857</v>
      </c>
      <c r="BO76" s="52" t="str">
        <f>+IF(BN76&gt;0,FIXED(Fuelbeds_english!BO76*2.54,1,0),BN76)</f>
        <v>3.2</v>
      </c>
    </row>
    <row r="77" spans="1:68" ht="15" customHeight="1" x14ac:dyDescent="0.25">
      <c r="A77" s="50">
        <v>76</v>
      </c>
      <c r="B77" s="36">
        <v>2120</v>
      </c>
      <c r="C77" s="46">
        <v>2120</v>
      </c>
      <c r="D77" s="45" t="s">
        <v>7</v>
      </c>
      <c r="E77" s="13" t="s">
        <v>8</v>
      </c>
      <c r="F77" s="39">
        <v>6.97</v>
      </c>
      <c r="G77" s="36">
        <v>6.97</v>
      </c>
      <c r="H77" s="45">
        <f>+IF(F77&gt;0,INT(Fuelbeds_english!H77*2.471),F77)</f>
        <v>11</v>
      </c>
      <c r="I77" s="36">
        <f>+IF(F77&gt;0,INT(Fuelbeds_english!I77*0.3048),F77)</f>
        <v>11</v>
      </c>
      <c r="J77" s="45">
        <f>+IF(F77&gt;0,INT(Fuelbeds_english!J77*0.3048),F77)</f>
        <v>7</v>
      </c>
      <c r="K77" s="45">
        <f>+IF(F77&gt;0,INT(Fuelbeds_english!K77*2.54),F77)</f>
        <v>17</v>
      </c>
      <c r="L77" s="36">
        <v>28766</v>
      </c>
      <c r="M77" s="36" t="s">
        <v>137</v>
      </c>
      <c r="N77" s="36">
        <v>100</v>
      </c>
      <c r="O77" s="36">
        <v>4.1820000000000004</v>
      </c>
      <c r="P77" s="45">
        <f>+IF(O77&gt;0,INT(Fuelbeds_english!P77*2.471),O77)</f>
        <v>23</v>
      </c>
      <c r="Q77" s="36">
        <f>+IF(O77&gt;0,INT(Fuelbeds_english!Q77*0.3048),O77)</f>
        <v>6</v>
      </c>
      <c r="R77" s="45">
        <f>+IF(O77&gt;0,INT(Fuelbeds_english!R77*0.3048),O77)</f>
        <v>3</v>
      </c>
      <c r="S77" s="45">
        <f>+IF(O77&gt;0,INT(Fuelbeds_english!S77*2.54),O77)</f>
        <v>9</v>
      </c>
      <c r="T77" s="36">
        <v>28766</v>
      </c>
      <c r="U77" s="36" t="s">
        <v>137</v>
      </c>
      <c r="V77" s="36">
        <v>100</v>
      </c>
      <c r="W77" s="36">
        <v>1</v>
      </c>
      <c r="X77" s="98">
        <v>3</v>
      </c>
      <c r="Y77" s="29">
        <v>14.517200000000003</v>
      </c>
      <c r="Z77" s="88" t="str">
        <f>+IF(Y77&gt;0,FIXED(Fuelbeds_english!Z77*0.3048,1,0),Y77)</f>
        <v>2.1</v>
      </c>
      <c r="AA77" s="46">
        <v>85</v>
      </c>
      <c r="AB77" s="50">
        <v>28862</v>
      </c>
      <c r="AC77" s="50" t="s">
        <v>376</v>
      </c>
      <c r="AD77" s="50">
        <v>100</v>
      </c>
      <c r="AE77" s="42">
        <v>60</v>
      </c>
      <c r="AF77" s="52" t="str">
        <f>+IF(AE77&gt;0,FIXED(Fuelbeds_english!AF77*0.3048,1,0),AE77)</f>
        <v>0.3</v>
      </c>
      <c r="AG77" s="36">
        <v>85</v>
      </c>
      <c r="AH77" s="52" t="str">
        <f>+IF(AE77&gt;0,FIXED(Fuelbeds_english!AH77*2.242,1,0),AE77)</f>
        <v>0.7</v>
      </c>
      <c r="AI77" s="45">
        <v>40450</v>
      </c>
      <c r="AJ77" s="45" t="s">
        <v>148</v>
      </c>
      <c r="AK77" s="45">
        <v>100</v>
      </c>
      <c r="AL77" s="34">
        <v>5.5252800000000004</v>
      </c>
      <c r="AM77" s="52" t="str">
        <f>+IF(AL77&gt;0,FIXED(Fuelbeds_english!AM77*2.54,1,0),AL77)</f>
        <v>1.9</v>
      </c>
      <c r="AN77" s="52" t="str">
        <f>+IF($AM77&gt;0,FIXED(Fuelbeds_english!AN77*2.242,1,0),$AM77)</f>
        <v>0.2</v>
      </c>
      <c r="AO77" s="52" t="str">
        <f>+IF($AM77&gt;0,FIXED(Fuelbeds_english!AO77*2.242,1,0),$AM77)</f>
        <v>0.2</v>
      </c>
      <c r="AP77" s="52" t="str">
        <f>+IF($AM77&gt;0,FIXED(Fuelbeds_english!AP77*2.242,1,0),$AM77)</f>
        <v>0.6</v>
      </c>
      <c r="AQ77" s="52" t="str">
        <f>+IF($AM77&gt;0,FIXED(Fuelbeds_english!AQ77*2.242,1,0),$AM77)</f>
        <v>0.8</v>
      </c>
      <c r="AR77" s="36">
        <v>28766</v>
      </c>
      <c r="AS77" s="45" t="s">
        <v>137</v>
      </c>
      <c r="AT77" s="45">
        <v>100</v>
      </c>
      <c r="AU77" s="44">
        <v>-1</v>
      </c>
      <c r="AV77" s="52">
        <f>+IF(AU77&gt;0,FIXED(Fuelbeds_english!AV77*2.54,1,0),AU77)</f>
        <v>-1</v>
      </c>
      <c r="AW77" s="52">
        <v>-1</v>
      </c>
      <c r="AX77" s="52">
        <v>-1</v>
      </c>
      <c r="AY77" s="52">
        <f>+IF(AX77&gt;0,FIXED(Fuelbeds_english!AY77*2.54,1,0),AX77)</f>
        <v>-1</v>
      </c>
      <c r="AZ77" s="45">
        <v>1</v>
      </c>
      <c r="BA77" s="36">
        <v>81.487200000000001</v>
      </c>
      <c r="BB77" s="52" t="str">
        <f>+IF(BA77&gt;0,FIXED(Fuelbeds_english!BB77*2.54,1,0),BA77)</f>
        <v>2.5</v>
      </c>
      <c r="BC77" s="45">
        <v>-1</v>
      </c>
      <c r="BD77" s="45">
        <v>-1</v>
      </c>
      <c r="BE77" s="45">
        <v>-1</v>
      </c>
      <c r="BF77" s="45">
        <v>40</v>
      </c>
      <c r="BG77" s="45">
        <v>-1</v>
      </c>
      <c r="BH77" s="45">
        <v>-1</v>
      </c>
      <c r="BI77" s="45">
        <v>60</v>
      </c>
      <c r="BJ77" s="28">
        <v>1</v>
      </c>
      <c r="BK77" s="36">
        <v>19.645440000000001</v>
      </c>
      <c r="BL77" s="52" t="str">
        <f>+IF(BK77&gt;0,FIXED(Fuelbeds_english!BL77*2.54,1,0),BK77)</f>
        <v>3.2</v>
      </c>
      <c r="BM77" s="45">
        <v>3</v>
      </c>
      <c r="BN77" s="36">
        <v>19.645440000000001</v>
      </c>
      <c r="BO77" s="52" t="str">
        <f>+IF(BN77&gt;0,FIXED(Fuelbeds_english!BO77*2.54,1,0),BN77)</f>
        <v>3.2</v>
      </c>
    </row>
    <row r="78" spans="1:68" ht="15" customHeight="1" x14ac:dyDescent="0.25">
      <c r="A78" s="50">
        <v>77</v>
      </c>
      <c r="B78" s="36">
        <v>2130</v>
      </c>
      <c r="C78" s="46">
        <v>2130</v>
      </c>
      <c r="D78" s="45" t="s">
        <v>7</v>
      </c>
      <c r="E78" s="14" t="s">
        <v>10</v>
      </c>
      <c r="F78" s="39">
        <v>-3</v>
      </c>
      <c r="G78" s="36">
        <v>-3</v>
      </c>
      <c r="H78" s="45">
        <f>+IF(F78&gt;0,INT(Fuelbeds_english!H78*2.471),F78)</f>
        <v>-3</v>
      </c>
      <c r="I78" s="36">
        <f>+IF(F78&gt;0,INT(Fuelbeds_english!I78*0.3048),F78)</f>
        <v>-3</v>
      </c>
      <c r="J78" s="45">
        <f>+IF(F78&gt;0,INT(Fuelbeds_english!J78*0.3048),F78)</f>
        <v>-3</v>
      </c>
      <c r="K78" s="45">
        <f>+IF(F78&gt;0,INT(Fuelbeds_english!K78*2.54),F78)</f>
        <v>-3</v>
      </c>
      <c r="L78" s="45">
        <v>-3</v>
      </c>
      <c r="M78" s="45">
        <v>-3</v>
      </c>
      <c r="N78" s="45">
        <v>-3</v>
      </c>
      <c r="O78" s="36">
        <v>-3</v>
      </c>
      <c r="P78" s="45">
        <f>+IF(O78&gt;0,INT(Fuelbeds_english!P78*2.471),O78)</f>
        <v>-3</v>
      </c>
      <c r="Q78" s="36">
        <f>+IF(O78&gt;0,INT(Fuelbeds_english!Q78*0.3048),O78)</f>
        <v>-3</v>
      </c>
      <c r="R78" s="45">
        <f>+IF(O78&gt;0,INT(Fuelbeds_english!R78*0.3048),O78)</f>
        <v>-3</v>
      </c>
      <c r="S78" s="45">
        <f>+IF(O78&gt;0,INT(Fuelbeds_english!S78*2.54),O78)</f>
        <v>-3</v>
      </c>
      <c r="T78" s="45">
        <v>-3</v>
      </c>
      <c r="U78" s="45">
        <v>-3</v>
      </c>
      <c r="V78" s="45">
        <v>-3</v>
      </c>
      <c r="W78" s="45">
        <v>-3</v>
      </c>
      <c r="X78" s="99">
        <v>-3</v>
      </c>
      <c r="Y78" s="29">
        <v>52</v>
      </c>
      <c r="Z78" s="88" t="str">
        <f>+IF(Y78&gt;0,FIXED(Fuelbeds_english!Z78*0.3048,1,0),Y78)</f>
        <v>1.5</v>
      </c>
      <c r="AA78" s="46">
        <v>85</v>
      </c>
      <c r="AB78" s="50">
        <v>28675</v>
      </c>
      <c r="AC78" s="50" t="s">
        <v>375</v>
      </c>
      <c r="AD78" s="50">
        <v>100</v>
      </c>
      <c r="AE78" s="42">
        <v>36</v>
      </c>
      <c r="AF78" s="52" t="str">
        <f>+IF(AE78&gt;0,FIXED(Fuelbeds_english!AF78*0.3048,1,0),AE78)</f>
        <v>0.4</v>
      </c>
      <c r="AG78" s="36">
        <v>85</v>
      </c>
      <c r="AH78" s="52" t="str">
        <f>+IF(AE78&gt;0,FIXED(Fuelbeds_english!AH78*2.242,1,0),AE78)</f>
        <v>7.4</v>
      </c>
      <c r="AI78" s="45">
        <v>40450</v>
      </c>
      <c r="AJ78" s="45" t="s">
        <v>148</v>
      </c>
      <c r="AK78" s="45">
        <v>100</v>
      </c>
      <c r="AL78" s="34">
        <v>29.85645933014354</v>
      </c>
      <c r="AM78" s="52" t="str">
        <f>+IF(AL78&gt;0,FIXED(Fuelbeds_english!AM78*2.54,1,0),AL78)</f>
        <v>1.6</v>
      </c>
      <c r="AN78" s="52" t="str">
        <f>+IF($AM78&gt;0,FIXED(Fuelbeds_english!AN78*2.242,1,0),$AM78)</f>
        <v>1.5</v>
      </c>
      <c r="AO78" s="52" t="str">
        <f>+IF($AM78&gt;0,FIXED(Fuelbeds_english!AO78*2.242,1,0),$AM78)</f>
        <v>3.1</v>
      </c>
      <c r="AP78" s="52" t="str">
        <f>+IF($AM78&gt;0,FIXED(Fuelbeds_english!AP78*2.242,1,0),$AM78)</f>
        <v>0.8</v>
      </c>
      <c r="AQ78" s="52" t="str">
        <f>+IF($AM78&gt;0,FIXED(Fuelbeds_english!AQ78*2.242,1,0),$AM78)</f>
        <v>0.0</v>
      </c>
      <c r="AR78" s="45">
        <v>28675</v>
      </c>
      <c r="AS78" s="45" t="s">
        <v>375</v>
      </c>
      <c r="AT78" s="45">
        <v>100</v>
      </c>
      <c r="AU78" s="44">
        <v>-1</v>
      </c>
      <c r="AV78" s="52">
        <f>+IF(AU78&gt;0,FIXED(Fuelbeds_english!AV78*2.54,1,0),AU78)</f>
        <v>-1</v>
      </c>
      <c r="AW78" s="52">
        <v>-1</v>
      </c>
      <c r="AX78" s="52">
        <v>-1</v>
      </c>
      <c r="AY78" s="52">
        <f>+IF(AX78&gt;0,FIXED(Fuelbeds_english!AY78*2.54,1,0),AX78)</f>
        <v>-1</v>
      </c>
      <c r="AZ78" s="45">
        <v>1</v>
      </c>
      <c r="BA78" s="36">
        <v>70</v>
      </c>
      <c r="BB78" s="52" t="str">
        <f>+IF(BA78&gt;0,FIXED(Fuelbeds_english!BB78*2.54,1,0),BA78)</f>
        <v>3.3</v>
      </c>
      <c r="BC78" s="45">
        <v>-1</v>
      </c>
      <c r="BD78" s="45">
        <v>-1</v>
      </c>
      <c r="BE78" s="45">
        <v>-1</v>
      </c>
      <c r="BF78" s="45">
        <v>-1</v>
      </c>
      <c r="BG78" s="45">
        <v>70</v>
      </c>
      <c r="BH78" s="45">
        <v>-1</v>
      </c>
      <c r="BI78" s="45">
        <v>30</v>
      </c>
      <c r="BJ78" s="28">
        <v>-1</v>
      </c>
      <c r="BK78" s="36">
        <v>-1</v>
      </c>
      <c r="BL78" s="52">
        <f>+IF(BK78&gt;0,FIXED(Fuelbeds_english!BL78*2.54,1,0),BK78)</f>
        <v>-1</v>
      </c>
      <c r="BM78" s="36">
        <v>-1</v>
      </c>
      <c r="BN78" s="36">
        <v>-1</v>
      </c>
      <c r="BO78" s="52">
        <f>+IF(BN78&gt;0,FIXED(Fuelbeds_english!BO78*2.54,1,0),BN78)</f>
        <v>-1</v>
      </c>
    </row>
    <row r="79" spans="1:68" ht="15" customHeight="1" x14ac:dyDescent="0.25">
      <c r="A79" s="50">
        <v>78</v>
      </c>
      <c r="B79" s="36">
        <v>2140</v>
      </c>
      <c r="C79" s="46">
        <v>2140</v>
      </c>
      <c r="D79" s="45" t="s">
        <v>7</v>
      </c>
      <c r="E79" s="15" t="s">
        <v>14</v>
      </c>
      <c r="F79" s="39">
        <v>-3</v>
      </c>
      <c r="G79" s="36">
        <v>-3</v>
      </c>
      <c r="H79" s="45">
        <f>+IF(F79&gt;0,INT(Fuelbeds_english!H79*2.471),F79)</f>
        <v>-3</v>
      </c>
      <c r="I79" s="36">
        <f>+IF(F79&gt;0,INT(Fuelbeds_english!I79*0.3048),F79)</f>
        <v>-3</v>
      </c>
      <c r="J79" s="45">
        <f>+IF(F79&gt;0,INT(Fuelbeds_english!J79*0.3048),F79)</f>
        <v>-3</v>
      </c>
      <c r="K79" s="45">
        <f>+IF(F79&gt;0,INT(Fuelbeds_english!K79*2.54),F79)</f>
        <v>-3</v>
      </c>
      <c r="L79" s="45">
        <v>-3</v>
      </c>
      <c r="M79" s="45">
        <v>-3</v>
      </c>
      <c r="N79" s="45">
        <v>-3</v>
      </c>
      <c r="O79" s="36">
        <v>-3</v>
      </c>
      <c r="P79" s="45">
        <f>+IF(O79&gt;0,INT(Fuelbeds_english!P79*2.471),O79)</f>
        <v>-3</v>
      </c>
      <c r="Q79" s="36">
        <f>+IF(O79&gt;0,INT(Fuelbeds_english!Q79*0.3048),O79)</f>
        <v>-3</v>
      </c>
      <c r="R79" s="45">
        <f>+IF(O79&gt;0,INT(Fuelbeds_english!R79*0.3048),O79)</f>
        <v>-3</v>
      </c>
      <c r="S79" s="45">
        <f>+IF(O79&gt;0,INT(Fuelbeds_english!S79*2.54),O79)</f>
        <v>-3</v>
      </c>
      <c r="T79" s="45">
        <v>-3</v>
      </c>
      <c r="U79" s="45">
        <v>-3</v>
      </c>
      <c r="V79" s="45">
        <v>-3</v>
      </c>
      <c r="W79" s="45">
        <v>-3</v>
      </c>
      <c r="X79" s="99">
        <v>-3</v>
      </c>
      <c r="Y79" s="81">
        <v>-3</v>
      </c>
      <c r="Z79" s="88">
        <f>+IF(Y79&gt;0,FIXED(Fuelbeds_english!Z79*0.3048,1,0),Y79)</f>
        <v>-3</v>
      </c>
      <c r="AA79" s="48">
        <v>-3</v>
      </c>
      <c r="AB79" s="10">
        <v>-3</v>
      </c>
      <c r="AC79" s="10">
        <v>-3</v>
      </c>
      <c r="AD79" s="10">
        <v>-3</v>
      </c>
      <c r="AE79" s="42">
        <v>75</v>
      </c>
      <c r="AF79" s="52" t="str">
        <f>+IF(AE79&gt;0,FIXED(Fuelbeds_english!AF79*0.3048,1,0),AE79)</f>
        <v>0.5</v>
      </c>
      <c r="AG79" s="36">
        <v>80</v>
      </c>
      <c r="AH79" s="52" t="str">
        <f>+IF(AE79&gt;0,FIXED(Fuelbeds_english!AH79*2.242,1,0),AE79)</f>
        <v>10.0</v>
      </c>
      <c r="AI79" s="45">
        <v>40450</v>
      </c>
      <c r="AJ79" s="45" t="s">
        <v>148</v>
      </c>
      <c r="AK79" s="45">
        <v>100</v>
      </c>
      <c r="AL79" s="34">
        <v>-3</v>
      </c>
      <c r="AM79" s="52">
        <f>+IF(AL79&gt;0,FIXED(Fuelbeds_english!AM79*2.54,1,0),AL79)</f>
        <v>-3</v>
      </c>
      <c r="AN79" s="52">
        <f>+IF(AM79&gt;0,FIXED(Fuelbeds_english!AN79*0.3048,1,0),AM79)</f>
        <v>-3</v>
      </c>
      <c r="AO79" s="52">
        <f>+IF(AN79&gt;0,FIXED(Fuelbeds_english!AO79*0.3048,1,0),AN79)</f>
        <v>-3</v>
      </c>
      <c r="AP79" s="52">
        <f>+IF(AO79&gt;0,FIXED(Fuelbeds_english!AP79*0.3048,1,0),AO79)</f>
        <v>-3</v>
      </c>
      <c r="AQ79" s="52">
        <f>+IF(AP79&gt;0,FIXED(Fuelbeds_english!AQ79*0.3048,1,0),AP79)</f>
        <v>-3</v>
      </c>
      <c r="AR79" s="36">
        <v>-3</v>
      </c>
      <c r="AS79" s="45">
        <v>-3</v>
      </c>
      <c r="AT79" s="45">
        <v>-3</v>
      </c>
      <c r="AU79" s="44">
        <v>-1</v>
      </c>
      <c r="AV79" s="52">
        <f>+IF(AU79&gt;0,FIXED(Fuelbeds_english!AV79*2.54,1,0),AU79)</f>
        <v>-1</v>
      </c>
      <c r="AW79" s="52">
        <v>-1</v>
      </c>
      <c r="AX79" s="52">
        <v>-1</v>
      </c>
      <c r="AY79" s="52">
        <f>+IF(AX79&gt;0,FIXED(Fuelbeds_english!AY79*2.54,1,0),AX79)</f>
        <v>-1</v>
      </c>
      <c r="AZ79" s="45">
        <v>1</v>
      </c>
      <c r="BA79" s="36">
        <v>54.918232853307302</v>
      </c>
      <c r="BB79" s="52" t="str">
        <f>+IF(BA79&gt;0,FIXED(Fuelbeds_english!BB79*2.54,1,0),BA79)</f>
        <v>3.0</v>
      </c>
      <c r="BC79" s="45">
        <v>-1</v>
      </c>
      <c r="BD79" s="45">
        <v>-1</v>
      </c>
      <c r="BE79" s="45">
        <v>-1</v>
      </c>
      <c r="BF79" s="45">
        <v>-1</v>
      </c>
      <c r="BG79" s="45">
        <v>-1</v>
      </c>
      <c r="BH79" s="45">
        <v>-1</v>
      </c>
      <c r="BI79" s="45">
        <v>100</v>
      </c>
      <c r="BJ79" s="28">
        <v>-1</v>
      </c>
      <c r="BK79" s="36">
        <v>-1</v>
      </c>
      <c r="BL79" s="52">
        <f>+IF(BK79&gt;0,FIXED(Fuelbeds_english!BL79*2.54,1,0),BK79)</f>
        <v>-1</v>
      </c>
      <c r="BM79" s="36">
        <v>-1</v>
      </c>
      <c r="BN79" s="36">
        <v>-1</v>
      </c>
      <c r="BO79" s="52">
        <f>+IF(BN79&gt;0,FIXED(Fuelbeds_english!BO79*2.54,1,0),BN79)</f>
        <v>-1</v>
      </c>
    </row>
    <row r="80" spans="1:68" ht="15" customHeight="1" x14ac:dyDescent="0.25">
      <c r="A80" s="50">
        <v>79</v>
      </c>
      <c r="B80" s="36">
        <v>3022</v>
      </c>
      <c r="C80" s="36">
        <v>3022</v>
      </c>
      <c r="D80" s="22" t="s">
        <v>203</v>
      </c>
      <c r="E80" s="38" t="s">
        <v>428</v>
      </c>
      <c r="F80" s="39">
        <v>26.572199999999999</v>
      </c>
      <c r="G80" s="56">
        <v>26.572199999999999</v>
      </c>
      <c r="H80" s="45">
        <f>+IF(F80&gt;0,INT(Fuelbeds_english!H80*2.471),F80)</f>
        <v>129</v>
      </c>
      <c r="I80" s="36">
        <f>+IF(F80&gt;0,INT(Fuelbeds_english!I80*0.3048),F80)</f>
        <v>16</v>
      </c>
      <c r="J80" s="45">
        <f>+IF(F80&gt;0,INT(Fuelbeds_english!J80*0.3048),F80)</f>
        <v>9</v>
      </c>
      <c r="K80" s="45">
        <f>+IF(F80&gt;0,INT(Fuelbeds_english!K80*2.54),F80)</f>
        <v>31</v>
      </c>
      <c r="L80" s="36">
        <v>28766</v>
      </c>
      <c r="M80" s="36" t="s">
        <v>137</v>
      </c>
      <c r="N80" s="45">
        <v>100</v>
      </c>
      <c r="O80" s="43">
        <v>14.553073453608247</v>
      </c>
      <c r="P80" s="45">
        <f>+IF(O80&gt;0,INT(Fuelbeds_english!P80*2.471),O80)</f>
        <v>88</v>
      </c>
      <c r="Q80" s="36">
        <f>+IF(O80&gt;0,INT(Fuelbeds_english!Q80*0.3048),O80)</f>
        <v>9</v>
      </c>
      <c r="R80" s="45">
        <f>+IF(O80&gt;0,INT(Fuelbeds_english!R80*0.3048),O80)</f>
        <v>3</v>
      </c>
      <c r="S80" s="45">
        <f>+IF(O80&gt;0,INT(Fuelbeds_english!S80*2.54),O80)</f>
        <v>19</v>
      </c>
      <c r="T80" s="36">
        <v>28766</v>
      </c>
      <c r="U80" s="36" t="s">
        <v>137</v>
      </c>
      <c r="V80" s="36">
        <v>100</v>
      </c>
      <c r="W80" s="36">
        <v>1</v>
      </c>
      <c r="X80" s="98">
        <v>3</v>
      </c>
      <c r="Y80" s="29">
        <v>13</v>
      </c>
      <c r="Z80" s="88" t="str">
        <f>+IF(Y80&gt;0,FIXED(Fuelbeds_english!Z80*0.3048,1,0),Y80)</f>
        <v>1.2</v>
      </c>
      <c r="AA80" s="36">
        <v>85</v>
      </c>
      <c r="AB80" s="45">
        <v>28862</v>
      </c>
      <c r="AC80" s="50" t="s">
        <v>376</v>
      </c>
      <c r="AD80" s="50">
        <v>100</v>
      </c>
      <c r="AE80" s="42">
        <v>60</v>
      </c>
      <c r="AF80" s="52" t="str">
        <f>+IF(AE80&gt;0,FIXED(Fuelbeds_english!AF80*0.3048,1,0),AE80)</f>
        <v>0.2</v>
      </c>
      <c r="AG80" s="45">
        <v>0</v>
      </c>
      <c r="AH80" s="52" t="str">
        <f>+IF(AE80&gt;0,FIXED(Fuelbeds_english!AH80*2.242,1,0),AE80)</f>
        <v>0.6</v>
      </c>
      <c r="AI80" s="45">
        <v>42269</v>
      </c>
      <c r="AJ80" s="45" t="s">
        <v>206</v>
      </c>
      <c r="AK80" s="45">
        <v>100</v>
      </c>
      <c r="AL80" s="34">
        <v>11.218922680412371</v>
      </c>
      <c r="AM80" s="52" t="str">
        <f>+IF(AL80&gt;0,FIXED(Fuelbeds_english!AM80*2.54,1,0),AL80)</f>
        <v>1.5</v>
      </c>
      <c r="AN80" s="52" t="str">
        <f>+IF($AM80&gt;0,FIXED(Fuelbeds_english!AN80*2.242,1,0),$AM80)</f>
        <v>1.3</v>
      </c>
      <c r="AO80" s="52" t="str">
        <f>+IF($AM80&gt;0,FIXED(Fuelbeds_english!AO80*2.242,1,0),$AM80)</f>
        <v>1.0</v>
      </c>
      <c r="AP80" s="52" t="str">
        <f>+IF($AM80&gt;0,FIXED(Fuelbeds_english!AP80*2.242,1,0),$AM80)</f>
        <v>1.5</v>
      </c>
      <c r="AQ80" s="52" t="str">
        <f>+IF($AM80&gt;0,FIXED(Fuelbeds_english!AQ80*2.242,1,0),$AM80)</f>
        <v>1.2</v>
      </c>
      <c r="AR80" s="36">
        <v>28766</v>
      </c>
      <c r="AS80" s="45" t="s">
        <v>137</v>
      </c>
      <c r="AT80" s="45">
        <v>100</v>
      </c>
      <c r="AU80" s="44">
        <v>-1</v>
      </c>
      <c r="AV80" s="52">
        <f>+IF(AU80&gt;0,FIXED(Fuelbeds_english!AV80*2.54,1,0),AU80)</f>
        <v>-1</v>
      </c>
      <c r="AW80" s="52">
        <v>-1</v>
      </c>
      <c r="AX80" s="52">
        <v>-1</v>
      </c>
      <c r="AY80" s="52">
        <f>+IF(AX80&gt;0,FIXED(Fuelbeds_english!AY80*2.54,1,0),AX80)</f>
        <v>-1</v>
      </c>
      <c r="AZ80" s="59">
        <v>2</v>
      </c>
      <c r="BA80" s="36">
        <v>90</v>
      </c>
      <c r="BB80" s="52" t="str">
        <f>+IF(BA80&gt;0,FIXED(Fuelbeds_english!BB80*2.54,1,0),BA80)</f>
        <v>2.5</v>
      </c>
      <c r="BC80" s="59">
        <v>-1</v>
      </c>
      <c r="BD80" s="59">
        <v>-1</v>
      </c>
      <c r="BE80" s="59">
        <v>-1</v>
      </c>
      <c r="BF80" s="61">
        <v>27</v>
      </c>
      <c r="BG80" s="59">
        <v>13</v>
      </c>
      <c r="BH80" s="59">
        <v>-1</v>
      </c>
      <c r="BI80" s="59">
        <v>60</v>
      </c>
      <c r="BJ80" s="28">
        <v>1</v>
      </c>
      <c r="BK80" s="67">
        <v>32.6503300330033</v>
      </c>
      <c r="BL80" s="52" t="str">
        <f>+IF(BK80&gt;0,FIXED(Fuelbeds_english!BL80*2.54,1,0),BK80)</f>
        <v>0.5</v>
      </c>
      <c r="BM80" s="59">
        <v>3</v>
      </c>
      <c r="BN80" s="67">
        <v>29.385297029702965</v>
      </c>
      <c r="BO80" s="52" t="str">
        <f>+IF(BN80&gt;0,FIXED(Fuelbeds_english!BO80*2.54,1,0),BN80)</f>
        <v>0.4</v>
      </c>
    </row>
    <row r="81" spans="1:67" s="50" customFormat="1" x14ac:dyDescent="0.25">
      <c r="A81" s="50">
        <v>80</v>
      </c>
      <c r="B81" s="36">
        <v>3032</v>
      </c>
      <c r="C81" s="36">
        <v>3032</v>
      </c>
      <c r="D81" s="22" t="s">
        <v>203</v>
      </c>
      <c r="E81" s="39" t="s">
        <v>462</v>
      </c>
      <c r="F81" s="39">
        <v>20.523299999999999</v>
      </c>
      <c r="G81" s="56">
        <v>20.523299999999999</v>
      </c>
      <c r="H81" s="45">
        <f>+IF(F81&gt;0,INT(Fuelbeds_english!H81*2.471),F81)</f>
        <v>99</v>
      </c>
      <c r="I81" s="36">
        <f>+IF(F81&gt;0,INT(Fuelbeds_english!I81*0.3048),F81)</f>
        <v>15</v>
      </c>
      <c r="J81" s="45">
        <f>+IF(F81&gt;0,INT(Fuelbeds_english!J81*0.3048),F81)</f>
        <v>9</v>
      </c>
      <c r="K81" s="45">
        <f>+IF(F81&gt;0,INT(Fuelbeds_english!K81*2.54),F81)</f>
        <v>30</v>
      </c>
      <c r="L81" s="36">
        <v>28766</v>
      </c>
      <c r="M81" s="36" t="s">
        <v>137</v>
      </c>
      <c r="N81" s="45">
        <v>100</v>
      </c>
      <c r="O81" s="43">
        <v>11.240209407216495</v>
      </c>
      <c r="P81" s="45">
        <f>+IF(O81&gt;0,INT(Fuelbeds_english!P81*2.471),O81)</f>
        <v>68</v>
      </c>
      <c r="Q81" s="36">
        <f>+IF(O81&gt;0,INT(Fuelbeds_english!Q81*0.3048),O81)</f>
        <v>9</v>
      </c>
      <c r="R81" s="45">
        <f>+IF(O81&gt;0,INT(Fuelbeds_english!R81*0.3048),O81)</f>
        <v>3</v>
      </c>
      <c r="S81" s="45">
        <f>+IF(O81&gt;0,INT(Fuelbeds_english!S81*2.54),O81)</f>
        <v>18</v>
      </c>
      <c r="T81" s="36">
        <v>28766</v>
      </c>
      <c r="U81" s="36" t="s">
        <v>137</v>
      </c>
      <c r="V81" s="36">
        <v>100</v>
      </c>
      <c r="W81" s="36">
        <v>1</v>
      </c>
      <c r="X81" s="98">
        <v>3</v>
      </c>
      <c r="Y81" s="29">
        <v>39</v>
      </c>
      <c r="Z81" s="88" t="str">
        <f>+IF(Y81&gt;0,FIXED(Fuelbeds_english!Z81*0.3048,1,0),Y81)</f>
        <v>1.2</v>
      </c>
      <c r="AA81" s="36">
        <v>85</v>
      </c>
      <c r="AB81" s="45">
        <v>28862</v>
      </c>
      <c r="AC81" s="50" t="s">
        <v>376</v>
      </c>
      <c r="AD81" s="50">
        <v>100</v>
      </c>
      <c r="AE81" s="42">
        <v>40</v>
      </c>
      <c r="AF81" s="52" t="str">
        <f>+IF(AE81&gt;0,FIXED(Fuelbeds_english!AF81*0.3048,1,0),AE81)</f>
        <v>0.2</v>
      </c>
      <c r="AG81" s="45">
        <v>0</v>
      </c>
      <c r="AH81" s="52" t="str">
        <f>+IF(AE81&gt;0,FIXED(Fuelbeds_english!AH81*2.242,1,0),AE81)</f>
        <v>0.4</v>
      </c>
      <c r="AI81" s="45">
        <v>42269</v>
      </c>
      <c r="AJ81" s="45" t="s">
        <v>206</v>
      </c>
      <c r="AK81" s="45">
        <v>100</v>
      </c>
      <c r="AL81" s="34">
        <v>16.875162371134021</v>
      </c>
      <c r="AM81" s="52" t="str">
        <f>+IF(AL81&gt;0,FIXED(Fuelbeds_english!AM81*2.54,1,0),AL81)</f>
        <v>2.3</v>
      </c>
      <c r="AN81" s="52" t="str">
        <f>+IF($AM81&gt;0,FIXED(Fuelbeds_english!AN81*2.242,1,0),$AM81)</f>
        <v>2.0</v>
      </c>
      <c r="AO81" s="52" t="str">
        <f>+IF($AM81&gt;0,FIXED(Fuelbeds_english!AO81*2.242,1,0),$AM81)</f>
        <v>1.5</v>
      </c>
      <c r="AP81" s="52" t="str">
        <f>+IF($AM81&gt;0,FIXED(Fuelbeds_english!AP81*2.242,1,0),$AM81)</f>
        <v>2.3</v>
      </c>
      <c r="AQ81" s="52" t="str">
        <f>+IF($AM81&gt;0,FIXED(Fuelbeds_english!AQ81*2.242,1,0),$AM81)</f>
        <v>1.8</v>
      </c>
      <c r="AR81" s="36">
        <v>28766</v>
      </c>
      <c r="AS81" s="45" t="s">
        <v>137</v>
      </c>
      <c r="AT81" s="45">
        <v>100</v>
      </c>
      <c r="AU81" s="44">
        <v>-1</v>
      </c>
      <c r="AV81" s="52">
        <f>+IF(AU81&gt;0,FIXED(Fuelbeds_english!AV81*2.54,1,0),AU81)</f>
        <v>-1</v>
      </c>
      <c r="AW81" s="52">
        <v>-1</v>
      </c>
      <c r="AX81" s="52">
        <v>-1</v>
      </c>
      <c r="AY81" s="52">
        <f>+IF(AX81&gt;0,FIXED(Fuelbeds_english!AY81*2.54,1,0),AX81)</f>
        <v>-1</v>
      </c>
      <c r="AZ81" s="59">
        <v>1</v>
      </c>
      <c r="BA81" s="36">
        <v>90</v>
      </c>
      <c r="BB81" s="52" t="str">
        <f>+IF(BA81&gt;0,FIXED(Fuelbeds_english!BB81*2.54,1,0),BA81)</f>
        <v>2.5</v>
      </c>
      <c r="BC81" s="59">
        <v>-1</v>
      </c>
      <c r="BD81" s="59">
        <v>-1</v>
      </c>
      <c r="BE81" s="59">
        <v>-1</v>
      </c>
      <c r="BF81" s="61">
        <v>21</v>
      </c>
      <c r="BG81" s="59">
        <v>39</v>
      </c>
      <c r="BH81" s="59">
        <v>-1</v>
      </c>
      <c r="BI81" s="59">
        <v>40</v>
      </c>
      <c r="BJ81" s="28">
        <v>1</v>
      </c>
      <c r="BK81" s="67">
        <v>49.111633663366334</v>
      </c>
      <c r="BL81" s="52" t="str">
        <f>+IF(BK81&gt;0,FIXED(Fuelbeds_english!BL81*2.54,1,0),BK81)</f>
        <v>0.5</v>
      </c>
      <c r="BM81" s="59">
        <v>3</v>
      </c>
      <c r="BN81" s="67">
        <v>44.200470297029696</v>
      </c>
      <c r="BO81" s="52" t="str">
        <f>+IF(BN81&gt;0,FIXED(Fuelbeds_english!BO81*2.54,1,0),BN81)</f>
        <v>0.4</v>
      </c>
    </row>
    <row r="82" spans="1:67" s="50" customFormat="1" x14ac:dyDescent="0.25">
      <c r="A82" s="50">
        <v>81</v>
      </c>
      <c r="B82" s="52" t="s">
        <v>229</v>
      </c>
      <c r="C82" s="68">
        <v>913040</v>
      </c>
      <c r="D82" s="22" t="s">
        <v>203</v>
      </c>
      <c r="E82" s="6" t="s">
        <v>17</v>
      </c>
      <c r="F82" s="39">
        <v>25.4</v>
      </c>
      <c r="G82" s="36">
        <v>13.194805194805195</v>
      </c>
      <c r="H82" s="45">
        <f>+IF(F82&gt;0,INT(Fuelbeds_english!H82*2.471),F82)</f>
        <v>15</v>
      </c>
      <c r="I82" s="36">
        <f>+IF(F82&gt;0,INT(Fuelbeds_english!I82*0.3048),F82)</f>
        <v>20</v>
      </c>
      <c r="J82" s="45">
        <f>+IF(F82&gt;0,INT(Fuelbeds_english!J82*0.3048),F82)</f>
        <v>11</v>
      </c>
      <c r="K82" s="45">
        <f>+IF(F82&gt;0,INT(Fuelbeds_english!K82*2.54),F82)</f>
        <v>54</v>
      </c>
      <c r="L82" s="36">
        <v>29027</v>
      </c>
      <c r="M82" s="36" t="s">
        <v>369</v>
      </c>
      <c r="N82" s="36">
        <v>100</v>
      </c>
      <c r="O82" s="36">
        <v>25.4</v>
      </c>
      <c r="P82" s="45">
        <f>+IF(O82&gt;0,INT(Fuelbeds_english!P82*2.471),O82)</f>
        <v>98</v>
      </c>
      <c r="Q82" s="36">
        <f>+IF(O82&gt;0,INT(Fuelbeds_english!Q82*0.3048),O82)</f>
        <v>10</v>
      </c>
      <c r="R82" s="45">
        <f>+IF(O82&gt;0,INT(Fuelbeds_english!R82*0.3048),O82)</f>
        <v>3</v>
      </c>
      <c r="S82" s="45">
        <f>+IF(O82&gt;0,INT(Fuelbeds_english!S82*2.54),O82)</f>
        <v>12</v>
      </c>
      <c r="T82" s="36">
        <v>29027</v>
      </c>
      <c r="U82" s="36" t="s">
        <v>369</v>
      </c>
      <c r="V82" s="36">
        <v>100</v>
      </c>
      <c r="W82" s="36">
        <v>1</v>
      </c>
      <c r="X82" s="98">
        <v>5</v>
      </c>
      <c r="Y82" s="29">
        <v>46.666666666666664</v>
      </c>
      <c r="Z82" s="88" t="str">
        <f>+IF(Y82&gt;0,FIXED(Fuelbeds_english!Z82*0.3048,1,0),Y82)</f>
        <v>1.6</v>
      </c>
      <c r="AA82" s="36">
        <v>85</v>
      </c>
      <c r="AB82" s="45">
        <v>19092</v>
      </c>
      <c r="AC82" s="50" t="s">
        <v>160</v>
      </c>
      <c r="AD82" s="50">
        <v>100</v>
      </c>
      <c r="AE82" s="42">
        <v>50</v>
      </c>
      <c r="AF82" s="52" t="str">
        <f>+IF(AE82&gt;0,FIXED(Fuelbeds_english!AF82*0.3048,1,0),AE82)</f>
        <v>0.3</v>
      </c>
      <c r="AG82" s="36">
        <v>85</v>
      </c>
      <c r="AH82" s="52" t="str">
        <f>+IF(AE82&gt;0,FIXED(Fuelbeds_english!AH82*2.242,1,0),AE82)</f>
        <v>0.1</v>
      </c>
      <c r="AI82" s="45">
        <v>40450</v>
      </c>
      <c r="AJ82" s="45" t="s">
        <v>148</v>
      </c>
      <c r="AK82" s="45">
        <v>100</v>
      </c>
      <c r="AL82" s="34">
        <v>17.191201353637901</v>
      </c>
      <c r="AM82" s="52" t="str">
        <f>+IF(AL82&gt;0,FIXED(Fuelbeds_english!AM82*2.54,1,0),AL82)</f>
        <v>3.6</v>
      </c>
      <c r="AN82" s="52" t="str">
        <f>+IF($AM82&gt;0,FIXED(Fuelbeds_english!AN82*2.242,1,0),$AM82)</f>
        <v>0.2</v>
      </c>
      <c r="AO82" s="52" t="str">
        <f>+IF($AM82&gt;0,FIXED(Fuelbeds_english!AO82*2.242,1,0),$AM82)</f>
        <v>0.7</v>
      </c>
      <c r="AP82" s="52" t="str">
        <f>+IF($AM82&gt;0,FIXED(Fuelbeds_english!AP82*2.242,1,0),$AM82)</f>
        <v>0.9</v>
      </c>
      <c r="AQ82" s="52" t="str">
        <f>+IF($AM82&gt;0,FIXED(Fuelbeds_english!AQ82*2.242,1,0),$AM82)</f>
        <v>2.7</v>
      </c>
      <c r="AR82" s="36">
        <v>29027</v>
      </c>
      <c r="AS82" s="45" t="s">
        <v>369</v>
      </c>
      <c r="AT82" s="45">
        <v>100</v>
      </c>
      <c r="AU82" s="44">
        <v>-1</v>
      </c>
      <c r="AV82" s="52">
        <f>+IF(AU82&gt;0,FIXED(Fuelbeds_english!AV82*2.54,1,0),AU82)</f>
        <v>-1</v>
      </c>
      <c r="AW82" s="52">
        <v>-1</v>
      </c>
      <c r="AX82" s="52">
        <v>-1</v>
      </c>
      <c r="AY82" s="52">
        <f>+IF(AX82&gt;0,FIXED(Fuelbeds_english!AY82*2.54,1,0),AX82)</f>
        <v>-1</v>
      </c>
      <c r="AZ82" s="45">
        <v>1</v>
      </c>
      <c r="BA82" s="36">
        <v>32.987012987012989</v>
      </c>
      <c r="BB82" s="52" t="str">
        <f>+IF(BA82&gt;0,FIXED(Fuelbeds_english!BB82*2.54,1,0),BA82)</f>
        <v>2.8</v>
      </c>
      <c r="BC82" s="45">
        <v>-1</v>
      </c>
      <c r="BD82" s="45">
        <v>-1</v>
      </c>
      <c r="BE82" s="45">
        <v>-1</v>
      </c>
      <c r="BF82" s="45">
        <v>-1</v>
      </c>
      <c r="BG82" s="45">
        <v>100</v>
      </c>
      <c r="BH82" s="45">
        <v>-1</v>
      </c>
      <c r="BI82" s="45">
        <v>-1</v>
      </c>
      <c r="BJ82" s="28">
        <v>1</v>
      </c>
      <c r="BK82" s="36">
        <v>32.987012987012989</v>
      </c>
      <c r="BL82" s="52" t="str">
        <f>+IF(BK82&gt;0,FIXED(Fuelbeds_english!BL82*2.54,1,0),BK82)</f>
        <v>1.8</v>
      </c>
      <c r="BM82" s="45">
        <v>3</v>
      </c>
      <c r="BN82" s="36">
        <v>32.987012987012989</v>
      </c>
      <c r="BO82" s="52" t="str">
        <f>+IF(BN82&gt;0,FIXED(Fuelbeds_english!BO82*2.54,1,0),BN82)</f>
        <v>1.8</v>
      </c>
    </row>
    <row r="83" spans="1:67" s="50" customFormat="1" x14ac:dyDescent="0.25">
      <c r="A83" s="50">
        <v>82</v>
      </c>
      <c r="B83" s="52" t="s">
        <v>230</v>
      </c>
      <c r="C83" s="68">
        <v>923040</v>
      </c>
      <c r="D83" s="22" t="s">
        <v>203</v>
      </c>
      <c r="E83" s="6" t="s">
        <v>17</v>
      </c>
      <c r="F83" s="39">
        <v>54.9</v>
      </c>
      <c r="G83" s="36">
        <v>28.519480519480521</v>
      </c>
      <c r="H83" s="45">
        <f>+IF(F83&gt;0,INT(Fuelbeds_english!H83*2.471),F83)</f>
        <v>33</v>
      </c>
      <c r="I83" s="36">
        <f>+IF(F83&gt;0,INT(Fuelbeds_english!I83*0.3048),F83)</f>
        <v>25</v>
      </c>
      <c r="J83" s="45">
        <f>+IF(F83&gt;0,INT(Fuelbeds_english!J83*0.3048),F83)</f>
        <v>13</v>
      </c>
      <c r="K83" s="45">
        <f>+IF(F83&gt;0,INT(Fuelbeds_english!K83*2.54),F83)</f>
        <v>67</v>
      </c>
      <c r="L83" s="36">
        <v>29027</v>
      </c>
      <c r="M83" s="36" t="s">
        <v>369</v>
      </c>
      <c r="N83" s="36">
        <v>100</v>
      </c>
      <c r="O83" s="36">
        <v>54.9</v>
      </c>
      <c r="P83" s="45">
        <f>+IF(O83&gt;0,INT(Fuelbeds_english!P83*2.471),O83)</f>
        <v>213</v>
      </c>
      <c r="Q83" s="36">
        <f>+IF(O83&gt;0,INT(Fuelbeds_english!Q83*0.3048),O83)</f>
        <v>13</v>
      </c>
      <c r="R83" s="45">
        <f>+IF(O83&gt;0,INT(Fuelbeds_english!R83*0.3048),O83)</f>
        <v>4</v>
      </c>
      <c r="S83" s="45">
        <f>+IF(O83&gt;0,INT(Fuelbeds_english!S83*2.54),O83)</f>
        <v>15</v>
      </c>
      <c r="T83" s="36">
        <v>29027</v>
      </c>
      <c r="U83" s="36" t="s">
        <v>369</v>
      </c>
      <c r="V83" s="36">
        <v>100</v>
      </c>
      <c r="W83" s="36">
        <v>1</v>
      </c>
      <c r="X83" s="98">
        <v>5</v>
      </c>
      <c r="Y83" s="29">
        <v>46.666666666666664</v>
      </c>
      <c r="Z83" s="88" t="str">
        <f>+IF(Y83&gt;0,FIXED(Fuelbeds_english!Z83*0.3048,1,0),Y83)</f>
        <v>1.6</v>
      </c>
      <c r="AA83" s="36">
        <v>85</v>
      </c>
      <c r="AB83" s="45">
        <v>19092</v>
      </c>
      <c r="AC83" s="50" t="s">
        <v>160</v>
      </c>
      <c r="AD83" s="50">
        <v>100</v>
      </c>
      <c r="AE83" s="42">
        <v>50</v>
      </c>
      <c r="AF83" s="52" t="str">
        <f>+IF(AE83&gt;0,FIXED(Fuelbeds_english!AF83*0.3048,1,0),AE83)</f>
        <v>0.3</v>
      </c>
      <c r="AG83" s="36">
        <v>85</v>
      </c>
      <c r="AH83" s="52" t="str">
        <f>+IF(AE83&gt;0,FIXED(Fuelbeds_english!AH83*2.242,1,0),AE83)</f>
        <v>0.1</v>
      </c>
      <c r="AI83" s="45">
        <v>40450</v>
      </c>
      <c r="AJ83" s="45" t="s">
        <v>148</v>
      </c>
      <c r="AK83" s="45">
        <v>100</v>
      </c>
      <c r="AL83" s="34">
        <v>37.157360406091371</v>
      </c>
      <c r="AM83" s="52" t="str">
        <f>+IF(AL83&gt;0,FIXED(Fuelbeds_english!AM83*2.54,1,0),AL83)</f>
        <v>3.6</v>
      </c>
      <c r="AN83" s="52" t="str">
        <f>+IF($AM83&gt;0,FIXED(Fuelbeds_english!AN83*2.242,1,0),$AM83)</f>
        <v>0.4</v>
      </c>
      <c r="AO83" s="52" t="str">
        <f>+IF($AM83&gt;0,FIXED(Fuelbeds_english!AO83*2.242,1,0),$AM83)</f>
        <v>1.6</v>
      </c>
      <c r="AP83" s="52" t="str">
        <f>+IF($AM83&gt;0,FIXED(Fuelbeds_english!AP83*2.242,1,0),$AM83)</f>
        <v>2.0</v>
      </c>
      <c r="AQ83" s="52" t="str">
        <f>+IF($AM83&gt;0,FIXED(Fuelbeds_english!AQ83*2.242,1,0),$AM83)</f>
        <v>5.8</v>
      </c>
      <c r="AR83" s="36">
        <v>29027</v>
      </c>
      <c r="AS83" s="45" t="s">
        <v>369</v>
      </c>
      <c r="AT83" s="45">
        <v>100</v>
      </c>
      <c r="AU83" s="44">
        <v>-1</v>
      </c>
      <c r="AV83" s="52">
        <f>+IF(AU83&gt;0,FIXED(Fuelbeds_english!AV83*2.54,1,0),AU83)</f>
        <v>-1</v>
      </c>
      <c r="AW83" s="52">
        <v>-1</v>
      </c>
      <c r="AX83" s="52">
        <v>-1</v>
      </c>
      <c r="AY83" s="52">
        <f>+IF(AX83&gt;0,FIXED(Fuelbeds_english!AY83*2.54,1,0),AX83)</f>
        <v>-1</v>
      </c>
      <c r="AZ83" s="45">
        <v>1</v>
      </c>
      <c r="BA83" s="36">
        <v>71.298701298701303</v>
      </c>
      <c r="BB83" s="52" t="str">
        <f>+IF(BA83&gt;0,FIXED(Fuelbeds_english!BB83*2.54,1,0),BA83)</f>
        <v>2.8</v>
      </c>
      <c r="BC83" s="45">
        <v>-1</v>
      </c>
      <c r="BD83" s="45">
        <v>-1</v>
      </c>
      <c r="BE83" s="45">
        <v>-1</v>
      </c>
      <c r="BF83" s="45">
        <v>-1</v>
      </c>
      <c r="BG83" s="45">
        <v>100</v>
      </c>
      <c r="BH83" s="45">
        <v>-1</v>
      </c>
      <c r="BI83" s="45">
        <v>-1</v>
      </c>
      <c r="BJ83" s="28">
        <v>1</v>
      </c>
      <c r="BK83" s="36">
        <v>71.298701298701303</v>
      </c>
      <c r="BL83" s="52" t="str">
        <f>+IF(BK83&gt;0,FIXED(Fuelbeds_english!BL83*2.54,1,0),BK83)</f>
        <v>1.8</v>
      </c>
      <c r="BM83" s="45">
        <v>3</v>
      </c>
      <c r="BN83" s="36">
        <v>71.298701298701303</v>
      </c>
      <c r="BO83" s="52" t="str">
        <f>+IF(BN83&gt;0,FIXED(Fuelbeds_english!BO83*2.54,1,0),BN83)</f>
        <v>1.8</v>
      </c>
    </row>
    <row r="84" spans="1:67" s="50" customFormat="1" x14ac:dyDescent="0.25">
      <c r="A84" s="50">
        <v>83</v>
      </c>
      <c r="B84" s="52" t="s">
        <v>231</v>
      </c>
      <c r="C84" s="68">
        <v>933040</v>
      </c>
      <c r="D84" s="22" t="s">
        <v>203</v>
      </c>
      <c r="E84" s="6" t="s">
        <v>17</v>
      </c>
      <c r="F84" s="39">
        <v>77</v>
      </c>
      <c r="G84" s="36">
        <v>40</v>
      </c>
      <c r="H84" s="45">
        <f>+IF(F84&gt;0,INT(Fuelbeds_english!H84*2.471),F84)</f>
        <v>46</v>
      </c>
      <c r="I84" s="36">
        <f>+IF(F84&gt;0,INT(Fuelbeds_english!I84*0.3048),F84)</f>
        <v>30</v>
      </c>
      <c r="J84" s="45">
        <f>+IF(F84&gt;0,INT(Fuelbeds_english!J84*0.3048),F84)</f>
        <v>15</v>
      </c>
      <c r="K84" s="45">
        <f>+IF(F84&gt;0,INT(Fuelbeds_english!K84*2.54),F84)</f>
        <v>78</v>
      </c>
      <c r="L84" s="36">
        <v>29027</v>
      </c>
      <c r="M84" s="36" t="s">
        <v>369</v>
      </c>
      <c r="N84" s="36">
        <v>100</v>
      </c>
      <c r="O84" s="36">
        <v>77</v>
      </c>
      <c r="P84" s="45">
        <f>+IF(O84&gt;0,INT(Fuelbeds_english!P84*2.471),O84)</f>
        <v>300</v>
      </c>
      <c r="Q84" s="36">
        <f>+IF(O84&gt;0,INT(Fuelbeds_english!Q84*0.3048),O84)</f>
        <v>15</v>
      </c>
      <c r="R84" s="45">
        <f>+IF(O84&gt;0,INT(Fuelbeds_english!R84*0.3048),O84)</f>
        <v>5</v>
      </c>
      <c r="S84" s="45">
        <f>+IF(O84&gt;0,INT(Fuelbeds_english!S84*2.54),O84)</f>
        <v>18</v>
      </c>
      <c r="T84" s="36">
        <v>29027</v>
      </c>
      <c r="U84" s="36" t="s">
        <v>369</v>
      </c>
      <c r="V84" s="36">
        <v>100</v>
      </c>
      <c r="W84" s="36">
        <v>1</v>
      </c>
      <c r="X84" s="98">
        <v>5</v>
      </c>
      <c r="Y84" s="29">
        <v>46.666666666666664</v>
      </c>
      <c r="Z84" s="88" t="str">
        <f>+IF(Y84&gt;0,FIXED(Fuelbeds_english!Z84*0.3048,1,0),Y84)</f>
        <v>1.6</v>
      </c>
      <c r="AA84" s="36">
        <v>85</v>
      </c>
      <c r="AB84" s="45">
        <v>19092</v>
      </c>
      <c r="AC84" s="50" t="s">
        <v>160</v>
      </c>
      <c r="AD84" s="50">
        <v>100</v>
      </c>
      <c r="AE84" s="42">
        <v>50</v>
      </c>
      <c r="AF84" s="52" t="str">
        <f>+IF(AE84&gt;0,FIXED(Fuelbeds_english!AF84*0.3048,1,0),AE84)</f>
        <v>0.3</v>
      </c>
      <c r="AG84" s="36">
        <v>85</v>
      </c>
      <c r="AH84" s="52" t="str">
        <f>+IF(AE84&gt;0,FIXED(Fuelbeds_english!AH84*2.242,1,0),AE84)</f>
        <v>0.1</v>
      </c>
      <c r="AI84" s="45">
        <v>40450</v>
      </c>
      <c r="AJ84" s="45" t="s">
        <v>148</v>
      </c>
      <c r="AK84" s="45">
        <v>100</v>
      </c>
      <c r="AL84" s="34">
        <v>52.115059221658207</v>
      </c>
      <c r="AM84" s="52" t="str">
        <f>+IF(AL84&gt;0,FIXED(Fuelbeds_english!AM84*2.54,1,0),AL84)</f>
        <v>3.6</v>
      </c>
      <c r="AN84" s="52" t="str">
        <f>+IF($AM84&gt;0,FIXED(Fuelbeds_english!AN84*2.242,1,0),$AM84)</f>
        <v>0.6</v>
      </c>
      <c r="AO84" s="52" t="str">
        <f>+IF($AM84&gt;0,FIXED(Fuelbeds_english!AO84*2.242,1,0),$AM84)</f>
        <v>2.3</v>
      </c>
      <c r="AP84" s="52" t="str">
        <f>+IF($AM84&gt;0,FIXED(Fuelbeds_english!AP84*2.242,1,0),$AM84)</f>
        <v>2.8</v>
      </c>
      <c r="AQ84" s="52" t="str">
        <f>+IF($AM84&gt;0,FIXED(Fuelbeds_english!AQ84*2.242,1,0),$AM84)</f>
        <v>8.2</v>
      </c>
      <c r="AR84" s="36">
        <v>29027</v>
      </c>
      <c r="AS84" s="45" t="s">
        <v>369</v>
      </c>
      <c r="AT84" s="45">
        <v>100</v>
      </c>
      <c r="AU84" s="44">
        <v>-1</v>
      </c>
      <c r="AV84" s="52">
        <f>+IF(AU84&gt;0,FIXED(Fuelbeds_english!AV84*2.54,1,0),AU84)</f>
        <v>-1</v>
      </c>
      <c r="AW84" s="52">
        <v>-1</v>
      </c>
      <c r="AX84" s="52">
        <v>-1</v>
      </c>
      <c r="AY84" s="52">
        <f>+IF(AX84&gt;0,FIXED(Fuelbeds_english!AY84*2.54,1,0),AX84)</f>
        <v>-1</v>
      </c>
      <c r="AZ84" s="45">
        <v>1</v>
      </c>
      <c r="BA84" s="36">
        <v>100</v>
      </c>
      <c r="BB84" s="52" t="str">
        <f>+IF(BA84&gt;0,FIXED(Fuelbeds_english!BB84*2.54,1,0),BA84)</f>
        <v>2.8</v>
      </c>
      <c r="BC84" s="45">
        <v>-1</v>
      </c>
      <c r="BD84" s="45">
        <v>-1</v>
      </c>
      <c r="BE84" s="45">
        <v>-1</v>
      </c>
      <c r="BF84" s="45">
        <v>-1</v>
      </c>
      <c r="BG84" s="45">
        <v>100</v>
      </c>
      <c r="BH84" s="45">
        <v>-1</v>
      </c>
      <c r="BI84" s="45">
        <v>-1</v>
      </c>
      <c r="BJ84" s="28">
        <v>1</v>
      </c>
      <c r="BK84" s="36">
        <v>100</v>
      </c>
      <c r="BL84" s="52" t="str">
        <f>+IF(BK84&gt;0,FIXED(Fuelbeds_english!BL84*2.54,1,0),BK84)</f>
        <v>1.8</v>
      </c>
      <c r="BM84" s="45">
        <v>3</v>
      </c>
      <c r="BN84" s="36">
        <v>100</v>
      </c>
      <c r="BO84" s="52" t="str">
        <f>+IF(BN84&gt;0,FIXED(Fuelbeds_english!BO84*2.54,1,0),BN84)</f>
        <v>1.8</v>
      </c>
    </row>
    <row r="85" spans="1:67" s="50" customFormat="1" x14ac:dyDescent="0.25">
      <c r="A85" s="50">
        <v>84</v>
      </c>
      <c r="B85" s="52" t="s">
        <v>232</v>
      </c>
      <c r="C85" s="68">
        <v>913061</v>
      </c>
      <c r="D85" s="22" t="s">
        <v>203</v>
      </c>
      <c r="E85" s="11" t="s">
        <v>16</v>
      </c>
      <c r="F85" s="39">
        <v>23.3</v>
      </c>
      <c r="G85" s="36">
        <v>23.3</v>
      </c>
      <c r="H85" s="45">
        <f>+IF(F85&gt;0,INT(Fuelbeds_english!H85*2.471),F85)</f>
        <v>39</v>
      </c>
      <c r="I85" s="36">
        <f>+IF(F85&gt;0,INT(Fuelbeds_english!I85*0.3048),F85)</f>
        <v>20</v>
      </c>
      <c r="J85" s="45">
        <f>+IF(F85&gt;0,INT(Fuelbeds_english!J85*0.3048),F85)</f>
        <v>14</v>
      </c>
      <c r="K85" s="45">
        <f>+IF(F85&gt;0,INT(Fuelbeds_english!K85*2.54),F85)</f>
        <v>31</v>
      </c>
      <c r="L85" s="36">
        <v>28766</v>
      </c>
      <c r="M85" s="36" t="s">
        <v>137</v>
      </c>
      <c r="N85" s="36">
        <v>100</v>
      </c>
      <c r="O85" s="36">
        <v>13.98</v>
      </c>
      <c r="P85" s="45">
        <f>+IF(O85&gt;0,INT(Fuelbeds_english!P85*2.471),O85)</f>
        <v>77</v>
      </c>
      <c r="Q85" s="36">
        <f>+IF(O85&gt;0,INT(Fuelbeds_english!Q85*0.3048),O85)</f>
        <v>11</v>
      </c>
      <c r="R85" s="45">
        <f>+IF(O85&gt;0,INT(Fuelbeds_english!R85*0.3048),O85)</f>
        <v>5</v>
      </c>
      <c r="S85" s="45">
        <f>+IF(O85&gt;0,INT(Fuelbeds_english!S85*2.54),O85)</f>
        <v>17</v>
      </c>
      <c r="T85" s="36">
        <v>28766</v>
      </c>
      <c r="U85" s="36" t="s">
        <v>137</v>
      </c>
      <c r="V85" s="36">
        <v>100</v>
      </c>
      <c r="W85" s="36">
        <v>1</v>
      </c>
      <c r="X85" s="98">
        <v>3</v>
      </c>
      <c r="Y85" s="29">
        <v>47.61</v>
      </c>
      <c r="Z85" s="88" t="str">
        <f>+IF(Y85&gt;0,FIXED(Fuelbeds_english!Z85*0.3048,1,0),Y85)</f>
        <v>2.1</v>
      </c>
      <c r="AA85" s="46">
        <v>85</v>
      </c>
      <c r="AB85" s="46">
        <v>28862</v>
      </c>
      <c r="AC85" s="46" t="s">
        <v>376</v>
      </c>
      <c r="AD85" s="46">
        <v>100</v>
      </c>
      <c r="AE85" s="42">
        <v>16</v>
      </c>
      <c r="AF85" s="52" t="str">
        <f>+IF(AE85&gt;0,FIXED(Fuelbeds_english!AF85*0.3048,1,0),AE85)</f>
        <v>0.3</v>
      </c>
      <c r="AG85" s="36">
        <v>85</v>
      </c>
      <c r="AH85" s="52" t="str">
        <f>+IF(AE85&gt;0,FIXED(Fuelbeds_english!AH85*2.242,1,0),AE85)</f>
        <v>0.2</v>
      </c>
      <c r="AI85" s="36">
        <v>40450</v>
      </c>
      <c r="AJ85" s="36" t="s">
        <v>148</v>
      </c>
      <c r="AK85" s="36">
        <v>100</v>
      </c>
      <c r="AL85" s="34">
        <v>5.9914285714285711</v>
      </c>
      <c r="AM85" s="52" t="str">
        <f>+IF(AL85&gt;0,FIXED(Fuelbeds_english!AM85*2.54,1,0),AL85)</f>
        <v>1.9</v>
      </c>
      <c r="AN85" s="52" t="str">
        <f>+IF($AM85&gt;0,FIXED(Fuelbeds_english!AN85*2.242,1,0),$AM85)</f>
        <v>0.2</v>
      </c>
      <c r="AO85" s="52" t="str">
        <f>+IF($AM85&gt;0,FIXED(Fuelbeds_english!AO85*2.242,1,0),$AM85)</f>
        <v>0.2</v>
      </c>
      <c r="AP85" s="52" t="str">
        <f>+IF($AM85&gt;0,FIXED(Fuelbeds_english!AP85*2.242,1,0),$AM85)</f>
        <v>0.6</v>
      </c>
      <c r="AQ85" s="52" t="str">
        <f>+IF($AM85&gt;0,FIXED(Fuelbeds_english!AQ85*2.242,1,0),$AM85)</f>
        <v>0.9</v>
      </c>
      <c r="AR85" s="36">
        <v>28766</v>
      </c>
      <c r="AS85" s="36" t="s">
        <v>137</v>
      </c>
      <c r="AT85" s="36">
        <v>100</v>
      </c>
      <c r="AU85" s="44">
        <v>-1</v>
      </c>
      <c r="AV85" s="52">
        <f>+IF(AU85&gt;0,FIXED(Fuelbeds_english!AV85*2.54,1,0),AU85)</f>
        <v>-1</v>
      </c>
      <c r="AW85" s="52">
        <v>-1</v>
      </c>
      <c r="AX85" s="52">
        <v>-1</v>
      </c>
      <c r="AY85" s="52">
        <f>+IF(AX85&gt;0,FIXED(Fuelbeds_english!AY85*2.54,1,0),AX85)</f>
        <v>-1</v>
      </c>
      <c r="AZ85" s="45">
        <v>1</v>
      </c>
      <c r="BA85" s="36">
        <v>23.3</v>
      </c>
      <c r="BB85" s="52" t="str">
        <f>+IF(BA85&gt;0,FIXED(Fuelbeds_english!BB85*2.54,1,0),BA85)</f>
        <v>2.5</v>
      </c>
      <c r="BC85" s="45">
        <v>-1</v>
      </c>
      <c r="BD85" s="45">
        <v>-1</v>
      </c>
      <c r="BE85" s="45">
        <v>-1</v>
      </c>
      <c r="BF85" s="45">
        <v>100</v>
      </c>
      <c r="BG85" s="45">
        <v>-1</v>
      </c>
      <c r="BH85" s="45">
        <v>-1</v>
      </c>
      <c r="BI85" s="45">
        <v>-1</v>
      </c>
      <c r="BJ85" s="28">
        <v>1</v>
      </c>
      <c r="BK85" s="36">
        <v>21.302857142857142</v>
      </c>
      <c r="BL85" s="52" t="str">
        <f>+IF(BK85&gt;0,FIXED(Fuelbeds_english!BL85*2.54,1,0),BK85)</f>
        <v>3.2</v>
      </c>
      <c r="BM85" s="45">
        <v>3</v>
      </c>
      <c r="BN85" s="36">
        <v>21.302857142857142</v>
      </c>
      <c r="BO85" s="52" t="str">
        <f>+IF(BN85&gt;0,FIXED(Fuelbeds_english!BO85*2.54,1,0),BN85)</f>
        <v>3.2</v>
      </c>
    </row>
    <row r="86" spans="1:67" s="50" customFormat="1" x14ac:dyDescent="0.25">
      <c r="A86" s="50">
        <v>85</v>
      </c>
      <c r="B86" s="52" t="s">
        <v>233</v>
      </c>
      <c r="C86" s="68">
        <v>923061</v>
      </c>
      <c r="D86" s="22" t="s">
        <v>203</v>
      </c>
      <c r="E86" s="11" t="s">
        <v>16</v>
      </c>
      <c r="F86" s="39">
        <v>54.5</v>
      </c>
      <c r="G86" s="36">
        <v>54.5</v>
      </c>
      <c r="H86" s="45">
        <f>+IF(F86&gt;0,INT(Fuelbeds_english!H86*2.471),F86)</f>
        <v>92</v>
      </c>
      <c r="I86" s="36">
        <f>+IF(F86&gt;0,INT(Fuelbeds_english!I86*0.3048),F86)</f>
        <v>22</v>
      </c>
      <c r="J86" s="45">
        <f>+IF(F86&gt;0,INT(Fuelbeds_english!J86*0.3048),F86)</f>
        <v>16</v>
      </c>
      <c r="K86" s="45">
        <f>+IF(F86&gt;0,INT(Fuelbeds_english!K86*2.54),F86)</f>
        <v>35</v>
      </c>
      <c r="L86" s="36">
        <v>28766</v>
      </c>
      <c r="M86" s="36" t="s">
        <v>137</v>
      </c>
      <c r="N86" s="36">
        <v>100</v>
      </c>
      <c r="O86" s="36">
        <v>32.700000000000003</v>
      </c>
      <c r="P86" s="45">
        <f>+IF(O86&gt;0,INT(Fuelbeds_english!P86*2.471),O86)</f>
        <v>180</v>
      </c>
      <c r="Q86" s="36">
        <f>+IF(O86&gt;0,INT(Fuelbeds_english!Q86*0.3048),O86)</f>
        <v>13</v>
      </c>
      <c r="R86" s="45">
        <f>+IF(O86&gt;0,INT(Fuelbeds_english!R86*0.3048),O86)</f>
        <v>6</v>
      </c>
      <c r="S86" s="45">
        <f>+IF(O86&gt;0,INT(Fuelbeds_english!S86*2.54),O86)</f>
        <v>20</v>
      </c>
      <c r="T86" s="36">
        <v>28766</v>
      </c>
      <c r="U86" s="36" t="s">
        <v>137</v>
      </c>
      <c r="V86" s="36">
        <v>100</v>
      </c>
      <c r="W86" s="36">
        <v>1</v>
      </c>
      <c r="X86" s="98">
        <v>3</v>
      </c>
      <c r="Y86" s="29">
        <v>34.125</v>
      </c>
      <c r="Z86" s="88" t="str">
        <f>+IF(Y86&gt;0,FIXED(Fuelbeds_english!Z86*0.3048,1,0),Y86)</f>
        <v>2.1</v>
      </c>
      <c r="AA86" s="46">
        <v>85</v>
      </c>
      <c r="AB86" s="46">
        <v>28862</v>
      </c>
      <c r="AC86" s="46" t="s">
        <v>376</v>
      </c>
      <c r="AD86" s="46">
        <v>100</v>
      </c>
      <c r="AE86" s="42">
        <v>11</v>
      </c>
      <c r="AF86" s="52" t="str">
        <f>+IF(AE86&gt;0,FIXED(Fuelbeds_english!AF86*0.3048,1,0),AE86)</f>
        <v>0.3</v>
      </c>
      <c r="AG86" s="36">
        <v>85</v>
      </c>
      <c r="AH86" s="52" t="str">
        <f>+IF(AE86&gt;0,FIXED(Fuelbeds_english!AH86*2.242,1,0),AE86)</f>
        <v>0.1</v>
      </c>
      <c r="AI86" s="36">
        <v>40450</v>
      </c>
      <c r="AJ86" s="36" t="s">
        <v>148</v>
      </c>
      <c r="AK86" s="36">
        <v>100</v>
      </c>
      <c r="AL86" s="34">
        <v>14.014285714285714</v>
      </c>
      <c r="AM86" s="52" t="str">
        <f>+IF(AL86&gt;0,FIXED(Fuelbeds_english!AM86*2.54,1,0),AL86)</f>
        <v>1.9</v>
      </c>
      <c r="AN86" s="52" t="str">
        <f>+IF($AM86&gt;0,FIXED(Fuelbeds_english!AN86*2.242,1,0),$AM86)</f>
        <v>0.4</v>
      </c>
      <c r="AO86" s="52" t="str">
        <f>+IF($AM86&gt;0,FIXED(Fuelbeds_english!AO86*2.242,1,0),$AM86)</f>
        <v>0.5</v>
      </c>
      <c r="AP86" s="52" t="str">
        <f>+IF($AM86&gt;0,FIXED(Fuelbeds_english!AP86*2.242,1,0),$AM86)</f>
        <v>1.4</v>
      </c>
      <c r="AQ86" s="52" t="str">
        <f>+IF($AM86&gt;0,FIXED(Fuelbeds_english!AQ86*2.242,1,0),$AM86)</f>
        <v>2.1</v>
      </c>
      <c r="AR86" s="36">
        <v>28766</v>
      </c>
      <c r="AS86" s="36" t="s">
        <v>137</v>
      </c>
      <c r="AT86" s="36">
        <v>100</v>
      </c>
      <c r="AU86" s="44">
        <v>-1</v>
      </c>
      <c r="AV86" s="52">
        <f>+IF(AU86&gt;0,FIXED(Fuelbeds_english!AV86*2.54,1,0),AU86)</f>
        <v>-1</v>
      </c>
      <c r="AW86" s="52">
        <v>-1</v>
      </c>
      <c r="AX86" s="52">
        <v>-1</v>
      </c>
      <c r="AY86" s="52">
        <f>+IF(AX86&gt;0,FIXED(Fuelbeds_english!AY86*2.54,1,0),AX86)</f>
        <v>-1</v>
      </c>
      <c r="AZ86" s="45">
        <v>1</v>
      </c>
      <c r="BA86" s="36">
        <v>54.5</v>
      </c>
      <c r="BB86" s="52" t="str">
        <f>+IF(BA86&gt;0,FIXED(Fuelbeds_english!BB86*2.54,1,0),BA86)</f>
        <v>2.5</v>
      </c>
      <c r="BC86" s="45">
        <v>-1</v>
      </c>
      <c r="BD86" s="45">
        <v>-1</v>
      </c>
      <c r="BE86" s="45">
        <v>-1</v>
      </c>
      <c r="BF86" s="45">
        <v>100</v>
      </c>
      <c r="BG86" s="45">
        <v>-1</v>
      </c>
      <c r="BH86" s="45">
        <v>-1</v>
      </c>
      <c r="BI86" s="45">
        <v>-1</v>
      </c>
      <c r="BJ86" s="28">
        <v>1</v>
      </c>
      <c r="BK86" s="36">
        <v>49.828571428571429</v>
      </c>
      <c r="BL86" s="52" t="str">
        <f>+IF(BK86&gt;0,FIXED(Fuelbeds_english!BL86*2.54,1,0),BK86)</f>
        <v>3.2</v>
      </c>
      <c r="BM86" s="45">
        <v>3</v>
      </c>
      <c r="BN86" s="36">
        <v>49.828571428571429</v>
      </c>
      <c r="BO86" s="52" t="str">
        <f>+IF(BN86&gt;0,FIXED(Fuelbeds_english!BO86*2.54,1,0),BN86)</f>
        <v>3.2</v>
      </c>
    </row>
    <row r="87" spans="1:67" s="50" customFormat="1" x14ac:dyDescent="0.25">
      <c r="A87" s="50">
        <v>86</v>
      </c>
      <c r="B87" s="52" t="s">
        <v>234</v>
      </c>
      <c r="C87" s="68">
        <v>913091</v>
      </c>
      <c r="D87" s="22" t="s">
        <v>203</v>
      </c>
      <c r="E87" s="24" t="s">
        <v>353</v>
      </c>
      <c r="F87" s="39">
        <v>26.5</v>
      </c>
      <c r="G87" s="36">
        <v>16.711711711711711</v>
      </c>
      <c r="H87" s="45">
        <f>+IF(F87&gt;0,INT(Fuelbeds_english!H87*2.471),F87)</f>
        <v>59</v>
      </c>
      <c r="I87" s="36">
        <f>+IF(F87&gt;0,INT(Fuelbeds_english!I87*0.3048),F87)</f>
        <v>23</v>
      </c>
      <c r="J87" s="45">
        <f>+IF(F87&gt;0,INT(Fuelbeds_english!J87*0.3048),F87)</f>
        <v>16</v>
      </c>
      <c r="K87" s="45">
        <f>+IF(F87&gt;0,INT(Fuelbeds_english!K87*2.54),F87)</f>
        <v>35</v>
      </c>
      <c r="L87" s="36">
        <v>18035</v>
      </c>
      <c r="M87" s="36" t="s">
        <v>370</v>
      </c>
      <c r="N87" s="36">
        <v>100</v>
      </c>
      <c r="O87" s="36">
        <v>26.5</v>
      </c>
      <c r="P87" s="45">
        <f>+IF(O87&gt;0,INT(Fuelbeds_english!P87*2.471),O87)</f>
        <v>120</v>
      </c>
      <c r="Q87" s="36">
        <f>+IF(O87&gt;0,INT(Fuelbeds_english!Q87*0.3048),O87)</f>
        <v>15</v>
      </c>
      <c r="R87" s="45">
        <f>+IF(O87&gt;0,INT(Fuelbeds_english!R87*0.3048),O87)</f>
        <v>7</v>
      </c>
      <c r="S87" s="45">
        <f>+IF(O87&gt;0,INT(Fuelbeds_english!S87*2.54),O87)</f>
        <v>17</v>
      </c>
      <c r="T87" s="36">
        <v>18035</v>
      </c>
      <c r="U87" s="36" t="s">
        <v>370</v>
      </c>
      <c r="V87" s="36">
        <v>100</v>
      </c>
      <c r="W87" s="36">
        <v>-1</v>
      </c>
      <c r="X87" s="98">
        <v>-1</v>
      </c>
      <c r="Y87" s="29">
        <v>7.8</v>
      </c>
      <c r="Z87" s="88" t="str">
        <f>+IF(Y87&gt;0,FIXED(Fuelbeds_english!Z87*0.3048,1,0),Y87)</f>
        <v>0.8</v>
      </c>
      <c r="AA87" s="46">
        <v>85</v>
      </c>
      <c r="AB87" s="50">
        <v>18148</v>
      </c>
      <c r="AC87" s="50" t="s">
        <v>371</v>
      </c>
      <c r="AD87" s="50">
        <v>100</v>
      </c>
      <c r="AE87" s="42">
        <v>52</v>
      </c>
      <c r="AF87" s="52" t="str">
        <f>+IF(AE87&gt;0,FIXED(Fuelbeds_english!AF87*0.3048,1,0),AE87)</f>
        <v>0.3</v>
      </c>
      <c r="AG87" s="36">
        <v>70</v>
      </c>
      <c r="AH87" s="52" t="str">
        <f>+IF(AE87&gt;0,FIXED(Fuelbeds_english!AH87*2.242,1,0),AE87)</f>
        <v>1.2</v>
      </c>
      <c r="AI87" s="45">
        <v>40792</v>
      </c>
      <c r="AJ87" s="45" t="s">
        <v>365</v>
      </c>
      <c r="AK87" s="45">
        <v>100</v>
      </c>
      <c r="AL87" s="34">
        <v>18</v>
      </c>
      <c r="AM87" s="52" t="str">
        <f>+IF(AL87&gt;0,FIXED(Fuelbeds_english!AM87*2.54,1,0),AL87)</f>
        <v>7.4</v>
      </c>
      <c r="AN87" s="52" t="str">
        <f>+IF($AM87&gt;0,FIXED(Fuelbeds_english!AN87*2.242,1,0),$AM87)</f>
        <v>0.1</v>
      </c>
      <c r="AO87" s="52" t="str">
        <f>+IF($AM87&gt;0,FIXED(Fuelbeds_english!AO87*2.242,1,0),$AM87)</f>
        <v>0.9</v>
      </c>
      <c r="AP87" s="52" t="str">
        <f>+IF($AM87&gt;0,FIXED(Fuelbeds_english!AP87*2.242,1,0),$AM87)</f>
        <v>1.3</v>
      </c>
      <c r="AQ87" s="52" t="str">
        <f>+IF($AM87&gt;0,FIXED(Fuelbeds_english!AQ87*2.242,1,0),$AM87)</f>
        <v>3.0</v>
      </c>
      <c r="AR87" s="36">
        <v>18035</v>
      </c>
      <c r="AS87" s="45" t="s">
        <v>370</v>
      </c>
      <c r="AT87" s="45">
        <v>100</v>
      </c>
      <c r="AU87" s="44">
        <v>-1</v>
      </c>
      <c r="AV87" s="52">
        <f>+IF(AU87&gt;0,FIXED(Fuelbeds_english!AV87*2.54,1,0),AU87)</f>
        <v>-1</v>
      </c>
      <c r="AW87" s="52">
        <v>-1</v>
      </c>
      <c r="AX87" s="52">
        <v>-1</v>
      </c>
      <c r="AY87" s="52">
        <f>+IF(AX87&gt;0,FIXED(Fuelbeds_english!AY87*2.54,1,0),AX87)</f>
        <v>-1</v>
      </c>
      <c r="AZ87" s="45">
        <v>1</v>
      </c>
      <c r="BA87" s="36">
        <v>32.6</v>
      </c>
      <c r="BB87" s="52" t="str">
        <f>+IF(BA87&gt;0,FIXED(Fuelbeds_english!BB87*2.54,1,0),BA87)</f>
        <v>5.6</v>
      </c>
      <c r="BC87" s="45">
        <v>100</v>
      </c>
      <c r="BD87" s="45">
        <v>-1</v>
      </c>
      <c r="BE87" s="45">
        <v>-1</v>
      </c>
      <c r="BF87" s="45">
        <v>-1</v>
      </c>
      <c r="BG87" s="45">
        <v>-1</v>
      </c>
      <c r="BH87" s="45">
        <v>-1</v>
      </c>
      <c r="BI87" s="45">
        <v>-1</v>
      </c>
      <c r="BJ87" s="28">
        <v>1</v>
      </c>
      <c r="BK87" s="36">
        <v>32.6</v>
      </c>
      <c r="BL87" s="52" t="str">
        <f>+IF(BK87&gt;0,FIXED(Fuelbeds_english!BL87*2.54,1,0),BK87)</f>
        <v>2.5</v>
      </c>
      <c r="BM87" s="45">
        <v>3</v>
      </c>
      <c r="BN87" s="36">
        <v>32.6</v>
      </c>
      <c r="BO87" s="52" t="str">
        <f>+IF(BN87&gt;0,FIXED(Fuelbeds_english!BO87*2.54,1,0),BN87)</f>
        <v>2.5</v>
      </c>
    </row>
    <row r="88" spans="1:67" s="50" customFormat="1" x14ac:dyDescent="0.25">
      <c r="A88" s="50">
        <v>87</v>
      </c>
      <c r="B88" s="52" t="s">
        <v>235</v>
      </c>
      <c r="C88" s="68">
        <v>923091</v>
      </c>
      <c r="D88" s="22" t="s">
        <v>203</v>
      </c>
      <c r="E88" s="24" t="s">
        <v>353</v>
      </c>
      <c r="F88" s="39">
        <v>52.7</v>
      </c>
      <c r="G88" s="36">
        <v>33.234234234234229</v>
      </c>
      <c r="H88" s="45">
        <f>+IF(F88&gt;0,INT(Fuelbeds_english!H88*2.471),F88)</f>
        <v>117</v>
      </c>
      <c r="I88" s="36">
        <f>+IF(F88&gt;0,INT(Fuelbeds_english!I88*0.3048),F88)</f>
        <v>28</v>
      </c>
      <c r="J88" s="45">
        <f>+IF(F88&gt;0,INT(Fuelbeds_english!J88*0.3048),F88)</f>
        <v>19</v>
      </c>
      <c r="K88" s="45">
        <f>+IF(F88&gt;0,INT(Fuelbeds_english!K88*2.54),F88)</f>
        <v>42</v>
      </c>
      <c r="L88" s="36">
        <v>18035</v>
      </c>
      <c r="M88" s="36" t="s">
        <v>370</v>
      </c>
      <c r="N88" s="36">
        <v>100</v>
      </c>
      <c r="O88" s="36">
        <v>52.7</v>
      </c>
      <c r="P88" s="45">
        <f>+IF(O88&gt;0,INT(Fuelbeds_english!P88*2.471),O88)</f>
        <v>240</v>
      </c>
      <c r="Q88" s="36">
        <f>+IF(O88&gt;0,INT(Fuelbeds_english!Q88*0.3048),O88)</f>
        <v>18</v>
      </c>
      <c r="R88" s="45">
        <f>+IF(O88&gt;0,INT(Fuelbeds_english!R88*0.3048),O88)</f>
        <v>9</v>
      </c>
      <c r="S88" s="45">
        <f>+IF(O88&gt;0,INT(Fuelbeds_english!S88*2.54),O88)</f>
        <v>21</v>
      </c>
      <c r="T88" s="36">
        <v>18035</v>
      </c>
      <c r="U88" s="36" t="s">
        <v>370</v>
      </c>
      <c r="V88" s="36">
        <v>100</v>
      </c>
      <c r="W88" s="36">
        <v>-1</v>
      </c>
      <c r="X88" s="98">
        <v>-1</v>
      </c>
      <c r="Y88" s="29">
        <v>7.8</v>
      </c>
      <c r="Z88" s="88" t="str">
        <f>+IF(Y88&gt;0,FIXED(Fuelbeds_english!Z88*0.3048,1,0),Y88)</f>
        <v>0.8</v>
      </c>
      <c r="AA88" s="46">
        <v>85</v>
      </c>
      <c r="AB88" s="50">
        <v>18148</v>
      </c>
      <c r="AC88" s="50" t="s">
        <v>371</v>
      </c>
      <c r="AD88" s="50">
        <v>100</v>
      </c>
      <c r="AE88" s="42">
        <v>41</v>
      </c>
      <c r="AF88" s="52" t="str">
        <f>+IF(AE88&gt;0,FIXED(Fuelbeds_english!AF88*0.3048,1,0),AE88)</f>
        <v>0.3</v>
      </c>
      <c r="AG88" s="36">
        <v>70</v>
      </c>
      <c r="AH88" s="52" t="str">
        <f>+IF(AE88&gt;0,FIXED(Fuelbeds_english!AH88*2.242,1,0),AE88)</f>
        <v>1.0</v>
      </c>
      <c r="AI88" s="45">
        <v>40792</v>
      </c>
      <c r="AJ88" s="45" t="s">
        <v>365</v>
      </c>
      <c r="AK88" s="45">
        <v>100</v>
      </c>
      <c r="AL88" s="34">
        <v>37</v>
      </c>
      <c r="AM88" s="52" t="str">
        <f>+IF(AL88&gt;0,FIXED(Fuelbeds_english!AM88*2.54,1,0),AL88)</f>
        <v>7.4</v>
      </c>
      <c r="AN88" s="52" t="str">
        <f>+IF($AM88&gt;0,FIXED(Fuelbeds_english!AN88*2.242,1,0),$AM88)</f>
        <v>0.2</v>
      </c>
      <c r="AO88" s="52" t="str">
        <f>+IF($AM88&gt;0,FIXED(Fuelbeds_english!AO88*2.242,1,0),$AM88)</f>
        <v>1.8</v>
      </c>
      <c r="AP88" s="52" t="str">
        <f>+IF($AM88&gt;0,FIXED(Fuelbeds_english!AP88*2.242,1,0),$AM88)</f>
        <v>2.6</v>
      </c>
      <c r="AQ88" s="52" t="str">
        <f>+IF($AM88&gt;0,FIXED(Fuelbeds_english!AQ88*2.242,1,0),$AM88)</f>
        <v>5.9</v>
      </c>
      <c r="AR88" s="36">
        <v>18035</v>
      </c>
      <c r="AS88" s="45" t="s">
        <v>370</v>
      </c>
      <c r="AT88" s="45">
        <v>100</v>
      </c>
      <c r="AU88" s="44">
        <v>-1</v>
      </c>
      <c r="AV88" s="52">
        <f>+IF(AU88&gt;0,FIXED(Fuelbeds_english!AV88*2.54,1,0),AU88)</f>
        <v>-1</v>
      </c>
      <c r="AW88" s="52">
        <v>-1</v>
      </c>
      <c r="AX88" s="52">
        <v>-1</v>
      </c>
      <c r="AY88" s="52">
        <f>+IF(AX88&gt;0,FIXED(Fuelbeds_english!AY88*2.54,1,0),AX88)</f>
        <v>-1</v>
      </c>
      <c r="AZ88" s="45">
        <v>1</v>
      </c>
      <c r="BA88" s="36">
        <v>64.900000000000006</v>
      </c>
      <c r="BB88" s="52" t="str">
        <f>+IF(BA88&gt;0,FIXED(Fuelbeds_english!BB88*2.54,1,0),BA88)</f>
        <v>5.6</v>
      </c>
      <c r="BC88" s="45">
        <v>100</v>
      </c>
      <c r="BD88" s="45">
        <v>-1</v>
      </c>
      <c r="BE88" s="45">
        <v>-1</v>
      </c>
      <c r="BF88" s="45">
        <v>-1</v>
      </c>
      <c r="BG88" s="45">
        <v>-1</v>
      </c>
      <c r="BH88" s="45">
        <v>-1</v>
      </c>
      <c r="BI88" s="45">
        <v>-1</v>
      </c>
      <c r="BJ88" s="28">
        <v>1</v>
      </c>
      <c r="BK88" s="36">
        <v>64.8</v>
      </c>
      <c r="BL88" s="52" t="str">
        <f>+IF(BK88&gt;0,FIXED(Fuelbeds_english!BL88*2.54,1,0),BK88)</f>
        <v>2.5</v>
      </c>
      <c r="BM88" s="45">
        <v>3</v>
      </c>
      <c r="BN88" s="36">
        <v>64.8</v>
      </c>
      <c r="BO88" s="52" t="str">
        <f>+IF(BN88&gt;0,FIXED(Fuelbeds_english!BO88*2.54,1,0),BN88)</f>
        <v>2.5</v>
      </c>
    </row>
    <row r="89" spans="1:67" s="50" customFormat="1" x14ac:dyDescent="0.25">
      <c r="A89" s="50">
        <v>88</v>
      </c>
      <c r="B89" s="36">
        <v>3110</v>
      </c>
      <c r="C89" s="46">
        <v>3110</v>
      </c>
      <c r="D89" s="22" t="s">
        <v>203</v>
      </c>
      <c r="E89" s="12" t="s">
        <v>9</v>
      </c>
      <c r="F89" s="39">
        <v>21.11</v>
      </c>
      <c r="G89" s="36">
        <v>16.809536015035508</v>
      </c>
      <c r="H89" s="45">
        <f>+IF(F89&gt;0,INT(Fuelbeds_english!H89*2.471),F89)</f>
        <v>41</v>
      </c>
      <c r="I89" s="36">
        <f>+IF(F89&gt;0,INT(Fuelbeds_english!I89*0.3048),F89)</f>
        <v>17</v>
      </c>
      <c r="J89" s="45">
        <f>+IF(F89&gt;0,INT(Fuelbeds_english!J89*0.3048),F89)</f>
        <v>12</v>
      </c>
      <c r="K89" s="45">
        <f>+IF(F89&gt;0,INT(Fuelbeds_english!K89*2.54),F89)</f>
        <v>26</v>
      </c>
      <c r="L89" s="55" t="s">
        <v>377</v>
      </c>
      <c r="M89" s="36" t="s">
        <v>378</v>
      </c>
      <c r="N89" s="36" t="s">
        <v>156</v>
      </c>
      <c r="O89" s="36">
        <v>11.86632845292886</v>
      </c>
      <c r="P89" s="45">
        <f>+IF(O89&gt;0,INT(Fuelbeds_english!P89*2.471),O89)</f>
        <v>83</v>
      </c>
      <c r="Q89" s="36">
        <f>+IF(O89&gt;0,INT(Fuelbeds_english!Q89*0.3048),O89)</f>
        <v>10</v>
      </c>
      <c r="R89" s="45">
        <f>+IF(O89&gt;0,INT(Fuelbeds_english!R89*0.3048),O89)</f>
        <v>5</v>
      </c>
      <c r="S89" s="45">
        <f>+IF(O89&gt;0,INT(Fuelbeds_english!S89*2.54),O89)</f>
        <v>14</v>
      </c>
      <c r="T89" s="36" t="s">
        <v>377</v>
      </c>
      <c r="U89" s="36" t="s">
        <v>378</v>
      </c>
      <c r="V89" s="36" t="s">
        <v>156</v>
      </c>
      <c r="W89" s="36">
        <v>-1</v>
      </c>
      <c r="X89" s="98">
        <v>-1</v>
      </c>
      <c r="Y89" s="29">
        <v>35.739999999999995</v>
      </c>
      <c r="Z89" s="88" t="str">
        <f>+IF(Y89&gt;0,FIXED(Fuelbeds_english!Z89*0.3048,1,0),Y89)</f>
        <v>2.1</v>
      </c>
      <c r="AA89" s="46">
        <v>85</v>
      </c>
      <c r="AB89" s="50">
        <v>28675</v>
      </c>
      <c r="AC89" s="50" t="s">
        <v>375</v>
      </c>
      <c r="AD89" s="50">
        <v>100</v>
      </c>
      <c r="AE89" s="42">
        <v>30</v>
      </c>
      <c r="AF89" s="52" t="str">
        <f>+IF(AE89&gt;0,FIXED(Fuelbeds_english!AF89*0.3048,1,0),AE89)</f>
        <v>0.5</v>
      </c>
      <c r="AG89" s="36">
        <v>80</v>
      </c>
      <c r="AH89" s="52" t="str">
        <f>+IF(AE89&gt;0,FIXED(Fuelbeds_english!AH89*2.242,1,0),AE89)</f>
        <v>3.4</v>
      </c>
      <c r="AI89" s="45">
        <v>40450</v>
      </c>
      <c r="AJ89" s="45" t="s">
        <v>148</v>
      </c>
      <c r="AK89" s="45">
        <v>100</v>
      </c>
      <c r="AL89" s="34">
        <v>10.046191639777849</v>
      </c>
      <c r="AM89" s="52" t="str">
        <f>+IF(AL89&gt;0,FIXED(Fuelbeds_english!AM89*2.54,1,0),AL89)</f>
        <v>4.2</v>
      </c>
      <c r="AN89" s="52" t="str">
        <f>+IF($AM89&gt;0,FIXED(Fuelbeds_english!AN89*2.242,1,0),$AM89)</f>
        <v>0.1</v>
      </c>
      <c r="AO89" s="52" t="str">
        <f>+IF($AM89&gt;0,FIXED(Fuelbeds_english!AO89*2.242,1,0),$AM89)</f>
        <v>0.5</v>
      </c>
      <c r="AP89" s="52" t="str">
        <f>+IF($AM89&gt;0,FIXED(Fuelbeds_english!AP89*2.242,1,0),$AM89)</f>
        <v>0.8</v>
      </c>
      <c r="AQ89" s="52" t="str">
        <f>+IF($AM89&gt;0,FIXED(Fuelbeds_english!AQ89*2.242,1,0),$AM89)</f>
        <v>1.6</v>
      </c>
      <c r="AR89" s="36" t="s">
        <v>377</v>
      </c>
      <c r="AS89" s="45" t="s">
        <v>378</v>
      </c>
      <c r="AT89" s="45" t="s">
        <v>156</v>
      </c>
      <c r="AU89" s="44">
        <v>-1</v>
      </c>
      <c r="AV89" s="52">
        <f>+IF(AU89&gt;0,FIXED(Fuelbeds_english!AV89*2.54,1,0),AU89)</f>
        <v>-1</v>
      </c>
      <c r="AW89" s="52">
        <v>-1</v>
      </c>
      <c r="AX89" s="52">
        <v>-1</v>
      </c>
      <c r="AY89" s="52">
        <f>+IF(AX89&gt;0,FIXED(Fuelbeds_english!AY89*2.54,1,0),AX89)</f>
        <v>-1</v>
      </c>
      <c r="AZ89" s="45">
        <v>1</v>
      </c>
      <c r="BA89" s="36">
        <v>23.554709324709322</v>
      </c>
      <c r="BB89" s="52" t="str">
        <f>+IF(BA89&gt;0,FIXED(Fuelbeds_english!BB89*2.54,1,0),BA89)</f>
        <v>1.3</v>
      </c>
      <c r="BC89" s="45">
        <v>50</v>
      </c>
      <c r="BD89" s="45">
        <v>-1</v>
      </c>
      <c r="BE89" s="45">
        <v>-1</v>
      </c>
      <c r="BF89" s="45">
        <v>50</v>
      </c>
      <c r="BG89" s="45">
        <v>-1</v>
      </c>
      <c r="BH89" s="45">
        <v>-1</v>
      </c>
      <c r="BI89" s="45">
        <v>-1</v>
      </c>
      <c r="BJ89" s="28">
        <v>1</v>
      </c>
      <c r="BK89" s="36">
        <v>22.634762047762049</v>
      </c>
      <c r="BL89" s="52" t="str">
        <f>+IF(BK89&gt;0,FIXED(Fuelbeds_english!BL89*2.54,1,0),BK89)</f>
        <v>2.8</v>
      </c>
      <c r="BM89" s="45">
        <v>3</v>
      </c>
      <c r="BN89" s="36">
        <v>22.634762047762049</v>
      </c>
      <c r="BO89" s="52" t="str">
        <f>+IF(BN89&gt;0,FIXED(Fuelbeds_english!BO89*2.54,1,0),BN89)</f>
        <v>2.8</v>
      </c>
    </row>
    <row r="90" spans="1:67" s="50" customFormat="1" x14ac:dyDescent="0.25">
      <c r="A90" s="50">
        <v>89</v>
      </c>
      <c r="B90" s="36">
        <v>3120</v>
      </c>
      <c r="C90" s="46">
        <v>3120</v>
      </c>
      <c r="D90" s="22" t="s">
        <v>203</v>
      </c>
      <c r="E90" s="13" t="s">
        <v>8</v>
      </c>
      <c r="F90" s="39">
        <v>10.63</v>
      </c>
      <c r="G90" s="36">
        <v>8.4644892392149433</v>
      </c>
      <c r="H90" s="45">
        <f>+IF(F90&gt;0,INT(Fuelbeds_english!H90*2.471),F90)</f>
        <v>20</v>
      </c>
      <c r="I90" s="36">
        <f>+IF(F90&gt;0,INT(Fuelbeds_english!I90*0.3048),F90)</f>
        <v>12</v>
      </c>
      <c r="J90" s="45">
        <f>+IF(F90&gt;0,INT(Fuelbeds_english!J90*0.3048),F90)</f>
        <v>8</v>
      </c>
      <c r="K90" s="45">
        <f>+IF(F90&gt;0,INT(Fuelbeds_english!K90*2.54),F90)</f>
        <v>18</v>
      </c>
      <c r="L90" s="36" t="s">
        <v>377</v>
      </c>
      <c r="M90" s="36" t="s">
        <v>378</v>
      </c>
      <c r="N90" s="36" t="s">
        <v>156</v>
      </c>
      <c r="O90" s="36">
        <v>5.9753231385425778</v>
      </c>
      <c r="P90" s="45">
        <f>+IF(O90&gt;0,INT(Fuelbeds_english!P90*2.471),O90)</f>
        <v>41</v>
      </c>
      <c r="Q90" s="36">
        <f>+IF(O90&gt;0,INT(Fuelbeds_english!Q90*0.3048),O90)</f>
        <v>7</v>
      </c>
      <c r="R90" s="45">
        <f>+IF(O90&gt;0,INT(Fuelbeds_english!R90*0.3048),O90)</f>
        <v>3</v>
      </c>
      <c r="S90" s="45">
        <f>+IF(O90&gt;0,INT(Fuelbeds_english!S90*2.54),O90)</f>
        <v>10</v>
      </c>
      <c r="T90" s="36" t="s">
        <v>377</v>
      </c>
      <c r="U90" s="36" t="s">
        <v>378</v>
      </c>
      <c r="V90" s="36" t="s">
        <v>156</v>
      </c>
      <c r="W90" s="36">
        <v>-1</v>
      </c>
      <c r="X90" s="98">
        <v>-1</v>
      </c>
      <c r="Y90" s="29">
        <v>11.030000000000001</v>
      </c>
      <c r="Z90" s="88" t="str">
        <f>+IF(Y90&gt;0,FIXED(Fuelbeds_english!Z90*0.3048,1,0),Y90)</f>
        <v>2.1</v>
      </c>
      <c r="AA90" s="46">
        <v>85</v>
      </c>
      <c r="AB90" s="50">
        <v>28675</v>
      </c>
      <c r="AC90" s="50" t="s">
        <v>375</v>
      </c>
      <c r="AD90" s="50">
        <v>100</v>
      </c>
      <c r="AE90" s="42">
        <v>60</v>
      </c>
      <c r="AF90" s="52" t="str">
        <f>+IF(AE90&gt;0,FIXED(Fuelbeds_english!AF90*0.3048,1,0),AE90)</f>
        <v>0.5</v>
      </c>
      <c r="AG90" s="36">
        <v>80</v>
      </c>
      <c r="AH90" s="52" t="str">
        <f>+IF(AE90&gt;0,FIXED(Fuelbeds_english!AH90*2.242,1,0),AE90)</f>
        <v>6.9</v>
      </c>
      <c r="AI90" s="45">
        <v>40450</v>
      </c>
      <c r="AJ90" s="45" t="s">
        <v>148</v>
      </c>
      <c r="AK90" s="45">
        <v>100</v>
      </c>
      <c r="AL90" s="34">
        <v>5.0587881160984622</v>
      </c>
      <c r="AM90" s="52" t="str">
        <f>+IF(AL90&gt;0,FIXED(Fuelbeds_english!AM90*2.54,1,0),AL90)</f>
        <v>2.1</v>
      </c>
      <c r="AN90" s="52" t="str">
        <f>+IF($AM90&gt;0,FIXED(Fuelbeds_english!AN90*2.242,1,0),$AM90)</f>
        <v>0.1</v>
      </c>
      <c r="AO90" s="52" t="str">
        <f>+IF($AM90&gt;0,FIXED(Fuelbeds_english!AO90*2.242,1,0),$AM90)</f>
        <v>0.2</v>
      </c>
      <c r="AP90" s="52" t="str">
        <f>+IF($AM90&gt;0,FIXED(Fuelbeds_english!AP90*2.242,1,0),$AM90)</f>
        <v>0.4</v>
      </c>
      <c r="AQ90" s="52" t="str">
        <f>+IF($AM90&gt;0,FIXED(Fuelbeds_english!AQ90*2.242,1,0),$AM90)</f>
        <v>0.8</v>
      </c>
      <c r="AR90" s="36" t="s">
        <v>377</v>
      </c>
      <c r="AS90" s="45" t="s">
        <v>378</v>
      </c>
      <c r="AT90" s="45" t="s">
        <v>156</v>
      </c>
      <c r="AU90" s="44">
        <v>-1</v>
      </c>
      <c r="AV90" s="52">
        <f>+IF(AU90&gt;0,FIXED(Fuelbeds_english!AV90*2.54,1,0),AU90)</f>
        <v>-1</v>
      </c>
      <c r="AW90" s="52">
        <v>-1</v>
      </c>
      <c r="AX90" s="52">
        <v>-1</v>
      </c>
      <c r="AY90" s="52">
        <f>+IF(AX90&gt;0,FIXED(Fuelbeds_english!AY90*2.54,1,0),AX90)</f>
        <v>-1</v>
      </c>
      <c r="AZ90" s="45">
        <v>1</v>
      </c>
      <c r="BA90" s="36">
        <v>11.861040271040274</v>
      </c>
      <c r="BB90" s="52" t="str">
        <f>+IF(BA90&gt;0,FIXED(Fuelbeds_english!BB90*2.54,1,0),BA90)</f>
        <v>1.3</v>
      </c>
      <c r="BC90" s="45">
        <v>50</v>
      </c>
      <c r="BD90" s="45">
        <v>-1</v>
      </c>
      <c r="BE90" s="45">
        <v>-1</v>
      </c>
      <c r="BF90" s="45">
        <v>50</v>
      </c>
      <c r="BG90" s="45">
        <v>-1</v>
      </c>
      <c r="BH90" s="45">
        <v>-1</v>
      </c>
      <c r="BI90" s="45">
        <v>-1</v>
      </c>
      <c r="BJ90" s="28">
        <v>1</v>
      </c>
      <c r="BK90" s="36">
        <v>11.397798226798226</v>
      </c>
      <c r="BL90" s="52" t="str">
        <f>+IF(BK90&gt;0,FIXED(Fuelbeds_english!BL90*2.54,1,0),BK90)</f>
        <v>2.8</v>
      </c>
      <c r="BM90" s="45">
        <v>3</v>
      </c>
      <c r="BN90" s="36">
        <v>11.397798226798226</v>
      </c>
      <c r="BO90" s="52" t="str">
        <f>+IF(BN90&gt;0,FIXED(Fuelbeds_english!BO90*2.54,1,0),BN90)</f>
        <v>2.8</v>
      </c>
    </row>
    <row r="91" spans="1:67" s="50" customFormat="1" x14ac:dyDescent="0.25">
      <c r="A91" s="50">
        <v>90</v>
      </c>
      <c r="B91" s="36">
        <v>3130</v>
      </c>
      <c r="C91" s="46">
        <v>3130</v>
      </c>
      <c r="D91" s="22" t="s">
        <v>203</v>
      </c>
      <c r="E91" s="14" t="s">
        <v>10</v>
      </c>
      <c r="F91" s="39">
        <v>-3</v>
      </c>
      <c r="G91" s="36">
        <v>-3</v>
      </c>
      <c r="H91" s="45">
        <f>+IF(F91&gt;0,INT(Fuelbeds_english!H91*2.471),F91)</f>
        <v>-3</v>
      </c>
      <c r="I91" s="36">
        <f>+IF(F91&gt;0,INT(Fuelbeds_english!I91*0.3048),F91)</f>
        <v>-3</v>
      </c>
      <c r="J91" s="45">
        <f>+IF(F91&gt;0,INT(Fuelbeds_english!J91*0.3048),F91)</f>
        <v>-3</v>
      </c>
      <c r="K91" s="45">
        <f>+IF(F91&gt;0,INT(Fuelbeds_english!K91*2.54),F91)</f>
        <v>-3</v>
      </c>
      <c r="L91" s="45">
        <v>-3</v>
      </c>
      <c r="M91" s="45">
        <v>-3</v>
      </c>
      <c r="N91" s="45">
        <v>-3</v>
      </c>
      <c r="O91" s="36">
        <v>-3</v>
      </c>
      <c r="P91" s="45">
        <f>+IF(O91&gt;0,INT(Fuelbeds_english!P91*2.471),O91)</f>
        <v>-3</v>
      </c>
      <c r="Q91" s="36">
        <f>+IF(O91&gt;0,INT(Fuelbeds_english!Q91*0.3048),O91)</f>
        <v>-3</v>
      </c>
      <c r="R91" s="45">
        <f>+IF(O91&gt;0,INT(Fuelbeds_english!R91*0.3048),O91)</f>
        <v>-3</v>
      </c>
      <c r="S91" s="45">
        <f>+IF(O91&gt;0,INT(Fuelbeds_english!S91*2.54),O91)</f>
        <v>-3</v>
      </c>
      <c r="T91" s="45">
        <v>-3</v>
      </c>
      <c r="U91" s="45">
        <v>-3</v>
      </c>
      <c r="V91" s="45">
        <v>-3</v>
      </c>
      <c r="W91" s="45">
        <v>-3</v>
      </c>
      <c r="X91" s="99">
        <v>-3</v>
      </c>
      <c r="Y91" s="29">
        <v>52</v>
      </c>
      <c r="Z91" s="88" t="str">
        <f>+IF(Y91&gt;0,FIXED(Fuelbeds_english!Z91*0.3048,1,0),Y91)</f>
        <v>1.5</v>
      </c>
      <c r="AA91" s="46">
        <v>85</v>
      </c>
      <c r="AB91" s="50">
        <v>28675</v>
      </c>
      <c r="AC91" s="50" t="s">
        <v>375</v>
      </c>
      <c r="AD91" s="50">
        <v>100</v>
      </c>
      <c r="AE91" s="42">
        <v>36</v>
      </c>
      <c r="AF91" s="52" t="str">
        <f>+IF(AE91&gt;0,FIXED(Fuelbeds_english!AF91*0.3048,1,0),AE91)</f>
        <v>0.4</v>
      </c>
      <c r="AG91" s="36">
        <v>85</v>
      </c>
      <c r="AH91" s="52" t="str">
        <f>+IF(AE91&gt;0,FIXED(Fuelbeds_english!AH91*2.242,1,0),AE91)</f>
        <v>7.4</v>
      </c>
      <c r="AI91" s="45">
        <v>40450</v>
      </c>
      <c r="AJ91" s="45" t="s">
        <v>148</v>
      </c>
      <c r="AK91" s="45">
        <v>100</v>
      </c>
      <c r="AL91" s="34">
        <v>29.85645933014354</v>
      </c>
      <c r="AM91" s="52" t="str">
        <f>+IF(AL91&gt;0,FIXED(Fuelbeds_english!AM91*2.54,1,0),AL91)</f>
        <v>1.6</v>
      </c>
      <c r="AN91" s="52" t="str">
        <f>+IF($AM91&gt;0,FIXED(Fuelbeds_english!AN91*2.242,1,0),$AM91)</f>
        <v>1.5</v>
      </c>
      <c r="AO91" s="52" t="str">
        <f>+IF($AM91&gt;0,FIXED(Fuelbeds_english!AO91*2.242,1,0),$AM91)</f>
        <v>3.1</v>
      </c>
      <c r="AP91" s="52" t="str">
        <f>+IF($AM91&gt;0,FIXED(Fuelbeds_english!AP91*2.242,1,0),$AM91)</f>
        <v>0.8</v>
      </c>
      <c r="AQ91" s="52" t="str">
        <f>+IF($AM91&gt;0,FIXED(Fuelbeds_english!AQ91*2.242,1,0),$AM91)</f>
        <v>0.0</v>
      </c>
      <c r="AR91" s="45">
        <v>28675</v>
      </c>
      <c r="AS91" s="45" t="s">
        <v>375</v>
      </c>
      <c r="AT91" s="45">
        <v>100</v>
      </c>
      <c r="AU91" s="44">
        <v>-1</v>
      </c>
      <c r="AV91" s="52">
        <f>+IF(AU91&gt;0,FIXED(Fuelbeds_english!AV91*2.54,1,0),AU91)</f>
        <v>-1</v>
      </c>
      <c r="AW91" s="52">
        <v>-1</v>
      </c>
      <c r="AX91" s="52">
        <v>-1</v>
      </c>
      <c r="AY91" s="52">
        <f>+IF(AX91&gt;0,FIXED(Fuelbeds_english!AY91*2.54,1,0),AX91)</f>
        <v>-1</v>
      </c>
      <c r="AZ91" s="45">
        <v>1</v>
      </c>
      <c r="BA91" s="36">
        <v>70</v>
      </c>
      <c r="BB91" s="52" t="str">
        <f>+IF(BA91&gt;0,FIXED(Fuelbeds_english!BB91*2.54,1,0),BA91)</f>
        <v>3.3</v>
      </c>
      <c r="BC91" s="45">
        <v>-1</v>
      </c>
      <c r="BD91" s="45">
        <v>-1</v>
      </c>
      <c r="BE91" s="45">
        <v>-1</v>
      </c>
      <c r="BF91" s="45">
        <v>-1</v>
      </c>
      <c r="BG91" s="45">
        <v>70</v>
      </c>
      <c r="BH91" s="45">
        <v>-1</v>
      </c>
      <c r="BI91" s="45">
        <v>30</v>
      </c>
      <c r="BJ91" s="28">
        <v>-1</v>
      </c>
      <c r="BK91" s="36">
        <v>-1</v>
      </c>
      <c r="BL91" s="52">
        <f>+IF(BK91&gt;0,FIXED(Fuelbeds_english!BL91*2.54,1,0),BK91)</f>
        <v>-1</v>
      </c>
      <c r="BM91" s="36">
        <v>-1</v>
      </c>
      <c r="BN91" s="36">
        <v>-1</v>
      </c>
      <c r="BO91" s="52">
        <f>+IF(BN91&gt;0,FIXED(Fuelbeds_english!BO91*2.54,1,0),BN91)</f>
        <v>-1</v>
      </c>
    </row>
    <row r="92" spans="1:67" s="50" customFormat="1" x14ac:dyDescent="0.25">
      <c r="A92" s="50">
        <v>91</v>
      </c>
      <c r="B92" s="36">
        <v>3140</v>
      </c>
      <c r="C92" s="46">
        <v>3140</v>
      </c>
      <c r="D92" s="22" t="s">
        <v>203</v>
      </c>
      <c r="E92" s="15" t="s">
        <v>14</v>
      </c>
      <c r="F92" s="39">
        <v>-3</v>
      </c>
      <c r="G92" s="36">
        <v>-3</v>
      </c>
      <c r="H92" s="45">
        <f>+IF(F92&gt;0,INT(Fuelbeds_english!H92*2.471),F92)</f>
        <v>-3</v>
      </c>
      <c r="I92" s="36">
        <f>+IF(F92&gt;0,INT(Fuelbeds_english!I92*0.3048),F92)</f>
        <v>-3</v>
      </c>
      <c r="J92" s="45">
        <f>+IF(F92&gt;0,INT(Fuelbeds_english!J92*0.3048),F92)</f>
        <v>-3</v>
      </c>
      <c r="K92" s="45">
        <f>+IF(F92&gt;0,INT(Fuelbeds_english!K92*2.54),F92)</f>
        <v>-3</v>
      </c>
      <c r="L92" s="45">
        <v>-3</v>
      </c>
      <c r="M92" s="45">
        <v>-3</v>
      </c>
      <c r="N92" s="45">
        <v>-3</v>
      </c>
      <c r="O92" s="36">
        <v>-3</v>
      </c>
      <c r="P92" s="45">
        <f>+IF(O92&gt;0,INT(Fuelbeds_english!P92*2.471),O92)</f>
        <v>-3</v>
      </c>
      <c r="Q92" s="36">
        <f>+IF(O92&gt;0,INT(Fuelbeds_english!Q92*0.3048),O92)</f>
        <v>-3</v>
      </c>
      <c r="R92" s="45">
        <f>+IF(O92&gt;0,INT(Fuelbeds_english!R92*0.3048),O92)</f>
        <v>-3</v>
      </c>
      <c r="S92" s="45">
        <f>+IF(O92&gt;0,INT(Fuelbeds_english!S92*2.54),O92)</f>
        <v>-3</v>
      </c>
      <c r="T92" s="45">
        <v>-3</v>
      </c>
      <c r="U92" s="45">
        <v>-3</v>
      </c>
      <c r="V92" s="45">
        <v>-3</v>
      </c>
      <c r="W92" s="45">
        <v>-3</v>
      </c>
      <c r="X92" s="99">
        <v>-3</v>
      </c>
      <c r="Y92" s="81">
        <v>-3</v>
      </c>
      <c r="Z92" s="88">
        <f>+IF(Y92&gt;0,FIXED(Fuelbeds_english!Z92*0.3048,1,0),Y92)</f>
        <v>-3</v>
      </c>
      <c r="AA92" s="48">
        <v>-3</v>
      </c>
      <c r="AB92" s="10">
        <v>-3</v>
      </c>
      <c r="AC92" s="10">
        <v>-3</v>
      </c>
      <c r="AD92" s="10">
        <v>-3</v>
      </c>
      <c r="AE92" s="42">
        <v>67</v>
      </c>
      <c r="AF92" s="52" t="str">
        <f>+IF(AE92&gt;0,FIXED(Fuelbeds_english!AF92*0.3048,1,0),AE92)</f>
        <v>0.5</v>
      </c>
      <c r="AG92" s="36">
        <v>80</v>
      </c>
      <c r="AH92" s="52" t="str">
        <f>+IF(AE92&gt;0,FIXED(Fuelbeds_english!AH92*2.242,1,0),AE92)</f>
        <v>8.9</v>
      </c>
      <c r="AI92" s="45">
        <v>40450</v>
      </c>
      <c r="AJ92" s="45" t="s">
        <v>148</v>
      </c>
      <c r="AK92" s="45">
        <v>100</v>
      </c>
      <c r="AL92" s="34">
        <v>-3</v>
      </c>
      <c r="AM92" s="52">
        <f>+IF(AL92&gt;0,FIXED(Fuelbeds_english!AM92*2.54,1,0),AL92)</f>
        <v>-3</v>
      </c>
      <c r="AN92" s="52">
        <f>+IF(AM92&gt;0,FIXED(Fuelbeds_english!AN92*0.3048,1,0),AM92)</f>
        <v>-3</v>
      </c>
      <c r="AO92" s="52">
        <f>+IF(AN92&gt;0,FIXED(Fuelbeds_english!AO92*0.3048,1,0),AN92)</f>
        <v>-3</v>
      </c>
      <c r="AP92" s="52">
        <f>+IF(AO92&gt;0,FIXED(Fuelbeds_english!AP92*0.3048,1,0),AO92)</f>
        <v>-3</v>
      </c>
      <c r="AQ92" s="52">
        <f>+IF(AP92&gt;0,FIXED(Fuelbeds_english!AQ92*0.3048,1,0),AP92)</f>
        <v>-3</v>
      </c>
      <c r="AR92" s="36">
        <v>-3</v>
      </c>
      <c r="AS92" s="45">
        <v>-3</v>
      </c>
      <c r="AT92" s="45">
        <v>-3</v>
      </c>
      <c r="AU92" s="44">
        <v>-1</v>
      </c>
      <c r="AV92" s="52">
        <f>+IF(AU92&gt;0,FIXED(Fuelbeds_english!AV92*2.54,1,0),AU92)</f>
        <v>-1</v>
      </c>
      <c r="AW92" s="52">
        <v>-1</v>
      </c>
      <c r="AX92" s="52">
        <v>-1</v>
      </c>
      <c r="AY92" s="52">
        <f>+IF(AX92&gt;0,FIXED(Fuelbeds_english!AY92*2.54,1,0),AX92)</f>
        <v>-1</v>
      </c>
      <c r="AZ92" s="45">
        <v>1</v>
      </c>
      <c r="BA92" s="36">
        <v>49.06028801562119</v>
      </c>
      <c r="BB92" s="52" t="str">
        <f>+IF(BA92&gt;0,FIXED(Fuelbeds_english!BB92*2.54,1,0),BA92)</f>
        <v>3.0</v>
      </c>
      <c r="BC92" s="45">
        <v>-1</v>
      </c>
      <c r="BD92" s="45">
        <v>-1</v>
      </c>
      <c r="BE92" s="45">
        <v>-1</v>
      </c>
      <c r="BF92" s="45">
        <v>-1</v>
      </c>
      <c r="BG92" s="45">
        <v>-1</v>
      </c>
      <c r="BH92" s="45">
        <v>-1</v>
      </c>
      <c r="BI92" s="45">
        <v>100</v>
      </c>
      <c r="BJ92" s="28">
        <v>-1</v>
      </c>
      <c r="BK92" s="36">
        <v>-1</v>
      </c>
      <c r="BL92" s="52">
        <f>+IF(BK92&gt;0,FIXED(Fuelbeds_english!BL92*2.54,1,0),BK92)</f>
        <v>-1</v>
      </c>
      <c r="BM92" s="36">
        <v>-1</v>
      </c>
      <c r="BN92" s="36">
        <v>-1</v>
      </c>
      <c r="BO92" s="52">
        <f>+IF(BN92&gt;0,FIXED(Fuelbeds_english!BO92*2.54,1,0),BN92)</f>
        <v>-1</v>
      </c>
    </row>
    <row r="93" spans="1:67" s="50" customFormat="1" x14ac:dyDescent="0.25">
      <c r="A93" s="50">
        <v>92</v>
      </c>
      <c r="B93" s="36">
        <v>4010</v>
      </c>
      <c r="C93" s="46">
        <v>4010</v>
      </c>
      <c r="D93" s="45" t="s">
        <v>5</v>
      </c>
      <c r="E93" s="25" t="s">
        <v>410</v>
      </c>
      <c r="F93" s="39">
        <v>-3</v>
      </c>
      <c r="G93" s="45">
        <v>-3</v>
      </c>
      <c r="H93" s="45">
        <f>+IF(F93&gt;0,INT(Fuelbeds_english!H93*2.471),F93)</f>
        <v>-3</v>
      </c>
      <c r="I93" s="36">
        <f>+IF(F93&gt;0,INT(Fuelbeds_english!I93*0.3048),F93)</f>
        <v>-3</v>
      </c>
      <c r="J93" s="45">
        <f>+IF(F93&gt;0,INT(Fuelbeds_english!J93*0.3048),F93)</f>
        <v>-3</v>
      </c>
      <c r="K93" s="45">
        <f>+IF(F93&gt;0,INT(Fuelbeds_english!K93*2.54),F93)</f>
        <v>-3</v>
      </c>
      <c r="L93" s="45">
        <v>-3</v>
      </c>
      <c r="M93" s="45">
        <v>-3</v>
      </c>
      <c r="N93" s="45">
        <v>-3</v>
      </c>
      <c r="O93" s="45">
        <v>-3</v>
      </c>
      <c r="P93" s="45">
        <f>+IF(O93&gt;0,INT(Fuelbeds_english!P93*2.471),O93)</f>
        <v>-3</v>
      </c>
      <c r="Q93" s="36">
        <f>+IF(O93&gt;0,INT(Fuelbeds_english!Q93*0.3048),O93)</f>
        <v>-3</v>
      </c>
      <c r="R93" s="45">
        <f>+IF(O93&gt;0,INT(Fuelbeds_english!R93*0.3048),O93)</f>
        <v>-3</v>
      </c>
      <c r="S93" s="45">
        <f>+IF(O93&gt;0,INT(Fuelbeds_english!S93*2.54),O93)</f>
        <v>-3</v>
      </c>
      <c r="T93" s="45">
        <v>-3</v>
      </c>
      <c r="U93" s="45">
        <v>-3</v>
      </c>
      <c r="V93" s="45">
        <v>-3</v>
      </c>
      <c r="W93" s="45">
        <v>-3</v>
      </c>
      <c r="X93" s="99">
        <v>-3</v>
      </c>
      <c r="Y93" s="81">
        <v>-3</v>
      </c>
      <c r="Z93" s="88">
        <f>+IF(Y93&gt;0,FIXED(Fuelbeds_english!Z93*0.3048,1,0),Y93)</f>
        <v>-3</v>
      </c>
      <c r="AA93" s="48">
        <v>-3</v>
      </c>
      <c r="AB93" s="10">
        <v>-3</v>
      </c>
      <c r="AC93" s="10">
        <v>-3</v>
      </c>
      <c r="AD93" s="10">
        <v>-3</v>
      </c>
      <c r="AE93" s="42">
        <v>100</v>
      </c>
      <c r="AF93" s="52" t="str">
        <f>+IF(AE93&gt;0,FIXED(Fuelbeds_english!AF93*0.3048,1,0),AE93)</f>
        <v>0.2</v>
      </c>
      <c r="AG93" s="36">
        <v>0</v>
      </c>
      <c r="AH93" s="52" t="str">
        <f>+IF(AE93&gt;0,FIXED(Fuelbeds_english!AH93*2.242,1,0),AE93)</f>
        <v>0.4</v>
      </c>
      <c r="AI93" s="45">
        <v>42236</v>
      </c>
      <c r="AJ93" s="45" t="s">
        <v>207</v>
      </c>
      <c r="AK93" s="45">
        <v>100</v>
      </c>
      <c r="AL93" s="34">
        <v>-3</v>
      </c>
      <c r="AM93" s="52">
        <f>+IF(AL93&gt;0,FIXED(Fuelbeds_english!AM93*2.54,1,0),AL93)</f>
        <v>-3</v>
      </c>
      <c r="AN93" s="52">
        <f>+IF(AM93&gt;0,FIXED(Fuelbeds_english!AN93*0.3048,1,0),AM93)</f>
        <v>-3</v>
      </c>
      <c r="AO93" s="52">
        <f>+IF(AN93&gt;0,FIXED(Fuelbeds_english!AO93*0.3048,1,0),AN93)</f>
        <v>-3</v>
      </c>
      <c r="AP93" s="52">
        <f>+IF(AO93&gt;0,FIXED(Fuelbeds_english!AP93*0.3048,1,0),AO93)</f>
        <v>-3</v>
      </c>
      <c r="AQ93" s="52">
        <f>+IF(AP93&gt;0,FIXED(Fuelbeds_english!AQ93*0.3048,1,0),AP93)</f>
        <v>-3</v>
      </c>
      <c r="AR93" s="36">
        <v>-3</v>
      </c>
      <c r="AS93" s="45">
        <v>-3</v>
      </c>
      <c r="AT93" s="45">
        <v>-3</v>
      </c>
      <c r="AU93" s="44">
        <v>-1</v>
      </c>
      <c r="AV93" s="52">
        <f>+IF(AU93&gt;0,FIXED(Fuelbeds_english!AV93*2.54,1,0),AU93)</f>
        <v>-1</v>
      </c>
      <c r="AW93" s="52">
        <v>-1</v>
      </c>
      <c r="AX93" s="52">
        <v>-1</v>
      </c>
      <c r="AY93" s="52">
        <f>+IF(AX93&gt;0,FIXED(Fuelbeds_english!AY93*2.54,1,0),AX93)</f>
        <v>-1</v>
      </c>
      <c r="AZ93" s="45">
        <v>2</v>
      </c>
      <c r="BA93" s="36">
        <v>65</v>
      </c>
      <c r="BB93" s="52" t="str">
        <f>+IF(BA93&gt;0,FIXED(Fuelbeds_english!BB93*2.54,1,0),BA93)</f>
        <v>1.3</v>
      </c>
      <c r="BC93" s="53">
        <v>-1</v>
      </c>
      <c r="BD93" s="53">
        <v>-1</v>
      </c>
      <c r="BE93" s="53">
        <v>-1</v>
      </c>
      <c r="BF93" s="53">
        <v>-1</v>
      </c>
      <c r="BG93" s="53">
        <v>-1</v>
      </c>
      <c r="BH93" s="53">
        <v>-1</v>
      </c>
      <c r="BI93" s="45">
        <v>100</v>
      </c>
      <c r="BJ93" s="28">
        <v>-1</v>
      </c>
      <c r="BK93" s="36">
        <v>-1</v>
      </c>
      <c r="BL93" s="52">
        <f>+IF(BK93&gt;0,FIXED(Fuelbeds_english!BL93*2.54,1,0),BK93)</f>
        <v>-1</v>
      </c>
      <c r="BM93" s="36">
        <v>-1</v>
      </c>
      <c r="BN93" s="36">
        <v>-1</v>
      </c>
      <c r="BO93" s="52">
        <f>+IF(BN93&gt;0,FIXED(Fuelbeds_english!BO93*2.54,1,0),BN93)</f>
        <v>-1</v>
      </c>
    </row>
    <row r="94" spans="1:67" s="50" customFormat="1" x14ac:dyDescent="0.25">
      <c r="A94" s="50">
        <v>93</v>
      </c>
      <c r="B94" s="36">
        <v>4011</v>
      </c>
      <c r="C94" s="46">
        <v>4011</v>
      </c>
      <c r="D94" s="45" t="s">
        <v>5</v>
      </c>
      <c r="E94" s="25" t="s">
        <v>411</v>
      </c>
      <c r="F94" s="39">
        <v>-3</v>
      </c>
      <c r="G94" s="45">
        <v>-3</v>
      </c>
      <c r="H94" s="45">
        <f>+IF(F94&gt;0,INT(Fuelbeds_english!H94*2.471),F94)</f>
        <v>-3</v>
      </c>
      <c r="I94" s="36">
        <f>+IF(F94&gt;0,INT(Fuelbeds_english!I94*0.3048),F94)</f>
        <v>-3</v>
      </c>
      <c r="J94" s="45">
        <f>+IF(F94&gt;0,INT(Fuelbeds_english!J94*0.3048),F94)</f>
        <v>-3</v>
      </c>
      <c r="K94" s="45">
        <f>+IF(F94&gt;0,INT(Fuelbeds_english!K94*2.54),F94)</f>
        <v>-3</v>
      </c>
      <c r="L94" s="45">
        <v>-3</v>
      </c>
      <c r="M94" s="45">
        <v>-3</v>
      </c>
      <c r="N94" s="45">
        <v>-3</v>
      </c>
      <c r="O94" s="45">
        <v>-3</v>
      </c>
      <c r="P94" s="45">
        <f>+IF(O94&gt;0,INT(Fuelbeds_english!P94*2.471),O94)</f>
        <v>-3</v>
      </c>
      <c r="Q94" s="36">
        <f>+IF(O94&gt;0,INT(Fuelbeds_english!Q94*0.3048),O94)</f>
        <v>-3</v>
      </c>
      <c r="R94" s="45">
        <f>+IF(O94&gt;0,INT(Fuelbeds_english!R94*0.3048),O94)</f>
        <v>-3</v>
      </c>
      <c r="S94" s="45">
        <f>+IF(O94&gt;0,INT(Fuelbeds_english!S94*2.54),O94)</f>
        <v>-3</v>
      </c>
      <c r="T94" s="45">
        <v>-3</v>
      </c>
      <c r="U94" s="45">
        <v>-3</v>
      </c>
      <c r="V94" s="45">
        <v>-3</v>
      </c>
      <c r="W94" s="45">
        <v>-3</v>
      </c>
      <c r="X94" s="99">
        <v>-3</v>
      </c>
      <c r="Y94" s="81">
        <v>-3</v>
      </c>
      <c r="Z94" s="88">
        <f>+IF(Y94&gt;0,FIXED(Fuelbeds_english!Z94*0.3048,1,0),Y94)</f>
        <v>-3</v>
      </c>
      <c r="AA94" s="48">
        <v>-3</v>
      </c>
      <c r="AB94" s="10">
        <v>-3</v>
      </c>
      <c r="AC94" s="10">
        <v>-3</v>
      </c>
      <c r="AD94" s="10">
        <v>-3</v>
      </c>
      <c r="AE94" s="42">
        <v>100</v>
      </c>
      <c r="AF94" s="52" t="str">
        <f>+IF(AE94&gt;0,FIXED(Fuelbeds_english!AF94*0.3048,1,0),AE94)</f>
        <v>0.2</v>
      </c>
      <c r="AG94" s="45">
        <v>0</v>
      </c>
      <c r="AH94" s="52" t="str">
        <f>+IF(AE94&gt;0,FIXED(Fuelbeds_english!AH94*2.242,1,0),AE94)</f>
        <v>2.9</v>
      </c>
      <c r="AI94" s="45">
        <v>41976</v>
      </c>
      <c r="AJ94" s="45" t="s">
        <v>209</v>
      </c>
      <c r="AK94" s="45">
        <v>100</v>
      </c>
      <c r="AL94" s="34">
        <v>-3</v>
      </c>
      <c r="AM94" s="52">
        <f>+IF(AL94&gt;0,FIXED(Fuelbeds_english!AM94*2.54,1,0),AL94)</f>
        <v>-3</v>
      </c>
      <c r="AN94" s="52">
        <f>+IF(AM94&gt;0,FIXED(Fuelbeds_english!AN94*0.3048,1,0),AM94)</f>
        <v>-3</v>
      </c>
      <c r="AO94" s="52">
        <f>+IF(AN94&gt;0,FIXED(Fuelbeds_english!AO94*0.3048,1,0),AN94)</f>
        <v>-3</v>
      </c>
      <c r="AP94" s="52">
        <f>+IF(AO94&gt;0,FIXED(Fuelbeds_english!AP94*0.3048,1,0),AO94)</f>
        <v>-3</v>
      </c>
      <c r="AQ94" s="52">
        <f>+IF(AP94&gt;0,FIXED(Fuelbeds_english!AQ94*0.3048,1,0),AP94)</f>
        <v>-3</v>
      </c>
      <c r="AR94" s="36">
        <v>-3</v>
      </c>
      <c r="AS94" s="45">
        <v>-3</v>
      </c>
      <c r="AT94" s="45">
        <v>-3</v>
      </c>
      <c r="AU94" s="44">
        <v>-1</v>
      </c>
      <c r="AV94" s="52">
        <f>+IF(AU94&gt;0,FIXED(Fuelbeds_english!AV94*2.54,1,0),AU94)</f>
        <v>-1</v>
      </c>
      <c r="AW94" s="52">
        <v>-1</v>
      </c>
      <c r="AX94" s="52">
        <v>-1</v>
      </c>
      <c r="AY94" s="52">
        <f>+IF(AX94&gt;0,FIXED(Fuelbeds_english!AY94*2.54,1,0),AX94)</f>
        <v>-1</v>
      </c>
      <c r="AZ94" s="45">
        <v>2</v>
      </c>
      <c r="BA94" s="36">
        <v>65</v>
      </c>
      <c r="BB94" s="52" t="str">
        <f>+IF(BA94&gt;0,FIXED(Fuelbeds_english!BB94*2.54,1,0),BA94)</f>
        <v>1.3</v>
      </c>
      <c r="BC94" s="53">
        <v>-1</v>
      </c>
      <c r="BD94" s="53">
        <v>-1</v>
      </c>
      <c r="BE94" s="53">
        <v>-1</v>
      </c>
      <c r="BF94" s="53">
        <v>-1</v>
      </c>
      <c r="BG94" s="53">
        <v>-1</v>
      </c>
      <c r="BH94" s="53">
        <v>-1</v>
      </c>
      <c r="BI94" s="45">
        <v>100</v>
      </c>
      <c r="BJ94" s="28">
        <v>-1</v>
      </c>
      <c r="BK94" s="36">
        <v>-1</v>
      </c>
      <c r="BL94" s="52">
        <f>+IF(BK94&gt;0,FIXED(Fuelbeds_english!BL94*2.54,1,0),BK94)</f>
        <v>-1</v>
      </c>
      <c r="BM94" s="36">
        <v>-1</v>
      </c>
      <c r="BN94" s="36">
        <v>-1</v>
      </c>
      <c r="BO94" s="52">
        <f>+IF(BN94&gt;0,FIXED(Fuelbeds_english!BO94*2.54,1,0),BN94)</f>
        <v>-1</v>
      </c>
    </row>
    <row r="95" spans="1:67" s="50" customFormat="1" x14ac:dyDescent="0.25">
      <c r="A95" s="50">
        <v>94</v>
      </c>
      <c r="B95" s="36">
        <v>4012</v>
      </c>
      <c r="C95" s="46">
        <v>4012</v>
      </c>
      <c r="D95" s="45" t="s">
        <v>5</v>
      </c>
      <c r="E95" s="25" t="s">
        <v>412</v>
      </c>
      <c r="F95" s="39">
        <v>-3</v>
      </c>
      <c r="G95" s="45">
        <v>-3</v>
      </c>
      <c r="H95" s="45">
        <f>+IF(F95&gt;0,INT(Fuelbeds_english!H95*2.471),F95)</f>
        <v>-3</v>
      </c>
      <c r="I95" s="36">
        <f>+IF(F95&gt;0,INT(Fuelbeds_english!I95*0.3048),F95)</f>
        <v>-3</v>
      </c>
      <c r="J95" s="45">
        <f>+IF(F95&gt;0,INT(Fuelbeds_english!J95*0.3048),F95)</f>
        <v>-3</v>
      </c>
      <c r="K95" s="45">
        <f>+IF(F95&gt;0,INT(Fuelbeds_english!K95*2.54),F95)</f>
        <v>-3</v>
      </c>
      <c r="L95" s="45">
        <v>-3</v>
      </c>
      <c r="M95" s="45">
        <v>-3</v>
      </c>
      <c r="N95" s="45">
        <v>-3</v>
      </c>
      <c r="O95" s="45">
        <v>-3</v>
      </c>
      <c r="P95" s="45">
        <f>+IF(O95&gt;0,INT(Fuelbeds_english!P95*2.471),O95)</f>
        <v>-3</v>
      </c>
      <c r="Q95" s="36">
        <f>+IF(O95&gt;0,INT(Fuelbeds_english!Q95*0.3048),O95)</f>
        <v>-3</v>
      </c>
      <c r="R95" s="45">
        <f>+IF(O95&gt;0,INT(Fuelbeds_english!R95*0.3048),O95)</f>
        <v>-3</v>
      </c>
      <c r="S95" s="45">
        <f>+IF(O95&gt;0,INT(Fuelbeds_english!S95*2.54),O95)</f>
        <v>-3</v>
      </c>
      <c r="T95" s="45">
        <v>-3</v>
      </c>
      <c r="U95" s="45">
        <v>-3</v>
      </c>
      <c r="V95" s="45">
        <v>-3</v>
      </c>
      <c r="W95" s="45">
        <v>-3</v>
      </c>
      <c r="X95" s="99">
        <v>-3</v>
      </c>
      <c r="Y95" s="81">
        <v>-3</v>
      </c>
      <c r="Z95" s="88">
        <f>+IF(Y95&gt;0,FIXED(Fuelbeds_english!Z95*0.3048,1,0),Y95)</f>
        <v>-3</v>
      </c>
      <c r="AA95" s="48">
        <v>-3</v>
      </c>
      <c r="AB95" s="10">
        <v>-3</v>
      </c>
      <c r="AC95" s="10">
        <v>-3</v>
      </c>
      <c r="AD95" s="10">
        <v>-3</v>
      </c>
      <c r="AE95" s="42">
        <v>100</v>
      </c>
      <c r="AF95" s="52" t="str">
        <f>+IF(AE95&gt;0,FIXED(Fuelbeds_english!AF95*0.3048,1,0),AE95)</f>
        <v>0.2</v>
      </c>
      <c r="AG95" s="62">
        <v>0</v>
      </c>
      <c r="AH95" s="52" t="str">
        <f>+IF(AE95&gt;0,FIXED(Fuelbeds_english!AH95*2.242,1,0),AE95)</f>
        <v>1.1</v>
      </c>
      <c r="AI95" s="45">
        <v>42269</v>
      </c>
      <c r="AJ95" s="45" t="s">
        <v>206</v>
      </c>
      <c r="AK95" s="45">
        <v>100</v>
      </c>
      <c r="AL95" s="34">
        <v>-3</v>
      </c>
      <c r="AM95" s="52">
        <f>+IF(AL95&gt;0,FIXED(Fuelbeds_english!AM95*2.54,1,0),AL95)</f>
        <v>-3</v>
      </c>
      <c r="AN95" s="52">
        <f>+IF(AM95&gt;0,FIXED(Fuelbeds_english!AN95*0.3048,1,0),AM95)</f>
        <v>-3</v>
      </c>
      <c r="AO95" s="52">
        <f>+IF(AN95&gt;0,FIXED(Fuelbeds_english!AO95*0.3048,1,0),AN95)</f>
        <v>-3</v>
      </c>
      <c r="AP95" s="52">
        <f>+IF(AO95&gt;0,FIXED(Fuelbeds_english!AP95*0.3048,1,0),AO95)</f>
        <v>-3</v>
      </c>
      <c r="AQ95" s="52">
        <f>+IF(AP95&gt;0,FIXED(Fuelbeds_english!AQ95*0.3048,1,0),AP95)</f>
        <v>-3</v>
      </c>
      <c r="AR95" s="36">
        <v>-3</v>
      </c>
      <c r="AS95" s="45">
        <v>-3</v>
      </c>
      <c r="AT95" s="45">
        <v>-3</v>
      </c>
      <c r="AU95" s="44">
        <v>-1</v>
      </c>
      <c r="AV95" s="52">
        <f>+IF(AU95&gt;0,FIXED(Fuelbeds_english!AV95*2.54,1,0),AU95)</f>
        <v>-1</v>
      </c>
      <c r="AW95" s="52">
        <v>-1</v>
      </c>
      <c r="AX95" s="52">
        <v>-1</v>
      </c>
      <c r="AY95" s="52">
        <f>+IF(AX95&gt;0,FIXED(Fuelbeds_english!AY95*2.54,1,0),AX95)</f>
        <v>-1</v>
      </c>
      <c r="AZ95" s="45">
        <v>2</v>
      </c>
      <c r="BA95" s="36">
        <v>65</v>
      </c>
      <c r="BB95" s="52" t="str">
        <f>+IF(BA95&gt;0,FIXED(Fuelbeds_english!BB95*2.54,1,0),BA95)</f>
        <v>1.3</v>
      </c>
      <c r="BC95" s="53">
        <v>-1</v>
      </c>
      <c r="BD95" s="53">
        <v>-1</v>
      </c>
      <c r="BE95" s="53">
        <v>-1</v>
      </c>
      <c r="BF95" s="53">
        <v>-1</v>
      </c>
      <c r="BG95" s="53">
        <v>-1</v>
      </c>
      <c r="BH95" s="53">
        <v>-1</v>
      </c>
      <c r="BI95" s="45">
        <v>100</v>
      </c>
      <c r="BJ95" s="28">
        <v>-1</v>
      </c>
      <c r="BK95" s="36">
        <v>-1</v>
      </c>
      <c r="BL95" s="52">
        <f>+IF(BK95&gt;0,FIXED(Fuelbeds_english!BL95*2.54,1,0),BK95)</f>
        <v>-1</v>
      </c>
      <c r="BM95" s="36">
        <v>-1</v>
      </c>
      <c r="BN95" s="36">
        <v>-1</v>
      </c>
      <c r="BO95" s="52">
        <f>+IF(BN95&gt;0,FIXED(Fuelbeds_english!BO95*2.54,1,0),BN95)</f>
        <v>-1</v>
      </c>
    </row>
    <row r="96" spans="1:67" s="50" customFormat="1" x14ac:dyDescent="0.25">
      <c r="A96" s="50">
        <v>95</v>
      </c>
      <c r="B96" s="36">
        <v>4013</v>
      </c>
      <c r="C96" s="46">
        <v>4013</v>
      </c>
      <c r="D96" s="45" t="s">
        <v>5</v>
      </c>
      <c r="E96" s="25" t="s">
        <v>413</v>
      </c>
      <c r="F96" s="39">
        <v>-3</v>
      </c>
      <c r="G96" s="45">
        <v>-3</v>
      </c>
      <c r="H96" s="45">
        <f>+IF(F96&gt;0,INT(Fuelbeds_english!H96*2.471),F96)</f>
        <v>-3</v>
      </c>
      <c r="I96" s="36">
        <f>+IF(F96&gt;0,INT(Fuelbeds_english!I96*0.3048),F96)</f>
        <v>-3</v>
      </c>
      <c r="J96" s="45">
        <f>+IF(F96&gt;0,INT(Fuelbeds_english!J96*0.3048),F96)</f>
        <v>-3</v>
      </c>
      <c r="K96" s="45">
        <f>+IF(F96&gt;0,INT(Fuelbeds_english!K96*2.54),F96)</f>
        <v>-3</v>
      </c>
      <c r="L96" s="45">
        <v>-3</v>
      </c>
      <c r="M96" s="45">
        <v>-3</v>
      </c>
      <c r="N96" s="45">
        <v>-3</v>
      </c>
      <c r="O96" s="45">
        <v>-3</v>
      </c>
      <c r="P96" s="45">
        <f>+IF(O96&gt;0,INT(Fuelbeds_english!P96*2.471),O96)</f>
        <v>-3</v>
      </c>
      <c r="Q96" s="36">
        <f>+IF(O96&gt;0,INT(Fuelbeds_english!Q96*0.3048),O96)</f>
        <v>-3</v>
      </c>
      <c r="R96" s="45">
        <f>+IF(O96&gt;0,INT(Fuelbeds_english!R96*0.3048),O96)</f>
        <v>-3</v>
      </c>
      <c r="S96" s="45">
        <f>+IF(O96&gt;0,INT(Fuelbeds_english!S96*2.54),O96)</f>
        <v>-3</v>
      </c>
      <c r="T96" s="45">
        <v>-3</v>
      </c>
      <c r="U96" s="45">
        <v>-3</v>
      </c>
      <c r="V96" s="45">
        <v>-3</v>
      </c>
      <c r="W96" s="45">
        <v>-3</v>
      </c>
      <c r="X96" s="99">
        <v>-3</v>
      </c>
      <c r="Y96" s="81">
        <v>-3</v>
      </c>
      <c r="Z96" s="88">
        <f>+IF(Y96&gt;0,FIXED(Fuelbeds_english!Z96*0.3048,1,0),Y96)</f>
        <v>-3</v>
      </c>
      <c r="AA96" s="48">
        <v>-3</v>
      </c>
      <c r="AB96" s="10">
        <v>-3</v>
      </c>
      <c r="AC96" s="10">
        <v>-3</v>
      </c>
      <c r="AD96" s="10">
        <v>-3</v>
      </c>
      <c r="AE96" s="42">
        <v>100</v>
      </c>
      <c r="AF96" s="52" t="str">
        <f>+IF(AE96&gt;0,FIXED(Fuelbeds_english!AF96*0.3048,1,0),AE96)</f>
        <v>0.2</v>
      </c>
      <c r="AG96" s="45">
        <v>0</v>
      </c>
      <c r="AH96" s="52" t="str">
        <f>+IF(AE96&gt;0,FIXED(Fuelbeds_english!AH96*2.242,1,0),AE96)</f>
        <v>0.4</v>
      </c>
      <c r="AI96" s="45">
        <v>26716</v>
      </c>
      <c r="AJ96" s="45" t="s">
        <v>208</v>
      </c>
      <c r="AK96" s="45">
        <v>100</v>
      </c>
      <c r="AL96" s="34">
        <v>-3</v>
      </c>
      <c r="AM96" s="52">
        <f>+IF(AL96&gt;0,FIXED(Fuelbeds_english!AM96*2.54,1,0),AL96)</f>
        <v>-3</v>
      </c>
      <c r="AN96" s="52">
        <f>+IF(AM96&gt;0,FIXED(Fuelbeds_english!AN96*0.3048,1,0),AM96)</f>
        <v>-3</v>
      </c>
      <c r="AO96" s="52">
        <f>+IF(AN96&gt;0,FIXED(Fuelbeds_english!AO96*0.3048,1,0),AN96)</f>
        <v>-3</v>
      </c>
      <c r="AP96" s="52">
        <f>+IF(AO96&gt;0,FIXED(Fuelbeds_english!AP96*0.3048,1,0),AO96)</f>
        <v>-3</v>
      </c>
      <c r="AQ96" s="52">
        <f>+IF(AP96&gt;0,FIXED(Fuelbeds_english!AQ96*0.3048,1,0),AP96)</f>
        <v>-3</v>
      </c>
      <c r="AR96" s="36">
        <v>-3</v>
      </c>
      <c r="AS96" s="45">
        <v>-3</v>
      </c>
      <c r="AT96" s="45">
        <v>-3</v>
      </c>
      <c r="AU96" s="44">
        <v>-1</v>
      </c>
      <c r="AV96" s="52">
        <f>+IF(AU96&gt;0,FIXED(Fuelbeds_english!AV96*2.54,1,0),AU96)</f>
        <v>-1</v>
      </c>
      <c r="AW96" s="52">
        <v>-1</v>
      </c>
      <c r="AX96" s="52">
        <v>-1</v>
      </c>
      <c r="AY96" s="52">
        <f>+IF(AX96&gt;0,FIXED(Fuelbeds_english!AY96*2.54,1,0),AX96)</f>
        <v>-1</v>
      </c>
      <c r="AZ96" s="45">
        <v>2</v>
      </c>
      <c r="BA96" s="36">
        <v>65</v>
      </c>
      <c r="BB96" s="52" t="str">
        <f>+IF(BA96&gt;0,FIXED(Fuelbeds_english!BB96*2.54,1,0),BA96)</f>
        <v>1.3</v>
      </c>
      <c r="BC96" s="53">
        <v>-1</v>
      </c>
      <c r="BD96" s="53">
        <v>-1</v>
      </c>
      <c r="BE96" s="53">
        <v>-1</v>
      </c>
      <c r="BF96" s="53">
        <v>-1</v>
      </c>
      <c r="BG96" s="53">
        <v>-1</v>
      </c>
      <c r="BH96" s="53">
        <v>-1</v>
      </c>
      <c r="BI96" s="45">
        <v>100</v>
      </c>
      <c r="BJ96" s="28">
        <v>-1</v>
      </c>
      <c r="BK96" s="36">
        <v>-1</v>
      </c>
      <c r="BL96" s="52">
        <f>+IF(BK96&gt;0,FIXED(Fuelbeds_english!BL96*2.54,1,0),BK96)</f>
        <v>-1</v>
      </c>
      <c r="BM96" s="36">
        <v>-1</v>
      </c>
      <c r="BN96" s="36">
        <v>-1</v>
      </c>
      <c r="BO96" s="52">
        <f>+IF(BN96&gt;0,FIXED(Fuelbeds_english!BO96*2.54,1,0),BN96)</f>
        <v>-1</v>
      </c>
    </row>
    <row r="97" spans="1:67" s="50" customFormat="1" x14ac:dyDescent="0.25">
      <c r="A97" s="50">
        <v>96</v>
      </c>
      <c r="B97" s="36">
        <v>4017</v>
      </c>
      <c r="C97" s="46">
        <v>4017</v>
      </c>
      <c r="D97" s="45" t="s">
        <v>5</v>
      </c>
      <c r="E97" s="25" t="s">
        <v>416</v>
      </c>
      <c r="F97" s="39">
        <v>-3</v>
      </c>
      <c r="G97" s="45">
        <v>-3</v>
      </c>
      <c r="H97" s="45">
        <f>+IF(F97&gt;0,INT(Fuelbeds_english!H97*2.471),F97)</f>
        <v>-3</v>
      </c>
      <c r="I97" s="36">
        <f>+IF(F97&gt;0,INT(Fuelbeds_english!I97*0.3048),F97)</f>
        <v>-3</v>
      </c>
      <c r="J97" s="45">
        <f>+IF(F97&gt;0,INT(Fuelbeds_english!J97*0.3048),F97)</f>
        <v>-3</v>
      </c>
      <c r="K97" s="45">
        <f>+IF(F97&gt;0,INT(Fuelbeds_english!K97*2.54),F97)</f>
        <v>-3</v>
      </c>
      <c r="L97" s="45">
        <v>-3</v>
      </c>
      <c r="M97" s="45">
        <v>-3</v>
      </c>
      <c r="N97" s="45">
        <v>-3</v>
      </c>
      <c r="O97" s="45">
        <v>-3</v>
      </c>
      <c r="P97" s="45">
        <f>+IF(O97&gt;0,INT(Fuelbeds_english!P97*2.471),O97)</f>
        <v>-3</v>
      </c>
      <c r="Q97" s="36">
        <f>+IF(O97&gt;0,INT(Fuelbeds_english!Q97*0.3048),O97)</f>
        <v>-3</v>
      </c>
      <c r="R97" s="45">
        <f>+IF(O97&gt;0,INT(Fuelbeds_english!R97*0.3048),O97)</f>
        <v>-3</v>
      </c>
      <c r="S97" s="45">
        <f>+IF(O97&gt;0,INT(Fuelbeds_english!S97*2.54),O97)</f>
        <v>-3</v>
      </c>
      <c r="T97" s="45">
        <v>-3</v>
      </c>
      <c r="U97" s="45">
        <v>-3</v>
      </c>
      <c r="V97" s="45">
        <v>-3</v>
      </c>
      <c r="W97" s="45">
        <v>-3</v>
      </c>
      <c r="X97" s="99">
        <v>-3</v>
      </c>
      <c r="Y97" s="81">
        <v>-3</v>
      </c>
      <c r="Z97" s="88">
        <f>+IF(Y97&gt;0,FIXED(Fuelbeds_english!Z97*0.3048,1,0),Y97)</f>
        <v>-3</v>
      </c>
      <c r="AA97" s="48">
        <v>-3</v>
      </c>
      <c r="AB97" s="10">
        <v>-3</v>
      </c>
      <c r="AC97" s="10">
        <v>-3</v>
      </c>
      <c r="AD97" s="10">
        <v>-3</v>
      </c>
      <c r="AE97" s="42">
        <v>75</v>
      </c>
      <c r="AF97" s="52" t="str">
        <f>+IF(AE97&gt;0,FIXED(Fuelbeds_english!AF97*0.3048,1,0),AE97)</f>
        <v>0.0</v>
      </c>
      <c r="AG97" s="62">
        <v>0</v>
      </c>
      <c r="AH97" s="52" t="str">
        <f>+IF(AE97&gt;0,FIXED(Fuelbeds_english!AH97*2.242,1,0),AE97)</f>
        <v>0.0</v>
      </c>
      <c r="AI97" s="45">
        <v>505272</v>
      </c>
      <c r="AJ97" s="43" t="s">
        <v>417</v>
      </c>
      <c r="AK97" s="45">
        <v>100</v>
      </c>
      <c r="AL97" s="34">
        <v>-3</v>
      </c>
      <c r="AM97" s="52">
        <f>+IF(AL97&gt;0,FIXED(Fuelbeds_english!AM97*2.54,1,0),AL97)</f>
        <v>-3</v>
      </c>
      <c r="AN97" s="52">
        <f>+IF(AM97&gt;0,FIXED(Fuelbeds_english!AN97*0.3048,1,0),AM97)</f>
        <v>-3</v>
      </c>
      <c r="AO97" s="52">
        <f>+IF(AN97&gt;0,FIXED(Fuelbeds_english!AO97*0.3048,1,0),AN97)</f>
        <v>-3</v>
      </c>
      <c r="AP97" s="52">
        <f>+IF(AO97&gt;0,FIXED(Fuelbeds_english!AP97*0.3048,1,0),AO97)</f>
        <v>-3</v>
      </c>
      <c r="AQ97" s="52">
        <f>+IF(AP97&gt;0,FIXED(Fuelbeds_english!AQ97*0.3048,1,0),AP97)</f>
        <v>-3</v>
      </c>
      <c r="AR97" s="36">
        <v>-3</v>
      </c>
      <c r="AS97" s="45">
        <v>-3</v>
      </c>
      <c r="AT97" s="45">
        <v>-3</v>
      </c>
      <c r="AU97" s="44">
        <v>-1</v>
      </c>
      <c r="AV97" s="52">
        <f>+IF(AU97&gt;0,FIXED(Fuelbeds_english!AV97*2.54,1,0),AU97)</f>
        <v>-1</v>
      </c>
      <c r="AW97" s="52">
        <v>-1</v>
      </c>
      <c r="AX97" s="52">
        <v>-1</v>
      </c>
      <c r="AY97" s="52">
        <f>+IF(AX97&gt;0,FIXED(Fuelbeds_english!AY97*2.54,1,0),AX97)</f>
        <v>-1</v>
      </c>
      <c r="AZ97" s="45">
        <v>2</v>
      </c>
      <c r="BA97" s="36">
        <v>65</v>
      </c>
      <c r="BB97" s="52" t="str">
        <f>+IF(BA97&gt;0,FIXED(Fuelbeds_english!BB97*2.54,1,0),BA97)</f>
        <v>1.3</v>
      </c>
      <c r="BC97" s="53">
        <v>-1</v>
      </c>
      <c r="BD97" s="53">
        <v>-1</v>
      </c>
      <c r="BE97" s="53">
        <v>-1</v>
      </c>
      <c r="BF97" s="53">
        <v>-1</v>
      </c>
      <c r="BG97" s="53">
        <v>-1</v>
      </c>
      <c r="BH97" s="53">
        <v>-1</v>
      </c>
      <c r="BI97" s="45">
        <v>100</v>
      </c>
      <c r="BJ97" s="28">
        <v>-1</v>
      </c>
      <c r="BK97" s="36">
        <v>-1</v>
      </c>
      <c r="BL97" s="52">
        <f>+IF(BK97&gt;0,FIXED(Fuelbeds_english!BL97*2.54,1,0),BK97)</f>
        <v>-1</v>
      </c>
      <c r="BM97" s="36">
        <v>-1</v>
      </c>
      <c r="BN97" s="36">
        <v>-1</v>
      </c>
      <c r="BO97" s="52">
        <f>+IF(BN97&gt;0,FIXED(Fuelbeds_english!BO97*2.54,1,0),BN97)</f>
        <v>-1</v>
      </c>
    </row>
    <row r="98" spans="1:67" s="50" customFormat="1" x14ac:dyDescent="0.25">
      <c r="A98" s="50">
        <v>97</v>
      </c>
      <c r="B98" s="36">
        <v>4018</v>
      </c>
      <c r="C98" s="46">
        <v>4018</v>
      </c>
      <c r="D98" s="45" t="s">
        <v>5</v>
      </c>
      <c r="E98" s="25" t="s">
        <v>418</v>
      </c>
      <c r="F98" s="39">
        <v>-3</v>
      </c>
      <c r="G98" s="45">
        <v>-3</v>
      </c>
      <c r="H98" s="45">
        <f>+IF(F98&gt;0,INT(Fuelbeds_english!H98*2.471),F98)</f>
        <v>-3</v>
      </c>
      <c r="I98" s="36">
        <f>+IF(F98&gt;0,INT(Fuelbeds_english!I98*0.3048),F98)</f>
        <v>-3</v>
      </c>
      <c r="J98" s="45">
        <f>+IF(F98&gt;0,INT(Fuelbeds_english!J98*0.3048),F98)</f>
        <v>-3</v>
      </c>
      <c r="K98" s="45">
        <f>+IF(F98&gt;0,INT(Fuelbeds_english!K98*2.54),F98)</f>
        <v>-3</v>
      </c>
      <c r="L98" s="45">
        <v>-3</v>
      </c>
      <c r="M98" s="45">
        <v>-3</v>
      </c>
      <c r="N98" s="45">
        <v>-3</v>
      </c>
      <c r="O98" s="45">
        <v>-3</v>
      </c>
      <c r="P98" s="45">
        <f>+IF(O98&gt;0,INT(Fuelbeds_english!P98*2.471),O98)</f>
        <v>-3</v>
      </c>
      <c r="Q98" s="36">
        <f>+IF(O98&gt;0,INT(Fuelbeds_english!Q98*0.3048),O98)</f>
        <v>-3</v>
      </c>
      <c r="R98" s="45">
        <f>+IF(O98&gt;0,INT(Fuelbeds_english!R98*0.3048),O98)</f>
        <v>-3</v>
      </c>
      <c r="S98" s="45">
        <f>+IF(O98&gt;0,INT(Fuelbeds_english!S98*2.54),O98)</f>
        <v>-3</v>
      </c>
      <c r="T98" s="45">
        <v>-3</v>
      </c>
      <c r="U98" s="45">
        <v>-3</v>
      </c>
      <c r="V98" s="45">
        <v>-3</v>
      </c>
      <c r="W98" s="45">
        <v>-3</v>
      </c>
      <c r="X98" s="99">
        <v>-3</v>
      </c>
      <c r="Y98" s="81">
        <v>-3</v>
      </c>
      <c r="Z98" s="88">
        <f>+IF(Y98&gt;0,FIXED(Fuelbeds_english!Z98*0.3048,1,0),Y98)</f>
        <v>-3</v>
      </c>
      <c r="AA98" s="48">
        <v>-3</v>
      </c>
      <c r="AB98" s="10">
        <v>-3</v>
      </c>
      <c r="AC98" s="10">
        <v>-3</v>
      </c>
      <c r="AD98" s="10">
        <v>-3</v>
      </c>
      <c r="AE98" s="42">
        <v>100</v>
      </c>
      <c r="AF98" s="52" t="str">
        <f>+IF(AE98&gt;0,FIXED(Fuelbeds_english!AF98*0.3048,1,0),AE98)</f>
        <v>0.2</v>
      </c>
      <c r="AG98" s="62">
        <v>0</v>
      </c>
      <c r="AH98" s="52" t="str">
        <f>+IF(AE98&gt;0,FIXED(Fuelbeds_english!AH98*2.242,1,0),AE98)</f>
        <v>2.7</v>
      </c>
      <c r="AI98" s="45">
        <v>41088</v>
      </c>
      <c r="AJ98" s="45" t="s">
        <v>420</v>
      </c>
      <c r="AK98" s="45">
        <v>100</v>
      </c>
      <c r="AL98" s="34">
        <v>-3</v>
      </c>
      <c r="AM98" s="52">
        <f>+IF(AL98&gt;0,FIXED(Fuelbeds_english!AM98*2.54,1,0),AL98)</f>
        <v>-3</v>
      </c>
      <c r="AN98" s="52">
        <f>+IF(AM98&gt;0,FIXED(Fuelbeds_english!AN98*0.3048,1,0),AM98)</f>
        <v>-3</v>
      </c>
      <c r="AO98" s="52">
        <f>+IF(AN98&gt;0,FIXED(Fuelbeds_english!AO98*0.3048,1,0),AN98)</f>
        <v>-3</v>
      </c>
      <c r="AP98" s="52">
        <f>+IF(AO98&gt;0,FIXED(Fuelbeds_english!AP98*0.3048,1,0),AO98)</f>
        <v>-3</v>
      </c>
      <c r="AQ98" s="52">
        <f>+IF(AP98&gt;0,FIXED(Fuelbeds_english!AQ98*0.3048,1,0),AP98)</f>
        <v>-3</v>
      </c>
      <c r="AR98" s="36">
        <v>-3</v>
      </c>
      <c r="AS98" s="45">
        <v>-3</v>
      </c>
      <c r="AT98" s="45">
        <v>-3</v>
      </c>
      <c r="AU98" s="44">
        <v>-1</v>
      </c>
      <c r="AV98" s="52">
        <f>+IF(AU98&gt;0,FIXED(Fuelbeds_english!AV98*2.54,1,0),AU98)</f>
        <v>-1</v>
      </c>
      <c r="AW98" s="52">
        <v>-1</v>
      </c>
      <c r="AX98" s="52">
        <v>-1</v>
      </c>
      <c r="AY98" s="52">
        <f>+IF(AX98&gt;0,FIXED(Fuelbeds_english!AY98*2.54,1,0),AX98)</f>
        <v>-1</v>
      </c>
      <c r="AZ98" s="45">
        <v>2</v>
      </c>
      <c r="BA98" s="36">
        <v>65</v>
      </c>
      <c r="BB98" s="52" t="str">
        <f>+IF(BA98&gt;0,FIXED(Fuelbeds_english!BB98*2.54,1,0),BA98)</f>
        <v>1.3</v>
      </c>
      <c r="BC98" s="53">
        <v>-1</v>
      </c>
      <c r="BD98" s="53">
        <v>-1</v>
      </c>
      <c r="BE98" s="53">
        <v>-1</v>
      </c>
      <c r="BF98" s="53">
        <v>-1</v>
      </c>
      <c r="BG98" s="53">
        <v>-1</v>
      </c>
      <c r="BH98" s="53">
        <v>-1</v>
      </c>
      <c r="BI98" s="45">
        <v>100</v>
      </c>
      <c r="BJ98" s="28">
        <v>-1</v>
      </c>
      <c r="BK98" s="36">
        <v>-1</v>
      </c>
      <c r="BL98" s="52">
        <f>+IF(BK98&gt;0,FIXED(Fuelbeds_english!BL98*2.54,1,0),BK98)</f>
        <v>-1</v>
      </c>
      <c r="BM98" s="36">
        <v>-1</v>
      </c>
      <c r="BN98" s="36">
        <v>-1</v>
      </c>
      <c r="BO98" s="52">
        <f>+IF(BN98&gt;0,FIXED(Fuelbeds_english!BO98*2.54,1,0),BN98)</f>
        <v>-1</v>
      </c>
    </row>
    <row r="99" spans="1:67" s="50" customFormat="1" x14ac:dyDescent="0.25">
      <c r="A99" s="50">
        <v>98</v>
      </c>
      <c r="B99" s="36">
        <v>4020</v>
      </c>
      <c r="C99" s="46">
        <v>4020</v>
      </c>
      <c r="D99" s="45" t="s">
        <v>5</v>
      </c>
      <c r="E99" s="38" t="s">
        <v>427</v>
      </c>
      <c r="F99" s="39">
        <v>12.9932</v>
      </c>
      <c r="G99" s="56">
        <v>12.9932</v>
      </c>
      <c r="H99" s="45">
        <f>+IF(F99&gt;0,INT(Fuelbeds_english!H99*2.471),F99)</f>
        <v>25</v>
      </c>
      <c r="I99" s="36">
        <f>+IF(F99&gt;0,INT(Fuelbeds_english!I99*0.3048),F99)</f>
        <v>13</v>
      </c>
      <c r="J99" s="45">
        <f>+IF(F99&gt;0,INT(Fuelbeds_english!J99*0.3048),F99)</f>
        <v>7</v>
      </c>
      <c r="K99" s="45">
        <f>+IF(F99&gt;0,INT(Fuelbeds_english!K99*2.54),F99)</f>
        <v>25</v>
      </c>
      <c r="L99" s="36">
        <v>19478</v>
      </c>
      <c r="M99" s="36" t="s">
        <v>352</v>
      </c>
      <c r="N99" s="36">
        <v>100</v>
      </c>
      <c r="O99" s="43">
        <v>7.398792413793104</v>
      </c>
      <c r="P99" s="45">
        <f>+IF(O99&gt;0,INT(Fuelbeds_english!P99*2.471),O99)</f>
        <v>37</v>
      </c>
      <c r="Q99" s="36">
        <f>+IF(O99&gt;0,INT(Fuelbeds_english!Q99*0.3048),O99)</f>
        <v>8</v>
      </c>
      <c r="R99" s="45">
        <f>+IF(O99&gt;0,INT(Fuelbeds_english!R99*0.3048),O99)</f>
        <v>4</v>
      </c>
      <c r="S99" s="45">
        <f>+IF(O99&gt;0,INT(Fuelbeds_english!S99*2.54),O99)</f>
        <v>13</v>
      </c>
      <c r="T99" s="36">
        <v>19478</v>
      </c>
      <c r="U99" s="36" t="s">
        <v>352</v>
      </c>
      <c r="V99" s="36">
        <v>100</v>
      </c>
      <c r="W99" s="45">
        <v>1</v>
      </c>
      <c r="X99" s="99">
        <v>2</v>
      </c>
      <c r="Y99" s="29">
        <v>27.006799999999998</v>
      </c>
      <c r="Z99" s="88" t="str">
        <f>+IF(Y99&gt;0,FIXED(Fuelbeds_english!Z99*0.3048,1,0),Y99)</f>
        <v>2.0</v>
      </c>
      <c r="AA99" s="36">
        <v>85</v>
      </c>
      <c r="AB99" s="50">
        <v>23571</v>
      </c>
      <c r="AC99" s="50" t="s">
        <v>161</v>
      </c>
      <c r="AD99" s="50">
        <v>100</v>
      </c>
      <c r="AE99" s="42">
        <v>60</v>
      </c>
      <c r="AF99" s="52" t="str">
        <f>+IF(AE99&gt;0,FIXED(Fuelbeds_english!AF99*0.3048,1,0),AE99)</f>
        <v>0.2</v>
      </c>
      <c r="AG99" s="45">
        <v>0</v>
      </c>
      <c r="AH99" s="52" t="str">
        <f>+IF(AE99&gt;0,FIXED(Fuelbeds_english!AH99*2.242,1,0),AE99)</f>
        <v>0.2</v>
      </c>
      <c r="AI99" s="45">
        <v>42236</v>
      </c>
      <c r="AJ99" s="45" t="s">
        <v>207</v>
      </c>
      <c r="AK99" s="45">
        <v>100</v>
      </c>
      <c r="AL99" s="34">
        <v>3</v>
      </c>
      <c r="AM99" s="52" t="str">
        <f>+IF(AL99&gt;0,FIXED(Fuelbeds_english!AM99*2.54,1,0),AL99)</f>
        <v>2.0</v>
      </c>
      <c r="AN99" s="52" t="str">
        <f>+IF($AM99&gt;0,FIXED(Fuelbeds_english!AN99*2.242,1,0),$AM99)</f>
        <v>0.2</v>
      </c>
      <c r="AO99" s="52" t="str">
        <f>+IF($AM99&gt;0,FIXED(Fuelbeds_english!AO99*2.242,1,0),$AM99)</f>
        <v>0.3</v>
      </c>
      <c r="AP99" s="52" t="str">
        <f>+IF($AM99&gt;0,FIXED(Fuelbeds_english!AP99*2.242,1,0),$AM99)</f>
        <v>0.5</v>
      </c>
      <c r="AQ99" s="52" t="str">
        <f>+IF($AM99&gt;0,FIXED(Fuelbeds_english!AQ99*2.242,1,0),$AM99)</f>
        <v>0.6</v>
      </c>
      <c r="AR99" s="36">
        <v>19478</v>
      </c>
      <c r="AS99" s="45" t="s">
        <v>352</v>
      </c>
      <c r="AT99" s="45">
        <v>100</v>
      </c>
      <c r="AU99" s="44">
        <v>-1</v>
      </c>
      <c r="AV99" s="52">
        <f>+IF(AU99&gt;0,FIXED(Fuelbeds_english!AV99*2.54,1,0),AU99)</f>
        <v>-1</v>
      </c>
      <c r="AW99" s="52">
        <v>-1</v>
      </c>
      <c r="AX99" s="52">
        <v>-1</v>
      </c>
      <c r="AY99" s="52">
        <f>+IF(AX99&gt;0,FIXED(Fuelbeds_english!AY99*2.54,1,0),AX99)</f>
        <v>-1</v>
      </c>
      <c r="AZ99" s="45">
        <v>2</v>
      </c>
      <c r="BA99" s="36">
        <v>53</v>
      </c>
      <c r="BB99" s="52" t="str">
        <f>+IF(BA99&gt;0,FIXED(Fuelbeds_english!BB99*2.54,1,0),BA99)</f>
        <v>2.0</v>
      </c>
      <c r="BC99" s="45">
        <v>-1</v>
      </c>
      <c r="BD99" s="45">
        <v>-1</v>
      </c>
      <c r="BE99" s="45">
        <v>-1</v>
      </c>
      <c r="BF99" s="45">
        <v>40</v>
      </c>
      <c r="BG99" s="45">
        <v>-1</v>
      </c>
      <c r="BH99" s="45">
        <v>-1</v>
      </c>
      <c r="BI99" s="45">
        <v>60</v>
      </c>
      <c r="BJ99" s="28">
        <v>1</v>
      </c>
      <c r="BK99" s="67">
        <v>11.695809364791289</v>
      </c>
      <c r="BL99" s="52" t="str">
        <f>+IF(BK99&gt;0,FIXED(Fuelbeds_english!BL99*2.54,1,0),BK99)</f>
        <v>1.5</v>
      </c>
      <c r="BM99" s="45">
        <v>3</v>
      </c>
      <c r="BN99" s="67">
        <v>9.3548467513611619</v>
      </c>
      <c r="BO99" s="52" t="str">
        <f>+IF(BN99&gt;0,FIXED(Fuelbeds_english!BO99*2.54,1,0),BN99)</f>
        <v>0.8</v>
      </c>
    </row>
    <row r="100" spans="1:67" s="50" customFormat="1" x14ac:dyDescent="0.25">
      <c r="A100" s="50">
        <v>99</v>
      </c>
      <c r="B100" s="36">
        <v>4021</v>
      </c>
      <c r="C100" s="46">
        <v>4021</v>
      </c>
      <c r="D100" s="45" t="s">
        <v>5</v>
      </c>
      <c r="E100" s="38" t="s">
        <v>426</v>
      </c>
      <c r="F100" s="39">
        <v>30.4831</v>
      </c>
      <c r="G100" s="56">
        <v>30.4831</v>
      </c>
      <c r="H100" s="45">
        <f>+IF(F100&gt;0,INT(Fuelbeds_english!H100*2.471),F100)</f>
        <v>58</v>
      </c>
      <c r="I100" s="36">
        <f>+IF(F100&gt;0,INT(Fuelbeds_english!I100*0.3048),F100)</f>
        <v>18</v>
      </c>
      <c r="J100" s="45">
        <f>+IF(F100&gt;0,INT(Fuelbeds_english!J100*0.3048),F100)</f>
        <v>10</v>
      </c>
      <c r="K100" s="45">
        <f>+IF(F100&gt;0,INT(Fuelbeds_english!K100*2.54),F100)</f>
        <v>35</v>
      </c>
      <c r="L100" s="36">
        <v>19478</v>
      </c>
      <c r="M100" s="36" t="s">
        <v>352</v>
      </c>
      <c r="N100" s="36">
        <v>100</v>
      </c>
      <c r="O100" s="43">
        <v>17.358166504702194</v>
      </c>
      <c r="P100" s="45">
        <f>+IF(O100&gt;0,INT(Fuelbeds_english!P100*2.471),O100)</f>
        <v>88</v>
      </c>
      <c r="Q100" s="36">
        <f>+IF(O100&gt;0,INT(Fuelbeds_english!Q100*0.3048),O100)</f>
        <v>11</v>
      </c>
      <c r="R100" s="45">
        <f>+IF(O100&gt;0,INT(Fuelbeds_english!R100*0.3048),O100)</f>
        <v>6</v>
      </c>
      <c r="S100" s="45">
        <f>+IF(O100&gt;0,INT(Fuelbeds_english!S100*2.54),O100)</f>
        <v>19</v>
      </c>
      <c r="T100" s="36">
        <v>19478</v>
      </c>
      <c r="U100" s="36" t="s">
        <v>352</v>
      </c>
      <c r="V100" s="36">
        <v>100</v>
      </c>
      <c r="W100" s="45">
        <v>1</v>
      </c>
      <c r="X100" s="99">
        <v>2</v>
      </c>
      <c r="Y100" s="29">
        <v>9.5168999999999926</v>
      </c>
      <c r="Z100" s="88" t="str">
        <f>+IF(Y100&gt;0,FIXED(Fuelbeds_english!Z100*0.3048,1,0),Y100)</f>
        <v>2.0</v>
      </c>
      <c r="AA100" s="36">
        <v>85</v>
      </c>
      <c r="AB100" s="50">
        <v>23571</v>
      </c>
      <c r="AC100" s="50" t="s">
        <v>161</v>
      </c>
      <c r="AD100" s="50">
        <v>100</v>
      </c>
      <c r="AE100" s="42">
        <v>60</v>
      </c>
      <c r="AF100" s="52" t="str">
        <f>+IF(AE100&gt;0,FIXED(Fuelbeds_english!AF100*0.3048,1,0),AE100)</f>
        <v>0.2</v>
      </c>
      <c r="AG100" s="45">
        <v>0</v>
      </c>
      <c r="AH100" s="52" t="str">
        <f>+IF(AE100&gt;0,FIXED(Fuelbeds_english!AH100*2.242,1,0),AE100)</f>
        <v>1.7</v>
      </c>
      <c r="AI100" s="45">
        <v>41976</v>
      </c>
      <c r="AJ100" s="45" t="s">
        <v>209</v>
      </c>
      <c r="AK100" s="45">
        <v>100</v>
      </c>
      <c r="AL100" s="34">
        <v>6</v>
      </c>
      <c r="AM100" s="52" t="str">
        <f>+IF(AL100&gt;0,FIXED(Fuelbeds_english!AM100*2.54,1,0),AL100)</f>
        <v>2.0</v>
      </c>
      <c r="AN100" s="52" t="str">
        <f>+IF($AM100&gt;0,FIXED(Fuelbeds_english!AN100*2.242,1,0),$AM100)</f>
        <v>0.4</v>
      </c>
      <c r="AO100" s="52" t="str">
        <f>+IF($AM100&gt;0,FIXED(Fuelbeds_english!AO100*2.242,1,0),$AM100)</f>
        <v>0.6</v>
      </c>
      <c r="AP100" s="52" t="str">
        <f>+IF($AM100&gt;0,FIXED(Fuelbeds_english!AP100*2.242,1,0),$AM100)</f>
        <v>1.2</v>
      </c>
      <c r="AQ100" s="52" t="str">
        <f>+IF($AM100&gt;0,FIXED(Fuelbeds_english!AQ100*2.242,1,0),$AM100)</f>
        <v>1.4</v>
      </c>
      <c r="AR100" s="36">
        <v>19478</v>
      </c>
      <c r="AS100" s="45" t="s">
        <v>352</v>
      </c>
      <c r="AT100" s="45">
        <v>100</v>
      </c>
      <c r="AU100" s="44">
        <v>-1</v>
      </c>
      <c r="AV100" s="52">
        <f>+IF(AU100&gt;0,FIXED(Fuelbeds_english!AV100*2.54,1,0),AU100)</f>
        <v>-1</v>
      </c>
      <c r="AW100" s="52">
        <v>-1</v>
      </c>
      <c r="AX100" s="52">
        <v>-1</v>
      </c>
      <c r="AY100" s="52">
        <f>+IF(AX100&gt;0,FIXED(Fuelbeds_english!AY100*2.54,1,0),AX100)</f>
        <v>-1</v>
      </c>
      <c r="AZ100" s="45">
        <v>2</v>
      </c>
      <c r="BA100" s="36">
        <v>72.03377173860622</v>
      </c>
      <c r="BB100" s="52" t="str">
        <f>+IF(BA100&gt;0,FIXED(Fuelbeds_english!BB100*2.54,1,0),BA100)</f>
        <v>2.0</v>
      </c>
      <c r="BC100" s="45">
        <v>-1</v>
      </c>
      <c r="BD100" s="45">
        <v>-1</v>
      </c>
      <c r="BE100" s="45">
        <v>-1</v>
      </c>
      <c r="BF100" s="45">
        <v>40</v>
      </c>
      <c r="BG100" s="45">
        <v>-1</v>
      </c>
      <c r="BH100" s="45">
        <v>-1</v>
      </c>
      <c r="BI100" s="45">
        <v>60</v>
      </c>
      <c r="BJ100" s="28">
        <v>1</v>
      </c>
      <c r="BK100" s="67">
        <v>27.439316446131006</v>
      </c>
      <c r="BL100" s="52" t="str">
        <f>+IF(BK100&gt;0,FIXED(Fuelbeds_english!BL100*2.54,1,0),BK100)</f>
        <v>1.5</v>
      </c>
      <c r="BM100" s="45">
        <v>3</v>
      </c>
      <c r="BN100" s="67">
        <v>21.947228473849201</v>
      </c>
      <c r="BO100" s="52" t="str">
        <f>+IF(BN100&gt;0,FIXED(Fuelbeds_english!BO100*2.54,1,0),BN100)</f>
        <v>0.8</v>
      </c>
    </row>
    <row r="101" spans="1:67" s="50" customFormat="1" x14ac:dyDescent="0.25">
      <c r="A101" s="50">
        <v>100</v>
      </c>
      <c r="B101" s="36">
        <v>4022</v>
      </c>
      <c r="C101" s="46">
        <v>4022</v>
      </c>
      <c r="D101" s="45" t="s">
        <v>5</v>
      </c>
      <c r="E101" s="38" t="s">
        <v>428</v>
      </c>
      <c r="F101" s="39">
        <v>8.8365899999999993</v>
      </c>
      <c r="G101" s="56">
        <v>8.8365899999999993</v>
      </c>
      <c r="H101" s="45">
        <f>+IF(F101&gt;0,INT(Fuelbeds_english!H101*2.471),F101)</f>
        <v>17</v>
      </c>
      <c r="I101" s="36">
        <f>+IF(F101&gt;0,INT(Fuelbeds_english!I101*0.3048),F101)</f>
        <v>11</v>
      </c>
      <c r="J101" s="45">
        <f>+IF(F101&gt;0,INT(Fuelbeds_english!J101*0.3048),F101)</f>
        <v>6</v>
      </c>
      <c r="K101" s="45">
        <f>+IF(F101&gt;0,INT(Fuelbeds_english!K101*2.54),F101)</f>
        <v>21</v>
      </c>
      <c r="L101" s="36">
        <v>19478</v>
      </c>
      <c r="M101" s="36" t="s">
        <v>352</v>
      </c>
      <c r="N101" s="36">
        <v>100</v>
      </c>
      <c r="O101" s="43">
        <v>5.0318701363636364</v>
      </c>
      <c r="P101" s="45">
        <f>+IF(O101&gt;0,INT(Fuelbeds_english!P101*2.471),O101)</f>
        <v>25</v>
      </c>
      <c r="Q101" s="36">
        <f>+IF(O101&gt;0,INT(Fuelbeds_english!Q101*0.3048),O101)</f>
        <v>7</v>
      </c>
      <c r="R101" s="45">
        <f>+IF(O101&gt;0,INT(Fuelbeds_english!R101*0.3048),O101)</f>
        <v>4</v>
      </c>
      <c r="S101" s="45">
        <f>+IF(O101&gt;0,INT(Fuelbeds_english!S101*2.54),O101)</f>
        <v>11</v>
      </c>
      <c r="T101" s="36">
        <v>19478</v>
      </c>
      <c r="U101" s="36" t="s">
        <v>352</v>
      </c>
      <c r="V101" s="36">
        <v>100</v>
      </c>
      <c r="W101" s="45">
        <v>1</v>
      </c>
      <c r="X101" s="99">
        <v>2</v>
      </c>
      <c r="Y101" s="29">
        <v>31.163409999999999</v>
      </c>
      <c r="Z101" s="88" t="str">
        <f>+IF(Y101&gt;0,FIXED(Fuelbeds_english!Z101*0.3048,1,0),Y101)</f>
        <v>2.0</v>
      </c>
      <c r="AA101" s="36">
        <v>85</v>
      </c>
      <c r="AB101" s="50">
        <v>23571</v>
      </c>
      <c r="AC101" s="50" t="s">
        <v>161</v>
      </c>
      <c r="AD101" s="50">
        <v>100</v>
      </c>
      <c r="AE101" s="42">
        <v>60</v>
      </c>
      <c r="AF101" s="52" t="str">
        <f>+IF(AE101&gt;0,FIXED(Fuelbeds_english!AF101*0.3048,1,0),AE101)</f>
        <v>0.2</v>
      </c>
      <c r="AG101" s="45">
        <v>0</v>
      </c>
      <c r="AH101" s="52" t="str">
        <f>+IF(AE101&gt;0,FIXED(Fuelbeds_english!AH101*2.242,1,0),AE101)</f>
        <v>0.6</v>
      </c>
      <c r="AI101" s="45">
        <v>42269</v>
      </c>
      <c r="AJ101" s="45" t="s">
        <v>206</v>
      </c>
      <c r="AK101" s="45">
        <v>100</v>
      </c>
      <c r="AL101" s="34">
        <v>1</v>
      </c>
      <c r="AM101" s="52" t="str">
        <f>+IF(AL101&gt;0,FIXED(Fuelbeds_english!AM101*2.54,1,0),AL101)</f>
        <v>2.0</v>
      </c>
      <c r="AN101" s="52" t="str">
        <f>+IF($AM101&gt;0,FIXED(Fuelbeds_english!AN101*2.242,1,0),$AM101)</f>
        <v>0.1</v>
      </c>
      <c r="AO101" s="52" t="str">
        <f>+IF($AM101&gt;0,FIXED(Fuelbeds_english!AO101*2.242,1,0),$AM101)</f>
        <v>0.2</v>
      </c>
      <c r="AP101" s="52" t="str">
        <f>+IF($AM101&gt;0,FIXED(Fuelbeds_english!AP101*2.242,1,0),$AM101)</f>
        <v>0.3</v>
      </c>
      <c r="AQ101" s="52" t="str">
        <f>+IF($AM101&gt;0,FIXED(Fuelbeds_english!AQ101*2.242,1,0),$AM101)</f>
        <v>0.4</v>
      </c>
      <c r="AR101" s="36">
        <v>19478</v>
      </c>
      <c r="AS101" s="45" t="s">
        <v>352</v>
      </c>
      <c r="AT101" s="45">
        <v>100</v>
      </c>
      <c r="AU101" s="44">
        <v>-1</v>
      </c>
      <c r="AV101" s="52">
        <f>+IF(AU101&gt;0,FIXED(Fuelbeds_english!AV101*2.54,1,0),AU101)</f>
        <v>-1</v>
      </c>
      <c r="AW101" s="52">
        <v>-1</v>
      </c>
      <c r="AX101" s="52">
        <v>-1</v>
      </c>
      <c r="AY101" s="52">
        <f>+IF(AX101&gt;0,FIXED(Fuelbeds_english!AY101*2.54,1,0),AX101)</f>
        <v>-1</v>
      </c>
      <c r="AZ101" s="45">
        <v>2</v>
      </c>
      <c r="BA101" s="36">
        <v>49</v>
      </c>
      <c r="BB101" s="52" t="str">
        <f>+IF(BA101&gt;0,FIXED(Fuelbeds_english!BB101*2.54,1,0),BA101)</f>
        <v>2.0</v>
      </c>
      <c r="BC101" s="45">
        <v>-1</v>
      </c>
      <c r="BD101" s="45">
        <v>-1</v>
      </c>
      <c r="BE101" s="45">
        <v>-1</v>
      </c>
      <c r="BF101" s="45">
        <v>40</v>
      </c>
      <c r="BG101" s="45">
        <v>-1</v>
      </c>
      <c r="BH101" s="45">
        <v>-1</v>
      </c>
      <c r="BI101" s="45">
        <v>60</v>
      </c>
      <c r="BJ101" s="28">
        <v>1</v>
      </c>
      <c r="BK101" s="67">
        <v>7.9542431483253591</v>
      </c>
      <c r="BL101" s="52" t="str">
        <f>+IF(BK101&gt;0,FIXED(Fuelbeds_english!BL101*2.54,1,0),BK101)</f>
        <v>1.5</v>
      </c>
      <c r="BM101" s="45">
        <v>3</v>
      </c>
      <c r="BN101" s="67">
        <v>6.3621698468899517</v>
      </c>
      <c r="BO101" s="52" t="str">
        <f>+IF(BN101&gt;0,FIXED(Fuelbeds_english!BO101*2.54,1,0),BN101)</f>
        <v>0.8</v>
      </c>
    </row>
    <row r="102" spans="1:67" s="50" customFormat="1" x14ac:dyDescent="0.25">
      <c r="A102" s="50">
        <v>101</v>
      </c>
      <c r="B102" s="36">
        <v>4023</v>
      </c>
      <c r="C102" s="46">
        <v>4023</v>
      </c>
      <c r="D102" s="45" t="s">
        <v>5</v>
      </c>
      <c r="E102" s="38" t="s">
        <v>429</v>
      </c>
      <c r="F102" s="39">
        <v>6.7966199999999999</v>
      </c>
      <c r="G102" s="56">
        <v>6.7966199999999999</v>
      </c>
      <c r="H102" s="45">
        <f>+IF(F102&gt;0,INT(Fuelbeds_english!H102*2.471),F102)</f>
        <v>13</v>
      </c>
      <c r="I102" s="36">
        <f>+IF(F102&gt;0,INT(Fuelbeds_english!I102*0.3048),F102)</f>
        <v>13</v>
      </c>
      <c r="J102" s="45">
        <f>+IF(F102&gt;0,INT(Fuelbeds_english!J102*0.3048),F102)</f>
        <v>8</v>
      </c>
      <c r="K102" s="45">
        <f>+IF(F102&gt;0,INT(Fuelbeds_english!K102*2.54),F102)</f>
        <v>26</v>
      </c>
      <c r="L102" s="36">
        <v>19478</v>
      </c>
      <c r="M102" s="36" t="s">
        <v>352</v>
      </c>
      <c r="N102" s="36">
        <v>100</v>
      </c>
      <c r="O102" s="43">
        <v>3.8702383166144205</v>
      </c>
      <c r="P102" s="45">
        <f>+IF(O102&gt;0,INT(Fuelbeds_english!P102*2.471),O102)</f>
        <v>19</v>
      </c>
      <c r="Q102" s="36">
        <f>+IF(O102&gt;0,INT(Fuelbeds_english!Q102*0.3048),O102)</f>
        <v>8</v>
      </c>
      <c r="R102" s="45">
        <f>+IF(O102&gt;0,INT(Fuelbeds_english!R102*0.3048),O102)</f>
        <v>4</v>
      </c>
      <c r="S102" s="45">
        <f>+IF(O102&gt;0,INT(Fuelbeds_english!S102*2.54),O102)</f>
        <v>13</v>
      </c>
      <c r="T102" s="36">
        <v>19478</v>
      </c>
      <c r="U102" s="36" t="s">
        <v>352</v>
      </c>
      <c r="V102" s="36">
        <v>100</v>
      </c>
      <c r="W102" s="45">
        <v>1</v>
      </c>
      <c r="X102" s="99">
        <v>2</v>
      </c>
      <c r="Y102" s="29">
        <v>33.203379999999996</v>
      </c>
      <c r="Z102" s="88" t="str">
        <f>+IF(Y102&gt;0,FIXED(Fuelbeds_english!Z102*0.3048,1,0),Y102)</f>
        <v>2.0</v>
      </c>
      <c r="AA102" s="36">
        <v>85</v>
      </c>
      <c r="AB102" s="50">
        <v>23571</v>
      </c>
      <c r="AC102" s="50" t="s">
        <v>161</v>
      </c>
      <c r="AD102" s="50">
        <v>100</v>
      </c>
      <c r="AE102" s="42">
        <v>60</v>
      </c>
      <c r="AF102" s="52" t="str">
        <f>+IF(AE102&gt;0,FIXED(Fuelbeds_english!AF102*0.3048,1,0),AE102)</f>
        <v>0.2</v>
      </c>
      <c r="AG102" s="45">
        <v>0</v>
      </c>
      <c r="AH102" s="52" t="str">
        <f>+IF(AE102&gt;0,FIXED(Fuelbeds_english!AH102*2.242,1,0),AE102)</f>
        <v>0.2</v>
      </c>
      <c r="AI102" s="45">
        <v>26716</v>
      </c>
      <c r="AJ102" s="45" t="s">
        <v>208</v>
      </c>
      <c r="AK102" s="45">
        <v>100</v>
      </c>
      <c r="AL102" s="34">
        <v>1</v>
      </c>
      <c r="AM102" s="52" t="str">
        <f>+IF(AL102&gt;0,FIXED(Fuelbeds_english!AM102*2.54,1,0),AL102)</f>
        <v>2.0</v>
      </c>
      <c r="AN102" s="52" t="str">
        <f>+IF($AM102&gt;0,FIXED(Fuelbeds_english!AN102*2.242,1,0),$AM102)</f>
        <v>0.1</v>
      </c>
      <c r="AO102" s="52" t="str">
        <f>+IF($AM102&gt;0,FIXED(Fuelbeds_english!AO102*2.242,1,0),$AM102)</f>
        <v>0.1</v>
      </c>
      <c r="AP102" s="52" t="str">
        <f>+IF($AM102&gt;0,FIXED(Fuelbeds_english!AP102*2.242,1,0),$AM102)</f>
        <v>0.3</v>
      </c>
      <c r="AQ102" s="52" t="str">
        <f>+IF($AM102&gt;0,FIXED(Fuelbeds_english!AQ102*2.242,1,0),$AM102)</f>
        <v>0.3</v>
      </c>
      <c r="AR102" s="36">
        <v>19478</v>
      </c>
      <c r="AS102" s="45" t="s">
        <v>352</v>
      </c>
      <c r="AT102" s="45">
        <v>100</v>
      </c>
      <c r="AU102" s="44">
        <v>-1</v>
      </c>
      <c r="AV102" s="52">
        <f>+IF(AU102&gt;0,FIXED(Fuelbeds_english!AV102*2.54,1,0),AU102)</f>
        <v>-1</v>
      </c>
      <c r="AW102" s="52">
        <v>-1</v>
      </c>
      <c r="AX102" s="52">
        <v>-1</v>
      </c>
      <c r="AY102" s="52">
        <f>+IF(AX102&gt;0,FIXED(Fuelbeds_english!AY102*2.54,1,0),AX102)</f>
        <v>-1</v>
      </c>
      <c r="AZ102" s="45">
        <v>2</v>
      </c>
      <c r="BA102" s="36">
        <v>46</v>
      </c>
      <c r="BB102" s="52" t="str">
        <f>+IF(BA102&gt;0,FIXED(Fuelbeds_english!BB102*2.54,1,0),BA102)</f>
        <v>2.0</v>
      </c>
      <c r="BC102" s="45">
        <v>-1</v>
      </c>
      <c r="BD102" s="45">
        <v>-1</v>
      </c>
      <c r="BE102" s="45">
        <v>-1</v>
      </c>
      <c r="BF102" s="45">
        <v>40</v>
      </c>
      <c r="BG102" s="45">
        <v>-1</v>
      </c>
      <c r="BH102" s="45">
        <v>-1</v>
      </c>
      <c r="BI102" s="45">
        <v>60</v>
      </c>
      <c r="BJ102" s="28">
        <v>1</v>
      </c>
      <c r="BK102" s="67">
        <v>6.1179672324698897</v>
      </c>
      <c r="BL102" s="52" t="str">
        <f>+IF(BK102&gt;0,FIXED(Fuelbeds_english!BL102*2.54,1,0),BK102)</f>
        <v>1.5</v>
      </c>
      <c r="BM102" s="45">
        <v>3</v>
      </c>
      <c r="BN102" s="67">
        <v>4.8934318356706816</v>
      </c>
      <c r="BO102" s="52" t="str">
        <f>+IF(BN102&gt;0,FIXED(Fuelbeds_english!BO102*2.54,1,0),BN102)</f>
        <v>0.8</v>
      </c>
    </row>
    <row r="103" spans="1:67" s="50" customFormat="1" x14ac:dyDescent="0.25">
      <c r="A103" s="50">
        <v>102</v>
      </c>
      <c r="B103" s="36">
        <v>4027</v>
      </c>
      <c r="C103" s="36">
        <v>4027</v>
      </c>
      <c r="D103" s="45" t="s">
        <v>5</v>
      </c>
      <c r="E103" s="38" t="s">
        <v>431</v>
      </c>
      <c r="F103" s="39">
        <v>13.3903</v>
      </c>
      <c r="G103" s="36">
        <v>10.980046000000002</v>
      </c>
      <c r="H103" s="45">
        <f>+IF(F103&gt;0,INT(Fuelbeds_english!H103*2.471),F103)</f>
        <v>32</v>
      </c>
      <c r="I103" s="36">
        <f>+IF(F103&gt;0,INT(Fuelbeds_english!I103*0.3048),F103)</f>
        <v>13</v>
      </c>
      <c r="J103" s="45">
        <f>+IF(F103&gt;0,INT(Fuelbeds_english!J103*0.3048),F103)</f>
        <v>7</v>
      </c>
      <c r="K103" s="45">
        <f>+IF(F103&gt;0,INT(Fuelbeds_english!K103*2.54),F103)</f>
        <v>25</v>
      </c>
      <c r="L103" s="55" t="s">
        <v>390</v>
      </c>
      <c r="M103" s="36" t="s">
        <v>389</v>
      </c>
      <c r="N103" s="55" t="s">
        <v>156</v>
      </c>
      <c r="O103" s="43">
        <v>7.0918996296296299</v>
      </c>
      <c r="P103" s="45">
        <f>+IF(O103&gt;0,INT(Fuelbeds_english!P103*2.471),O103)</f>
        <v>83</v>
      </c>
      <c r="Q103" s="36">
        <f>+IF(O103&gt;0,INT(Fuelbeds_english!Q103*0.3048),O103)</f>
        <v>8</v>
      </c>
      <c r="R103" s="45">
        <f>+IF(O103&gt;0,INT(Fuelbeds_english!R103*0.3048),O103)</f>
        <v>3</v>
      </c>
      <c r="S103" s="45">
        <f>+IF(O103&gt;0,INT(Fuelbeds_english!S103*2.54),O103)</f>
        <v>14</v>
      </c>
      <c r="T103" s="55" t="s">
        <v>390</v>
      </c>
      <c r="U103" s="36" t="s">
        <v>389</v>
      </c>
      <c r="V103" s="55" t="s">
        <v>156</v>
      </c>
      <c r="W103" s="45">
        <v>-1</v>
      </c>
      <c r="X103" s="99">
        <v>-1</v>
      </c>
      <c r="Y103" s="29">
        <v>26.6097</v>
      </c>
      <c r="Z103" s="88" t="str">
        <f>+IF(Y103&gt;0,FIXED(Fuelbeds_english!Z103*0.3048,1,0),Y103)</f>
        <v>1.2</v>
      </c>
      <c r="AA103" s="36">
        <v>85</v>
      </c>
      <c r="AB103" s="50">
        <v>23571</v>
      </c>
      <c r="AC103" s="50" t="s">
        <v>161</v>
      </c>
      <c r="AD103" s="50">
        <v>100</v>
      </c>
      <c r="AE103" s="42">
        <v>60</v>
      </c>
      <c r="AF103" s="52" t="str">
        <f>+IF(AE103&gt;0,FIXED(Fuelbeds_english!AF103*0.3048,1,0),AE103)</f>
        <v>0.2</v>
      </c>
      <c r="AG103" s="45">
        <v>0</v>
      </c>
      <c r="AH103" s="52" t="str">
        <f>+IF(AE103&gt;0,FIXED(Fuelbeds_english!AH103*2.242,1,0),AE103)</f>
        <v>0.0</v>
      </c>
      <c r="AI103" s="36">
        <v>505272</v>
      </c>
      <c r="AJ103" s="43" t="s">
        <v>417</v>
      </c>
      <c r="AK103" s="36">
        <v>100</v>
      </c>
      <c r="AL103" s="34">
        <v>4</v>
      </c>
      <c r="AM103" s="52" t="str">
        <f>+IF(AL103&gt;0,FIXED(Fuelbeds_english!AM103*2.54,1,0),AL103)</f>
        <v>4.3</v>
      </c>
      <c r="AN103" s="52" t="str">
        <f>+IF($AM103&gt;0,FIXED(Fuelbeds_english!AN103*2.242,1,0),$AM103)</f>
        <v>0.2</v>
      </c>
      <c r="AO103" s="52" t="str">
        <f>+IF($AM103&gt;0,FIXED(Fuelbeds_english!AO103*2.242,1,0),$AM103)</f>
        <v>0.4</v>
      </c>
      <c r="AP103" s="52" t="str">
        <f>+IF($AM103&gt;0,FIXED(Fuelbeds_english!AP103*2.242,1,0),$AM103)</f>
        <v>0.6</v>
      </c>
      <c r="AQ103" s="52" t="str">
        <f>+IF($AM103&gt;0,FIXED(Fuelbeds_english!AQ103*2.242,1,0),$AM103)</f>
        <v>0.8</v>
      </c>
      <c r="AR103" s="55" t="s">
        <v>390</v>
      </c>
      <c r="AS103" s="36" t="s">
        <v>389</v>
      </c>
      <c r="AT103" s="55" t="s">
        <v>156</v>
      </c>
      <c r="AU103" s="44">
        <v>2</v>
      </c>
      <c r="AV103" s="52" t="str">
        <f>+IF(AU103&gt;0,FIXED(Fuelbeds_english!AV103*2.54,1,0),AU103)</f>
        <v>0.4</v>
      </c>
      <c r="AW103" s="88">
        <v>2</v>
      </c>
      <c r="AX103" s="88">
        <v>3</v>
      </c>
      <c r="AY103" s="52" t="str">
        <f>+IF(AX103&gt;0,FIXED(Fuelbeds_english!AY103*2.54,1,0),AX103)</f>
        <v>1.8</v>
      </c>
      <c r="AZ103" s="45">
        <v>2</v>
      </c>
      <c r="BA103" s="36">
        <v>56</v>
      </c>
      <c r="BB103" s="52" t="str">
        <f>+IF(BA103&gt;0,FIXED(Fuelbeds_english!BB103*2.54,1,0),BA103)</f>
        <v>2.5</v>
      </c>
      <c r="BC103" s="45">
        <v>20</v>
      </c>
      <c r="BD103" s="45">
        <v>-1</v>
      </c>
      <c r="BE103" s="45">
        <v>-1</v>
      </c>
      <c r="BF103" s="45">
        <v>20</v>
      </c>
      <c r="BG103" s="45">
        <v>-1</v>
      </c>
      <c r="BH103" s="45">
        <v>-1</v>
      </c>
      <c r="BI103" s="45">
        <v>60</v>
      </c>
      <c r="BJ103" s="28">
        <v>1</v>
      </c>
      <c r="BK103" s="67">
        <v>16.496849600000001</v>
      </c>
      <c r="BL103" s="52" t="str">
        <f>+IF(BK103&gt;0,FIXED(Fuelbeds_english!BL103*2.54,1,0),BK103)</f>
        <v>1.8</v>
      </c>
      <c r="BM103" s="45">
        <v>3</v>
      </c>
      <c r="BN103" s="67">
        <v>14.041961266666664</v>
      </c>
      <c r="BO103" s="52" t="str">
        <f>+IF(BN103&gt;0,FIXED(Fuelbeds_english!BO103*2.54,1,0),BN103)</f>
        <v>1.3</v>
      </c>
    </row>
    <row r="104" spans="1:67" s="50" customFormat="1" x14ac:dyDescent="0.25">
      <c r="A104" s="50">
        <v>103</v>
      </c>
      <c r="B104" s="36">
        <v>4028</v>
      </c>
      <c r="C104" s="46">
        <v>4028</v>
      </c>
      <c r="D104" s="45" t="s">
        <v>5</v>
      </c>
      <c r="E104" s="38" t="s">
        <v>432</v>
      </c>
      <c r="F104" s="39">
        <v>16.296800000000001</v>
      </c>
      <c r="G104" s="56">
        <v>16.296800000000001</v>
      </c>
      <c r="H104" s="45">
        <f>+IF(F104&gt;0,INT(Fuelbeds_english!H104*2.471),F104)</f>
        <v>31</v>
      </c>
      <c r="I104" s="36">
        <f>+IF(F104&gt;0,INT(Fuelbeds_english!I104*0.3048),F104)</f>
        <v>15</v>
      </c>
      <c r="J104" s="45">
        <f>+IF(F104&gt;0,INT(Fuelbeds_english!J104*0.3048),F104)</f>
        <v>9</v>
      </c>
      <c r="K104" s="45">
        <f>+IF(F104&gt;0,INT(Fuelbeds_english!K104*2.54),F104)</f>
        <v>30</v>
      </c>
      <c r="L104" s="36">
        <v>19478</v>
      </c>
      <c r="M104" s="36" t="s">
        <v>352</v>
      </c>
      <c r="N104" s="36">
        <v>100</v>
      </c>
      <c r="O104" s="43">
        <v>9.2799803134796246</v>
      </c>
      <c r="P104" s="45">
        <f>+IF(O104&gt;0,INT(Fuelbeds_english!P104*2.471),O104)</f>
        <v>47</v>
      </c>
      <c r="Q104" s="36">
        <f>+IF(O104&gt;0,INT(Fuelbeds_english!Q104*0.3048),O104)</f>
        <v>10</v>
      </c>
      <c r="R104" s="45">
        <f>+IF(O104&gt;0,INT(Fuelbeds_english!R104*0.3048),O104)</f>
        <v>5</v>
      </c>
      <c r="S104" s="45">
        <f>+IF(O104&gt;0,INT(Fuelbeds_english!S104*2.54),O104)</f>
        <v>16</v>
      </c>
      <c r="T104" s="36">
        <v>19478</v>
      </c>
      <c r="U104" s="36" t="s">
        <v>352</v>
      </c>
      <c r="V104" s="36">
        <v>100</v>
      </c>
      <c r="W104" s="45">
        <v>1</v>
      </c>
      <c r="X104" s="99">
        <v>2</v>
      </c>
      <c r="Y104" s="29">
        <v>23.703199999999995</v>
      </c>
      <c r="Z104" s="88" t="str">
        <f>+IF(Y104&gt;0,FIXED(Fuelbeds_english!Z104*0.3048,1,0),Y104)</f>
        <v>2.0</v>
      </c>
      <c r="AA104" s="36">
        <v>85</v>
      </c>
      <c r="AB104" s="50">
        <v>23571</v>
      </c>
      <c r="AC104" s="50" t="s">
        <v>161</v>
      </c>
      <c r="AD104" s="50">
        <v>100</v>
      </c>
      <c r="AE104" s="42">
        <v>60</v>
      </c>
      <c r="AF104" s="52" t="str">
        <f>+IF(AE104&gt;0,FIXED(Fuelbeds_english!AF104*0.3048,1,0),AE104)</f>
        <v>0.2</v>
      </c>
      <c r="AG104" s="45">
        <v>0</v>
      </c>
      <c r="AH104" s="52" t="str">
        <f>+IF(AE104&gt;0,FIXED(Fuelbeds_english!AH104*2.242,1,0),AE104)</f>
        <v>1.6</v>
      </c>
      <c r="AI104" s="45">
        <v>41088</v>
      </c>
      <c r="AJ104" s="45" t="s">
        <v>420</v>
      </c>
      <c r="AK104" s="45">
        <v>100</v>
      </c>
      <c r="AL104" s="34">
        <v>3</v>
      </c>
      <c r="AM104" s="52" t="str">
        <f>+IF(AL104&gt;0,FIXED(Fuelbeds_english!AM104*2.54,1,0),AL104)</f>
        <v>2.0</v>
      </c>
      <c r="AN104" s="52" t="str">
        <f>+IF($AM104&gt;0,FIXED(Fuelbeds_english!AN104*2.242,1,0),$AM104)</f>
        <v>0.2</v>
      </c>
      <c r="AO104" s="52" t="str">
        <f>+IF($AM104&gt;0,FIXED(Fuelbeds_english!AO104*2.242,1,0),$AM104)</f>
        <v>0.3</v>
      </c>
      <c r="AP104" s="52" t="str">
        <f>+IF($AM104&gt;0,FIXED(Fuelbeds_english!AP104*2.242,1,0),$AM104)</f>
        <v>0.6</v>
      </c>
      <c r="AQ104" s="52" t="str">
        <f>+IF($AM104&gt;0,FIXED(Fuelbeds_english!AQ104*2.242,1,0),$AM104)</f>
        <v>0.8</v>
      </c>
      <c r="AR104" s="36">
        <v>19478</v>
      </c>
      <c r="AS104" s="45" t="s">
        <v>352</v>
      </c>
      <c r="AT104" s="45">
        <v>100</v>
      </c>
      <c r="AU104" s="44">
        <v>-1</v>
      </c>
      <c r="AV104" s="52">
        <f>+IF(AU104&gt;0,FIXED(Fuelbeds_english!AV104*2.54,1,0),AU104)</f>
        <v>-1</v>
      </c>
      <c r="AW104" s="52">
        <v>-1</v>
      </c>
      <c r="AX104" s="52">
        <v>-1</v>
      </c>
      <c r="AY104" s="52">
        <f>+IF(AX104&gt;0,FIXED(Fuelbeds_english!AY104*2.54,1,0),AX104)</f>
        <v>-1</v>
      </c>
      <c r="AZ104" s="45">
        <v>2</v>
      </c>
      <c r="BA104" s="36">
        <v>57</v>
      </c>
      <c r="BB104" s="52" t="str">
        <f>+IF(BA104&gt;0,FIXED(Fuelbeds_english!BB104*2.54,1,0),BA104)</f>
        <v>2.0</v>
      </c>
      <c r="BC104" s="45">
        <v>-1</v>
      </c>
      <c r="BD104" s="45">
        <v>-1</v>
      </c>
      <c r="BE104" s="45">
        <v>-1</v>
      </c>
      <c r="BF104" s="45">
        <v>40</v>
      </c>
      <c r="BG104" s="45">
        <v>-1</v>
      </c>
      <c r="BH104" s="45">
        <v>-1</v>
      </c>
      <c r="BI104" s="45">
        <v>60</v>
      </c>
      <c r="BJ104" s="28">
        <v>1</v>
      </c>
      <c r="BK104" s="67">
        <v>14.669539917505363</v>
      </c>
      <c r="BL104" s="52" t="str">
        <f>+IF(BK104&gt;0,FIXED(Fuelbeds_english!BL104*2.54,1,0),BK104)</f>
        <v>1.5</v>
      </c>
      <c r="BM104" s="45">
        <v>3</v>
      </c>
      <c r="BN104" s="67">
        <v>11.73337334433262</v>
      </c>
      <c r="BO104" s="52" t="str">
        <f>+IF(BN104&gt;0,FIXED(Fuelbeds_english!BO104*2.54,1,0),BN104)</f>
        <v>0.8</v>
      </c>
    </row>
    <row r="105" spans="1:67" s="50" customFormat="1" x14ac:dyDescent="0.25">
      <c r="A105" s="50">
        <v>104</v>
      </c>
      <c r="B105" s="51" t="s">
        <v>520</v>
      </c>
      <c r="C105" s="52">
        <v>914030</v>
      </c>
      <c r="D105" s="45" t="s">
        <v>5</v>
      </c>
      <c r="E105" s="39" t="s">
        <v>461</v>
      </c>
      <c r="F105" s="39">
        <v>9.5755999999999997</v>
      </c>
      <c r="G105" s="56">
        <v>9.5755999999999997</v>
      </c>
      <c r="H105" s="45">
        <f>+IF(F105&gt;0,INT(Fuelbeds_english!H105*2.471),F105)</f>
        <v>18</v>
      </c>
      <c r="I105" s="36">
        <f>+IF(F105&gt;0,INT(Fuelbeds_english!I105*0.3048),F105)</f>
        <v>13</v>
      </c>
      <c r="J105" s="45">
        <f>+IF(F105&gt;0,INT(Fuelbeds_english!J105*0.3048),F105)</f>
        <v>7</v>
      </c>
      <c r="K105" s="45">
        <f>+IF(F105&gt;0,INT(Fuelbeds_english!K105*2.54),F105)</f>
        <v>26</v>
      </c>
      <c r="L105" s="36">
        <v>19478</v>
      </c>
      <c r="M105" s="36" t="s">
        <v>352</v>
      </c>
      <c r="N105" s="36">
        <v>100</v>
      </c>
      <c r="O105" s="43">
        <v>5.4526888401253917</v>
      </c>
      <c r="P105" s="45">
        <f>+IF(O105&gt;0,INT(Fuelbeds_english!P105*2.471),O105)</f>
        <v>27</v>
      </c>
      <c r="Q105" s="36">
        <f>+IF(O105&gt;0,INT(Fuelbeds_english!Q105*0.3048),O105)</f>
        <v>8</v>
      </c>
      <c r="R105" s="45">
        <f>+IF(O105&gt;0,INT(Fuelbeds_english!R105*0.3048),O105)</f>
        <v>4</v>
      </c>
      <c r="S105" s="45">
        <f>+IF(O105&gt;0,INT(Fuelbeds_english!S105*2.54),O105)</f>
        <v>13</v>
      </c>
      <c r="T105" s="36">
        <v>19478</v>
      </c>
      <c r="U105" s="36" t="s">
        <v>352</v>
      </c>
      <c r="V105" s="36">
        <v>100</v>
      </c>
      <c r="W105" s="45">
        <v>1</v>
      </c>
      <c r="X105" s="99">
        <v>2</v>
      </c>
      <c r="Y105" s="29">
        <v>60.424400000000006</v>
      </c>
      <c r="Z105" s="88" t="str">
        <f>+IF(Y105&gt;0,FIXED(Fuelbeds_english!Z105*0.3048,1,0),Y105)</f>
        <v>2.0</v>
      </c>
      <c r="AA105" s="36">
        <v>85</v>
      </c>
      <c r="AB105" s="50">
        <v>23571</v>
      </c>
      <c r="AC105" s="50" t="s">
        <v>161</v>
      </c>
      <c r="AD105" s="50">
        <v>100</v>
      </c>
      <c r="AE105" s="42">
        <v>30</v>
      </c>
      <c r="AF105" s="52" t="str">
        <f>+IF(AE105&gt;0,FIXED(Fuelbeds_english!AF105*0.3048,1,0),AE105)</f>
        <v>0.2</v>
      </c>
      <c r="AG105" s="45">
        <v>0</v>
      </c>
      <c r="AH105" s="52" t="str">
        <f>+IF(AE105&gt;0,FIXED(Fuelbeds_english!AH105*2.242,1,0),AE105)</f>
        <v>0.1</v>
      </c>
      <c r="AI105" s="45">
        <v>42236</v>
      </c>
      <c r="AJ105" s="45" t="s">
        <v>207</v>
      </c>
      <c r="AK105" s="45">
        <v>100</v>
      </c>
      <c r="AL105" s="34">
        <v>2</v>
      </c>
      <c r="AM105" s="52" t="str">
        <f>+IF(AL105&gt;0,FIXED(Fuelbeds_english!AM105*2.54,1,0),AL105)</f>
        <v>2.0</v>
      </c>
      <c r="AN105" s="52" t="str">
        <f>+IF($AM105&gt;0,FIXED(Fuelbeds_english!AN105*2.242,1,0),$AM105)</f>
        <v>0.1</v>
      </c>
      <c r="AO105" s="52" t="str">
        <f>+IF($AM105&gt;0,FIXED(Fuelbeds_english!AO105*2.242,1,0),$AM105)</f>
        <v>0.2</v>
      </c>
      <c r="AP105" s="52" t="str">
        <f>+IF($AM105&gt;0,FIXED(Fuelbeds_english!AP105*2.242,1,0),$AM105)</f>
        <v>0.4</v>
      </c>
      <c r="AQ105" s="52" t="str">
        <f>+IF($AM105&gt;0,FIXED(Fuelbeds_english!AQ105*2.242,1,0),$AM105)</f>
        <v>0.4</v>
      </c>
      <c r="AR105" s="36">
        <v>19478</v>
      </c>
      <c r="AS105" s="45" t="s">
        <v>352</v>
      </c>
      <c r="AT105" s="45">
        <v>100</v>
      </c>
      <c r="AU105" s="44">
        <v>-1</v>
      </c>
      <c r="AV105" s="52">
        <f>+IF(AU105&gt;0,FIXED(Fuelbeds_english!AV105*2.54,1,0),AU105)</f>
        <v>-1</v>
      </c>
      <c r="AW105" s="52">
        <v>-1</v>
      </c>
      <c r="AX105" s="52">
        <v>-1</v>
      </c>
      <c r="AY105" s="52">
        <f>+IF(AX105&gt;0,FIXED(Fuelbeds_english!AY105*2.54,1,0),AX105)</f>
        <v>-1</v>
      </c>
      <c r="AZ105" s="45">
        <v>1</v>
      </c>
      <c r="BA105" s="36">
        <v>30</v>
      </c>
      <c r="BB105" s="52" t="str">
        <f>+IF(BA105&gt;0,FIXED(Fuelbeds_english!BB105*2.54,1,0),BA105)</f>
        <v>2.0</v>
      </c>
      <c r="BC105" s="45">
        <v>-1</v>
      </c>
      <c r="BD105" s="45">
        <v>-1</v>
      </c>
      <c r="BE105" s="45">
        <v>-1</v>
      </c>
      <c r="BF105" s="45">
        <v>70</v>
      </c>
      <c r="BG105" s="45">
        <v>-1</v>
      </c>
      <c r="BH105" s="45">
        <v>-1</v>
      </c>
      <c r="BI105" s="45">
        <v>30</v>
      </c>
      <c r="BJ105" s="28">
        <v>1</v>
      </c>
      <c r="BK105" s="67">
        <v>8.6194618841775288</v>
      </c>
      <c r="BL105" s="52" t="str">
        <f>+IF(BK105&gt;0,FIXED(Fuelbeds_english!BL105*2.54,1,0),BK105)</f>
        <v>1.5</v>
      </c>
      <c r="BM105" s="45">
        <v>3</v>
      </c>
      <c r="BN105" s="67">
        <v>6.8942424154429958</v>
      </c>
      <c r="BO105" s="52" t="str">
        <f>+IF(BN105&gt;0,FIXED(Fuelbeds_english!BO105*2.54,1,0),BN105)</f>
        <v>0.8</v>
      </c>
    </row>
    <row r="106" spans="1:67" s="50" customFormat="1" x14ac:dyDescent="0.25">
      <c r="A106" s="50">
        <v>105</v>
      </c>
      <c r="B106" s="51" t="s">
        <v>521</v>
      </c>
      <c r="C106" s="52">
        <v>924030</v>
      </c>
      <c r="D106" s="45" t="s">
        <v>5</v>
      </c>
      <c r="E106" s="39" t="s">
        <v>461</v>
      </c>
      <c r="F106" s="39">
        <v>52.286299999999997</v>
      </c>
      <c r="G106" s="56">
        <v>52.286299999999997</v>
      </c>
      <c r="H106" s="45">
        <f>+IF(F106&gt;0,INT(Fuelbeds_english!H106*2.471),F106)</f>
        <v>100</v>
      </c>
      <c r="I106" s="36">
        <f>+IF(F106&gt;0,INT(Fuelbeds_english!I106*0.3048),F106)</f>
        <v>25</v>
      </c>
      <c r="J106" s="45">
        <f>+IF(F106&gt;0,INT(Fuelbeds_english!J106*0.3048),F106)</f>
        <v>15</v>
      </c>
      <c r="K106" s="45">
        <f>+IF(F106&gt;0,INT(Fuelbeds_english!K106*2.54),F106)</f>
        <v>49</v>
      </c>
      <c r="L106" s="36">
        <v>19478</v>
      </c>
      <c r="M106" s="36" t="s">
        <v>352</v>
      </c>
      <c r="N106" s="36">
        <v>100</v>
      </c>
      <c r="O106" s="43">
        <v>29.773687758620689</v>
      </c>
      <c r="P106" s="45">
        <f>+IF(O106&gt;0,INT(Fuelbeds_english!P106*2.471),O106)</f>
        <v>152</v>
      </c>
      <c r="Q106" s="36">
        <f>+IF(O106&gt;0,INT(Fuelbeds_english!Q106*0.3048),O106)</f>
        <v>16</v>
      </c>
      <c r="R106" s="45">
        <f>+IF(O106&gt;0,INT(Fuelbeds_english!R106*0.3048),O106)</f>
        <v>9</v>
      </c>
      <c r="S106" s="45">
        <f>+IF(O106&gt;0,INT(Fuelbeds_english!S106*2.54),O106)</f>
        <v>26</v>
      </c>
      <c r="T106" s="36">
        <v>19478</v>
      </c>
      <c r="U106" s="36" t="s">
        <v>352</v>
      </c>
      <c r="V106" s="36">
        <v>100</v>
      </c>
      <c r="W106" s="45">
        <v>1</v>
      </c>
      <c r="X106" s="99">
        <v>2</v>
      </c>
      <c r="Y106" s="29">
        <v>17.713700000000003</v>
      </c>
      <c r="Z106" s="88" t="str">
        <f>+IF(Y106&gt;0,FIXED(Fuelbeds_english!Z106*0.3048,1,0),Y106)</f>
        <v>2.0</v>
      </c>
      <c r="AA106" s="36">
        <v>85</v>
      </c>
      <c r="AB106" s="50">
        <v>23571</v>
      </c>
      <c r="AC106" s="50" t="s">
        <v>161</v>
      </c>
      <c r="AD106" s="50">
        <v>100</v>
      </c>
      <c r="AE106" s="42">
        <v>30</v>
      </c>
      <c r="AF106" s="52" t="str">
        <f>+IF(AE106&gt;0,FIXED(Fuelbeds_english!AF106*0.3048,1,0),AE106)</f>
        <v>0.2</v>
      </c>
      <c r="AG106" s="45">
        <v>0</v>
      </c>
      <c r="AH106" s="52" t="str">
        <f>+IF(AE106&gt;0,FIXED(Fuelbeds_english!AH106*2.242,1,0),AE106)</f>
        <v>0.1</v>
      </c>
      <c r="AI106" s="45">
        <v>42236</v>
      </c>
      <c r="AJ106" s="45" t="s">
        <v>207</v>
      </c>
      <c r="AK106" s="45">
        <v>100</v>
      </c>
      <c r="AL106" s="34">
        <v>11</v>
      </c>
      <c r="AM106" s="52" t="str">
        <f>+IF(AL106&gt;0,FIXED(Fuelbeds_english!AM106*2.54,1,0),AL106)</f>
        <v>2.0</v>
      </c>
      <c r="AN106" s="52" t="str">
        <f>+IF($AM106&gt;0,FIXED(Fuelbeds_english!AN106*2.242,1,0),$AM106)</f>
        <v>0.6</v>
      </c>
      <c r="AO106" s="52" t="str">
        <f>+IF($AM106&gt;0,FIXED(Fuelbeds_english!AO106*2.242,1,0),$AM106)</f>
        <v>1.0</v>
      </c>
      <c r="AP106" s="52" t="str">
        <f>+IF($AM106&gt;0,FIXED(Fuelbeds_english!AP106*2.242,1,0),$AM106)</f>
        <v>2.0</v>
      </c>
      <c r="AQ106" s="52" t="str">
        <f>+IF($AM106&gt;0,FIXED(Fuelbeds_english!AQ106*2.242,1,0),$AM106)</f>
        <v>2.4</v>
      </c>
      <c r="AR106" s="36">
        <v>19478</v>
      </c>
      <c r="AS106" s="45" t="s">
        <v>352</v>
      </c>
      <c r="AT106" s="45">
        <v>100</v>
      </c>
      <c r="AU106" s="44">
        <v>-1</v>
      </c>
      <c r="AV106" s="52">
        <f>+IF(AU106&gt;0,FIXED(Fuelbeds_english!AV106*2.54,1,0),AU106)</f>
        <v>-1</v>
      </c>
      <c r="AW106" s="52">
        <v>-1</v>
      </c>
      <c r="AX106" s="52">
        <v>-1</v>
      </c>
      <c r="AY106" s="52">
        <f>+IF(AX106&gt;0,FIXED(Fuelbeds_english!AY106*2.54,1,0),AX106)</f>
        <v>-1</v>
      </c>
      <c r="AZ106" s="45">
        <v>1</v>
      </c>
      <c r="BA106" s="36">
        <v>76</v>
      </c>
      <c r="BB106" s="52" t="str">
        <f>+IF(BA106&gt;0,FIXED(Fuelbeds_english!BB106*2.54,1,0),BA106)</f>
        <v>2.0</v>
      </c>
      <c r="BC106" s="45">
        <v>-1</v>
      </c>
      <c r="BD106" s="45">
        <v>-1</v>
      </c>
      <c r="BE106" s="45">
        <v>-1</v>
      </c>
      <c r="BF106" s="45">
        <v>70</v>
      </c>
      <c r="BG106" s="45">
        <v>-1</v>
      </c>
      <c r="BH106" s="45">
        <v>-1</v>
      </c>
      <c r="BI106" s="45">
        <v>30</v>
      </c>
      <c r="BJ106" s="28">
        <v>1</v>
      </c>
      <c r="BK106" s="67">
        <v>47.065434010889291</v>
      </c>
      <c r="BL106" s="52" t="str">
        <f>+IF(BK106&gt;0,FIXED(Fuelbeds_english!BL106*2.54,1,0),BK106)</f>
        <v>1.5</v>
      </c>
      <c r="BM106" s="45">
        <v>3</v>
      </c>
      <c r="BN106" s="67">
        <v>37.645100798548093</v>
      </c>
      <c r="BO106" s="52" t="str">
        <f>+IF(BN106&gt;0,FIXED(Fuelbeds_english!BO106*2.54,1,0),BN106)</f>
        <v>0.8</v>
      </c>
    </row>
    <row r="107" spans="1:67" s="50" customFormat="1" x14ac:dyDescent="0.25">
      <c r="A107" s="50">
        <v>106</v>
      </c>
      <c r="B107" s="51" t="s">
        <v>518</v>
      </c>
      <c r="C107" s="68">
        <v>914031</v>
      </c>
      <c r="D107" s="45" t="s">
        <v>5</v>
      </c>
      <c r="E107" s="39" t="s">
        <v>460</v>
      </c>
      <c r="F107" s="39">
        <v>19.398800000000001</v>
      </c>
      <c r="G107" s="56">
        <v>19.398800000000001</v>
      </c>
      <c r="H107" s="45">
        <f>+IF(F107&gt;0,INT(Fuelbeds_english!H107*2.471),F107)</f>
        <v>37</v>
      </c>
      <c r="I107" s="36">
        <f>+IF(F107&gt;0,INT(Fuelbeds_english!I107*0.3048),F107)</f>
        <v>16</v>
      </c>
      <c r="J107" s="45">
        <f>+IF(F107&gt;0,INT(Fuelbeds_english!J107*0.3048),F107)</f>
        <v>9</v>
      </c>
      <c r="K107" s="45">
        <f>+IF(F107&gt;0,INT(Fuelbeds_english!K107*2.54),F107)</f>
        <v>32</v>
      </c>
      <c r="L107" s="36">
        <v>19478</v>
      </c>
      <c r="M107" s="36" t="s">
        <v>352</v>
      </c>
      <c r="N107" s="36">
        <v>100</v>
      </c>
      <c r="O107" s="43">
        <v>11.046369968652039</v>
      </c>
      <c r="P107" s="45">
        <f>+IF(O107&gt;0,INT(Fuelbeds_english!P107*2.471),O107)</f>
        <v>56</v>
      </c>
      <c r="Q107" s="36">
        <f>+IF(O107&gt;0,INT(Fuelbeds_english!Q107*0.3048),O107)</f>
        <v>10</v>
      </c>
      <c r="R107" s="45">
        <f>+IF(O107&gt;0,INT(Fuelbeds_english!R107*0.3048),O107)</f>
        <v>6</v>
      </c>
      <c r="S107" s="45">
        <f>+IF(O107&gt;0,INT(Fuelbeds_english!S107*2.54),O107)</f>
        <v>17</v>
      </c>
      <c r="T107" s="36">
        <v>19478</v>
      </c>
      <c r="U107" s="36" t="s">
        <v>352</v>
      </c>
      <c r="V107" s="36">
        <v>100</v>
      </c>
      <c r="W107" s="45">
        <v>1</v>
      </c>
      <c r="X107" s="99">
        <v>2</v>
      </c>
      <c r="Y107" s="29">
        <v>50.601200000000006</v>
      </c>
      <c r="Z107" s="88" t="str">
        <f>+IF(Y107&gt;0,FIXED(Fuelbeds_english!Z107*0.3048,1,0),Y107)</f>
        <v>2.0</v>
      </c>
      <c r="AA107" s="36">
        <v>85</v>
      </c>
      <c r="AB107" s="50">
        <v>23571</v>
      </c>
      <c r="AC107" s="50" t="s">
        <v>161</v>
      </c>
      <c r="AD107" s="50">
        <v>100</v>
      </c>
      <c r="AE107" s="42">
        <v>30</v>
      </c>
      <c r="AF107" s="52" t="str">
        <f>+IF(AE107&gt;0,FIXED(Fuelbeds_english!AF107*0.3048,1,0),AE107)</f>
        <v>0.2</v>
      </c>
      <c r="AG107" s="45">
        <v>0</v>
      </c>
      <c r="AH107" s="52" t="str">
        <f>+IF(AE107&gt;0,FIXED(Fuelbeds_english!AH107*2.242,1,0),AE107)</f>
        <v>0.9</v>
      </c>
      <c r="AI107" s="45">
        <v>41976</v>
      </c>
      <c r="AJ107" s="45" t="s">
        <v>209</v>
      </c>
      <c r="AK107" s="45">
        <v>100</v>
      </c>
      <c r="AL107" s="34">
        <v>4</v>
      </c>
      <c r="AM107" s="52" t="str">
        <f>+IF(AL107&gt;0,FIXED(Fuelbeds_english!AM107*2.54,1,0),AL107)</f>
        <v>2.0</v>
      </c>
      <c r="AN107" s="52" t="str">
        <f>+IF($AM107&gt;0,FIXED(Fuelbeds_english!AN107*2.242,1,0),$AM107)</f>
        <v>0.2</v>
      </c>
      <c r="AO107" s="52" t="str">
        <f>+IF($AM107&gt;0,FIXED(Fuelbeds_english!AO107*2.242,1,0),$AM107)</f>
        <v>0.4</v>
      </c>
      <c r="AP107" s="52" t="str">
        <f>+IF($AM107&gt;0,FIXED(Fuelbeds_english!AP107*2.242,1,0),$AM107)</f>
        <v>0.8</v>
      </c>
      <c r="AQ107" s="52" t="str">
        <f>+IF($AM107&gt;0,FIXED(Fuelbeds_english!AQ107*2.242,1,0),$AM107)</f>
        <v>0.9</v>
      </c>
      <c r="AR107" s="36">
        <v>19478</v>
      </c>
      <c r="AS107" s="45" t="s">
        <v>352</v>
      </c>
      <c r="AT107" s="45">
        <v>100</v>
      </c>
      <c r="AU107" s="44">
        <v>-1</v>
      </c>
      <c r="AV107" s="52">
        <f>+IF(AU107&gt;0,FIXED(Fuelbeds_english!AV107*2.54,1,0),AU107)</f>
        <v>-1</v>
      </c>
      <c r="AW107" s="52">
        <v>-1</v>
      </c>
      <c r="AX107" s="52">
        <v>-1</v>
      </c>
      <c r="AY107" s="52">
        <f>+IF(AX107&gt;0,FIXED(Fuelbeds_english!AY107*2.54,1,0),AX107)</f>
        <v>-1</v>
      </c>
      <c r="AZ107" s="45">
        <v>1</v>
      </c>
      <c r="BA107" s="36">
        <v>40.021993537496989</v>
      </c>
      <c r="BB107" s="52" t="str">
        <f>+IF(BA107&gt;0,FIXED(Fuelbeds_english!BB107*2.54,1,0),BA107)</f>
        <v>2.0</v>
      </c>
      <c r="BC107" s="45">
        <v>-1</v>
      </c>
      <c r="BD107" s="45">
        <v>-1</v>
      </c>
      <c r="BE107" s="45">
        <v>-1</v>
      </c>
      <c r="BF107" s="45">
        <v>70</v>
      </c>
      <c r="BG107" s="45">
        <v>-1</v>
      </c>
      <c r="BH107" s="45">
        <v>-1</v>
      </c>
      <c r="BI107" s="45">
        <v>30</v>
      </c>
      <c r="BJ107" s="28">
        <v>1</v>
      </c>
      <c r="BK107" s="67">
        <v>17.461800534565253</v>
      </c>
      <c r="BL107" s="52" t="str">
        <f>+IF(BK107&gt;0,FIXED(Fuelbeds_english!BL107*2.54,1,0),BK107)</f>
        <v>1.5</v>
      </c>
      <c r="BM107" s="45">
        <v>3</v>
      </c>
      <c r="BN107" s="67">
        <v>13.966751928724635</v>
      </c>
      <c r="BO107" s="52" t="str">
        <f>+IF(BN107&gt;0,FIXED(Fuelbeds_english!BO107*2.54,1,0),BN107)</f>
        <v>0.8</v>
      </c>
    </row>
    <row r="108" spans="1:67" s="50" customFormat="1" x14ac:dyDescent="0.25">
      <c r="A108" s="50">
        <v>107</v>
      </c>
      <c r="B108" s="51" t="s">
        <v>519</v>
      </c>
      <c r="C108" s="68">
        <v>924031</v>
      </c>
      <c r="D108" s="45" t="s">
        <v>5</v>
      </c>
      <c r="E108" s="39" t="s">
        <v>460</v>
      </c>
      <c r="F108" s="39">
        <v>52.286299999999997</v>
      </c>
      <c r="G108" s="56">
        <v>52.286299999999997</v>
      </c>
      <c r="H108" s="45">
        <f>+IF(F108&gt;0,INT(Fuelbeds_english!H108*2.471),F108)</f>
        <v>100</v>
      </c>
      <c r="I108" s="36">
        <f>+IF(F108&gt;0,INT(Fuelbeds_english!I108*0.3048),F108)</f>
        <v>26</v>
      </c>
      <c r="J108" s="45">
        <f>+IF(F108&gt;0,INT(Fuelbeds_english!J108*0.3048),F108)</f>
        <v>15</v>
      </c>
      <c r="K108" s="45">
        <f>+IF(F108&gt;0,INT(Fuelbeds_english!K108*2.54),F108)</f>
        <v>51</v>
      </c>
      <c r="L108" s="36">
        <v>19478</v>
      </c>
      <c r="M108" s="36" t="s">
        <v>352</v>
      </c>
      <c r="N108" s="36">
        <v>100</v>
      </c>
      <c r="O108" s="43">
        <v>29.773687758620689</v>
      </c>
      <c r="P108" s="45">
        <f>+IF(O108&gt;0,INT(Fuelbeds_english!P108*2.471),O108)</f>
        <v>152</v>
      </c>
      <c r="Q108" s="36">
        <f>+IF(O108&gt;0,INT(Fuelbeds_english!Q108*0.3048),O108)</f>
        <v>16</v>
      </c>
      <c r="R108" s="45">
        <f>+IF(O108&gt;0,INT(Fuelbeds_english!R108*0.3048),O108)</f>
        <v>9</v>
      </c>
      <c r="S108" s="45">
        <f>+IF(O108&gt;0,INT(Fuelbeds_english!S108*2.54),O108)</f>
        <v>27</v>
      </c>
      <c r="T108" s="36">
        <v>19478</v>
      </c>
      <c r="U108" s="36" t="s">
        <v>352</v>
      </c>
      <c r="V108" s="36">
        <v>100</v>
      </c>
      <c r="W108" s="45">
        <v>1</v>
      </c>
      <c r="X108" s="99">
        <v>2</v>
      </c>
      <c r="Y108" s="29">
        <v>17.713700000000003</v>
      </c>
      <c r="Z108" s="88" t="str">
        <f>+IF(Y108&gt;0,FIXED(Fuelbeds_english!Z108*0.3048,1,0),Y108)</f>
        <v>2.0</v>
      </c>
      <c r="AA108" s="36">
        <v>85</v>
      </c>
      <c r="AB108" s="50">
        <v>23571</v>
      </c>
      <c r="AC108" s="50" t="s">
        <v>161</v>
      </c>
      <c r="AD108" s="50">
        <v>100</v>
      </c>
      <c r="AE108" s="42">
        <v>30</v>
      </c>
      <c r="AF108" s="52" t="str">
        <f>+IF(AE108&gt;0,FIXED(Fuelbeds_english!AF108*0.3048,1,0),AE108)</f>
        <v>0.2</v>
      </c>
      <c r="AG108" s="45">
        <v>0</v>
      </c>
      <c r="AH108" s="52" t="str">
        <f>+IF(AE108&gt;0,FIXED(Fuelbeds_english!AH108*2.242,1,0),AE108)</f>
        <v>0.9</v>
      </c>
      <c r="AI108" s="45">
        <v>41976</v>
      </c>
      <c r="AJ108" s="45" t="s">
        <v>209</v>
      </c>
      <c r="AK108" s="45">
        <v>100</v>
      </c>
      <c r="AL108" s="34">
        <v>11</v>
      </c>
      <c r="AM108" s="52" t="str">
        <f>+IF(AL108&gt;0,FIXED(Fuelbeds_english!AM108*2.54,1,0),AL108)</f>
        <v>2.0</v>
      </c>
      <c r="AN108" s="52" t="str">
        <f>+IF($AM108&gt;0,FIXED(Fuelbeds_english!AN108*2.242,1,0),$AM108)</f>
        <v>0.6</v>
      </c>
      <c r="AO108" s="52" t="str">
        <f>+IF($AM108&gt;0,FIXED(Fuelbeds_english!AO108*2.242,1,0),$AM108)</f>
        <v>1.0</v>
      </c>
      <c r="AP108" s="52" t="str">
        <f>+IF($AM108&gt;0,FIXED(Fuelbeds_english!AP108*2.242,1,0),$AM108)</f>
        <v>2.0</v>
      </c>
      <c r="AQ108" s="52" t="str">
        <f>+IF($AM108&gt;0,FIXED(Fuelbeds_english!AQ108*2.242,1,0),$AM108)</f>
        <v>2.4</v>
      </c>
      <c r="AR108" s="36">
        <v>19478</v>
      </c>
      <c r="AS108" s="45" t="s">
        <v>352</v>
      </c>
      <c r="AT108" s="45">
        <v>100</v>
      </c>
      <c r="AU108" s="44">
        <v>-1</v>
      </c>
      <c r="AV108" s="52">
        <f>+IF(AU108&gt;0,FIXED(Fuelbeds_english!AV108*2.54,1,0),AU108)</f>
        <v>-1</v>
      </c>
      <c r="AW108" s="52">
        <v>-1</v>
      </c>
      <c r="AX108" s="52">
        <v>-1</v>
      </c>
      <c r="AY108" s="52">
        <f>+IF(AX108&gt;0,FIXED(Fuelbeds_english!AY108*2.54,1,0),AX108)</f>
        <v>-1</v>
      </c>
      <c r="AZ108" s="45">
        <v>1</v>
      </c>
      <c r="BA108" s="36">
        <v>76</v>
      </c>
      <c r="BB108" s="52" t="str">
        <f>+IF(BA108&gt;0,FIXED(Fuelbeds_english!BB108*2.54,1,0),BA108)</f>
        <v>2.0</v>
      </c>
      <c r="BC108" s="45">
        <v>-1</v>
      </c>
      <c r="BD108" s="45">
        <v>-1</v>
      </c>
      <c r="BE108" s="45">
        <v>-1</v>
      </c>
      <c r="BF108" s="45">
        <v>70</v>
      </c>
      <c r="BG108" s="45">
        <v>-1</v>
      </c>
      <c r="BH108" s="45">
        <v>-1</v>
      </c>
      <c r="BI108" s="45">
        <v>30</v>
      </c>
      <c r="BJ108" s="28">
        <v>1</v>
      </c>
      <c r="BK108" s="67">
        <v>47.065434010889291</v>
      </c>
      <c r="BL108" s="52" t="str">
        <f>+IF(BK108&gt;0,FIXED(Fuelbeds_english!BL108*2.54,1,0),BK108)</f>
        <v>1.5</v>
      </c>
      <c r="BM108" s="45">
        <v>3</v>
      </c>
      <c r="BN108" s="67">
        <v>37.645100798548093</v>
      </c>
      <c r="BO108" s="52" t="str">
        <f>+IF(BN108&gt;0,FIXED(Fuelbeds_english!BO108*2.54,1,0),BN108)</f>
        <v>0.8</v>
      </c>
    </row>
    <row r="109" spans="1:67" s="50" customFormat="1" x14ac:dyDescent="0.25">
      <c r="A109" s="50">
        <v>108</v>
      </c>
      <c r="B109" s="52">
        <v>4032</v>
      </c>
      <c r="C109" s="68">
        <v>4032</v>
      </c>
      <c r="D109" s="45" t="s">
        <v>5</v>
      </c>
      <c r="E109" s="39" t="s">
        <v>462</v>
      </c>
      <c r="F109" s="39">
        <v>13.017300000000001</v>
      </c>
      <c r="G109" s="56">
        <v>13.017300000000001</v>
      </c>
      <c r="H109" s="45">
        <f>+IF(F109&gt;0,INT(Fuelbeds_english!H109*2.471),F109)</f>
        <v>25</v>
      </c>
      <c r="I109" s="36">
        <f>+IF(F109&gt;0,INT(Fuelbeds_english!I109*0.3048),F109)</f>
        <v>13</v>
      </c>
      <c r="J109" s="45">
        <f>+IF(F109&gt;0,INT(Fuelbeds_english!J109*0.3048),F109)</f>
        <v>8</v>
      </c>
      <c r="K109" s="45">
        <f>+IF(F109&gt;0,INT(Fuelbeds_english!K109*2.54),F109)</f>
        <v>26</v>
      </c>
      <c r="L109" s="36">
        <v>19478</v>
      </c>
      <c r="M109" s="36" t="s">
        <v>352</v>
      </c>
      <c r="N109" s="36">
        <v>100</v>
      </c>
      <c r="O109" s="43">
        <v>7.4125158150470227</v>
      </c>
      <c r="P109" s="45">
        <f>+IF(O109&gt;0,INT(Fuelbeds_english!P109*2.471),O109)</f>
        <v>37</v>
      </c>
      <c r="Q109" s="36">
        <f>+IF(O109&gt;0,INT(Fuelbeds_english!Q109*0.3048),O109)</f>
        <v>8</v>
      </c>
      <c r="R109" s="45">
        <f>+IF(O109&gt;0,INT(Fuelbeds_english!R109*0.3048),O109)</f>
        <v>4</v>
      </c>
      <c r="S109" s="45">
        <f>+IF(O109&gt;0,INT(Fuelbeds_english!S109*2.54),O109)</f>
        <v>14</v>
      </c>
      <c r="T109" s="36">
        <v>19478</v>
      </c>
      <c r="U109" s="36" t="s">
        <v>352</v>
      </c>
      <c r="V109" s="36">
        <v>100</v>
      </c>
      <c r="W109" s="45">
        <v>1</v>
      </c>
      <c r="X109" s="99">
        <v>2</v>
      </c>
      <c r="Y109" s="29">
        <v>56.982699999999994</v>
      </c>
      <c r="Z109" s="88" t="str">
        <f>+IF(Y109&gt;0,FIXED(Fuelbeds_english!Z109*0.3048,1,0),Y109)</f>
        <v>2.0</v>
      </c>
      <c r="AA109" s="36">
        <v>85</v>
      </c>
      <c r="AB109" s="50">
        <v>23571</v>
      </c>
      <c r="AC109" s="50" t="s">
        <v>161</v>
      </c>
      <c r="AD109" s="50">
        <v>100</v>
      </c>
      <c r="AE109" s="42">
        <v>30</v>
      </c>
      <c r="AF109" s="52" t="str">
        <f>+IF(AE109&gt;0,FIXED(Fuelbeds_english!AF109*0.3048,1,0),AE109)</f>
        <v>0.2</v>
      </c>
      <c r="AG109" s="45">
        <v>0</v>
      </c>
      <c r="AH109" s="52" t="str">
        <f>+IF(AE109&gt;0,FIXED(Fuelbeds_english!AH109*2.242,1,0),AE109)</f>
        <v>0.3</v>
      </c>
      <c r="AI109" s="45">
        <v>42269</v>
      </c>
      <c r="AJ109" s="45" t="s">
        <v>206</v>
      </c>
      <c r="AK109" s="45">
        <v>100</v>
      </c>
      <c r="AL109" s="34">
        <v>3</v>
      </c>
      <c r="AM109" s="52" t="str">
        <f>+IF(AL109&gt;0,FIXED(Fuelbeds_english!AM109*2.54,1,0),AL109)</f>
        <v>2.0</v>
      </c>
      <c r="AN109" s="52" t="str">
        <f>+IF($AM109&gt;0,FIXED(Fuelbeds_english!AN109*2.242,1,0),$AM109)</f>
        <v>0.2</v>
      </c>
      <c r="AO109" s="52" t="str">
        <f>+IF($AM109&gt;0,FIXED(Fuelbeds_english!AO109*2.242,1,0),$AM109)</f>
        <v>0.3</v>
      </c>
      <c r="AP109" s="52" t="str">
        <f>+IF($AM109&gt;0,FIXED(Fuelbeds_english!AP109*2.242,1,0),$AM109)</f>
        <v>0.5</v>
      </c>
      <c r="AQ109" s="52" t="str">
        <f>+IF($AM109&gt;0,FIXED(Fuelbeds_english!AQ109*2.242,1,0),$AM109)</f>
        <v>0.6</v>
      </c>
      <c r="AR109" s="36">
        <v>19478</v>
      </c>
      <c r="AS109" s="45" t="s">
        <v>352</v>
      </c>
      <c r="AT109" s="45">
        <v>100</v>
      </c>
      <c r="AU109" s="44">
        <v>-1</v>
      </c>
      <c r="AV109" s="52">
        <f>+IF(AU109&gt;0,FIXED(Fuelbeds_english!AV109*2.54,1,0),AU109)</f>
        <v>-1</v>
      </c>
      <c r="AW109" s="52">
        <v>-1</v>
      </c>
      <c r="AX109" s="52">
        <v>-1</v>
      </c>
      <c r="AY109" s="52">
        <f>+IF(AX109&gt;0,FIXED(Fuelbeds_english!AY109*2.54,1,0),AX109)</f>
        <v>-1</v>
      </c>
      <c r="AZ109" s="45">
        <v>1</v>
      </c>
      <c r="BA109" s="36">
        <v>33</v>
      </c>
      <c r="BB109" s="52" t="str">
        <f>+IF(BA109&gt;0,FIXED(Fuelbeds_english!BB109*2.54,1,0),BA109)</f>
        <v>2.0</v>
      </c>
      <c r="BC109" s="45">
        <v>-1</v>
      </c>
      <c r="BD109" s="45">
        <v>-1</v>
      </c>
      <c r="BE109" s="45">
        <v>-1</v>
      </c>
      <c r="BF109" s="45">
        <v>70</v>
      </c>
      <c r="BG109" s="45">
        <v>-1</v>
      </c>
      <c r="BH109" s="45">
        <v>-1</v>
      </c>
      <c r="BI109" s="45">
        <v>30</v>
      </c>
      <c r="BJ109" s="28">
        <v>1</v>
      </c>
      <c r="BK109" s="67">
        <v>11.717502943408679</v>
      </c>
      <c r="BL109" s="52" t="str">
        <f>+IF(BK109&gt;0,FIXED(Fuelbeds_english!BL109*2.54,1,0),BK109)</f>
        <v>1.5</v>
      </c>
      <c r="BM109" s="45">
        <v>3</v>
      </c>
      <c r="BN109" s="67">
        <v>9.3721982742121757</v>
      </c>
      <c r="BO109" s="52" t="str">
        <f>+IF(BN109&gt;0,FIXED(Fuelbeds_english!BO109*2.54,1,0),BN109)</f>
        <v>0.8</v>
      </c>
    </row>
    <row r="110" spans="1:67" s="50" customFormat="1" x14ac:dyDescent="0.25">
      <c r="A110" s="50">
        <v>109</v>
      </c>
      <c r="B110" s="52">
        <v>4033</v>
      </c>
      <c r="C110" s="68">
        <v>4033</v>
      </c>
      <c r="D110" s="45" t="s">
        <v>5</v>
      </c>
      <c r="E110" s="39" t="s">
        <v>463</v>
      </c>
      <c r="F110" s="39">
        <v>14.210599999999999</v>
      </c>
      <c r="G110" s="56">
        <v>14.210599999999999</v>
      </c>
      <c r="H110" s="45">
        <f>+IF(F110&gt;0,INT(Fuelbeds_english!H110*2.471),F110)</f>
        <v>27</v>
      </c>
      <c r="I110" s="36">
        <f>+IF(F110&gt;0,INT(Fuelbeds_english!I110*0.3048),F110)</f>
        <v>15</v>
      </c>
      <c r="J110" s="45">
        <f>+IF(F110&gt;0,INT(Fuelbeds_english!J110*0.3048),F110)</f>
        <v>9</v>
      </c>
      <c r="K110" s="45">
        <f>+IF(F110&gt;0,INT(Fuelbeds_english!K110*2.54),F110)</f>
        <v>30</v>
      </c>
      <c r="L110" s="36">
        <v>19478</v>
      </c>
      <c r="M110" s="36" t="s">
        <v>352</v>
      </c>
      <c r="N110" s="36">
        <v>100</v>
      </c>
      <c r="O110" s="43">
        <v>8.0920234796238244</v>
      </c>
      <c r="P110" s="45">
        <f>+IF(O110&gt;0,INT(Fuelbeds_english!P110*2.471),O110)</f>
        <v>41</v>
      </c>
      <c r="Q110" s="36">
        <f>+IF(O110&gt;0,INT(Fuelbeds_english!Q110*0.3048),O110)</f>
        <v>10</v>
      </c>
      <c r="R110" s="45">
        <f>+IF(O110&gt;0,INT(Fuelbeds_english!R110*0.3048),O110)</f>
        <v>5</v>
      </c>
      <c r="S110" s="45">
        <f>+IF(O110&gt;0,INT(Fuelbeds_english!S110*2.54),O110)</f>
        <v>16</v>
      </c>
      <c r="T110" s="36">
        <v>19478</v>
      </c>
      <c r="U110" s="36" t="s">
        <v>352</v>
      </c>
      <c r="V110" s="36">
        <v>100</v>
      </c>
      <c r="W110" s="45">
        <v>1</v>
      </c>
      <c r="X110" s="99">
        <v>2</v>
      </c>
      <c r="Y110" s="29">
        <v>55.789400000000001</v>
      </c>
      <c r="Z110" s="88" t="str">
        <f>+IF(Y110&gt;0,FIXED(Fuelbeds_english!Z110*0.3048,1,0),Y110)</f>
        <v>2.0</v>
      </c>
      <c r="AA110" s="36">
        <v>85</v>
      </c>
      <c r="AB110" s="50">
        <v>23571</v>
      </c>
      <c r="AC110" s="50" t="s">
        <v>161</v>
      </c>
      <c r="AD110" s="50">
        <v>100</v>
      </c>
      <c r="AE110" s="42">
        <v>30</v>
      </c>
      <c r="AF110" s="52" t="str">
        <f>+IF(AE110&gt;0,FIXED(Fuelbeds_english!AF110*0.3048,1,0),AE110)</f>
        <v>0.2</v>
      </c>
      <c r="AG110" s="45">
        <v>0</v>
      </c>
      <c r="AH110" s="52" t="str">
        <f>+IF(AE110&gt;0,FIXED(Fuelbeds_english!AH110*2.242,1,0),AE110)</f>
        <v>0.1</v>
      </c>
      <c r="AI110" s="45">
        <v>26716</v>
      </c>
      <c r="AJ110" s="45" t="s">
        <v>208</v>
      </c>
      <c r="AK110" s="45">
        <v>100</v>
      </c>
      <c r="AL110" s="34">
        <v>3</v>
      </c>
      <c r="AM110" s="52" t="str">
        <f>+IF(AL110&gt;0,FIXED(Fuelbeds_english!AM110*2.54,1,0),AL110)</f>
        <v>2.0</v>
      </c>
      <c r="AN110" s="52" t="str">
        <f>+IF($AM110&gt;0,FIXED(Fuelbeds_english!AN110*2.242,1,0),$AM110)</f>
        <v>0.2</v>
      </c>
      <c r="AO110" s="52" t="str">
        <f>+IF($AM110&gt;0,FIXED(Fuelbeds_english!AO110*2.242,1,0),$AM110)</f>
        <v>0.3</v>
      </c>
      <c r="AP110" s="52" t="str">
        <f>+IF($AM110&gt;0,FIXED(Fuelbeds_english!AP110*2.242,1,0),$AM110)</f>
        <v>0.6</v>
      </c>
      <c r="AQ110" s="52" t="str">
        <f>+IF($AM110&gt;0,FIXED(Fuelbeds_english!AQ110*2.242,1,0),$AM110)</f>
        <v>0.7</v>
      </c>
      <c r="AR110" s="36">
        <v>19478</v>
      </c>
      <c r="AS110" s="45" t="s">
        <v>352</v>
      </c>
      <c r="AT110" s="45">
        <v>100</v>
      </c>
      <c r="AU110" s="44">
        <v>-1</v>
      </c>
      <c r="AV110" s="52">
        <f>+IF(AU110&gt;0,FIXED(Fuelbeds_english!AV110*2.54,1,0),AU110)</f>
        <v>-1</v>
      </c>
      <c r="AW110" s="52">
        <v>-1</v>
      </c>
      <c r="AX110" s="52">
        <v>-1</v>
      </c>
      <c r="AY110" s="52">
        <f>+IF(AX110&gt;0,FIXED(Fuelbeds_english!AY110*2.54,1,0),AX110)</f>
        <v>-1</v>
      </c>
      <c r="AZ110" s="45">
        <v>1</v>
      </c>
      <c r="BA110" s="36">
        <v>34</v>
      </c>
      <c r="BB110" s="52" t="str">
        <f>+IF(BA110&gt;0,FIXED(Fuelbeds_english!BB110*2.54,1,0),BA110)</f>
        <v>2.0</v>
      </c>
      <c r="BC110" s="45">
        <v>-1</v>
      </c>
      <c r="BD110" s="45">
        <v>-1</v>
      </c>
      <c r="BE110" s="45">
        <v>-1</v>
      </c>
      <c r="BF110" s="45">
        <v>70</v>
      </c>
      <c r="BG110" s="45">
        <v>-1</v>
      </c>
      <c r="BH110" s="45">
        <v>-1</v>
      </c>
      <c r="BI110" s="45">
        <v>30</v>
      </c>
      <c r="BJ110" s="28">
        <v>1</v>
      </c>
      <c r="BK110" s="67">
        <v>12.791650136941097</v>
      </c>
      <c r="BL110" s="52" t="str">
        <f>+IF(BK110&gt;0,FIXED(Fuelbeds_english!BL110*2.54,1,0),BK110)</f>
        <v>1.5</v>
      </c>
      <c r="BM110" s="45">
        <v>3</v>
      </c>
      <c r="BN110" s="67">
        <v>10.231350648407854</v>
      </c>
      <c r="BO110" s="52" t="str">
        <f>+IF(BN110&gt;0,FIXED(Fuelbeds_english!BO110*2.54,1,0),BN110)</f>
        <v>0.8</v>
      </c>
    </row>
    <row r="111" spans="1:67" s="50" customFormat="1" x14ac:dyDescent="0.25">
      <c r="A111" s="50">
        <v>110</v>
      </c>
      <c r="B111" s="52">
        <v>4036</v>
      </c>
      <c r="C111" s="69">
        <v>4036</v>
      </c>
      <c r="D111" s="45" t="s">
        <v>5</v>
      </c>
      <c r="E111" s="33" t="s">
        <v>464</v>
      </c>
      <c r="F111" s="39">
        <v>14.8744</v>
      </c>
      <c r="G111" s="36">
        <v>14.9</v>
      </c>
      <c r="H111" s="45">
        <f>+IF(F111&gt;0,INT(Fuelbeds_english!H111*2.471),F111)</f>
        <v>6</v>
      </c>
      <c r="I111" s="36">
        <f>+IF(F111&gt;0,INT(Fuelbeds_english!I111*0.3048),F111)</f>
        <v>15</v>
      </c>
      <c r="J111" s="45">
        <f>+IF(F111&gt;0,INT(Fuelbeds_english!J111*0.3048),F111)</f>
        <v>9</v>
      </c>
      <c r="K111" s="45">
        <f>+IF(F111&gt;0,INT(Fuelbeds_english!K111*2.54),F111)</f>
        <v>48</v>
      </c>
      <c r="L111" s="36">
        <v>27189</v>
      </c>
      <c r="M111" s="36" t="s">
        <v>401</v>
      </c>
      <c r="N111" s="36">
        <v>100</v>
      </c>
      <c r="O111" s="36">
        <v>7</v>
      </c>
      <c r="P111" s="45">
        <f>+IF(O111&gt;0,INT(Fuelbeds_english!P111*2.471),O111)</f>
        <v>44</v>
      </c>
      <c r="Q111" s="36">
        <f>+IF(O111&gt;0,INT(Fuelbeds_english!Q111*0.3048),O111)</f>
        <v>7</v>
      </c>
      <c r="R111" s="45">
        <f>+IF(O111&gt;0,INT(Fuelbeds_english!R111*0.3048),O111)</f>
        <v>3</v>
      </c>
      <c r="S111" s="45">
        <f>+IF(O111&gt;0,INT(Fuelbeds_english!S111*2.54),O111)</f>
        <v>17</v>
      </c>
      <c r="T111" s="45">
        <v>27189</v>
      </c>
      <c r="U111" s="36" t="s">
        <v>401</v>
      </c>
      <c r="V111" s="36">
        <v>100</v>
      </c>
      <c r="W111" s="36">
        <v>1</v>
      </c>
      <c r="X111" s="98">
        <v>4</v>
      </c>
      <c r="Y111" s="29">
        <v>55</v>
      </c>
      <c r="Z111" s="88" t="str">
        <f>+IF(Y111&gt;0,FIXED(Fuelbeds_english!Z111*0.3048,1,0),Y111)</f>
        <v>0.3</v>
      </c>
      <c r="AA111" s="36">
        <v>90</v>
      </c>
      <c r="AB111" s="50">
        <v>28675</v>
      </c>
      <c r="AC111" s="50" t="s">
        <v>375</v>
      </c>
      <c r="AD111" s="50">
        <v>100</v>
      </c>
      <c r="AE111" s="42">
        <v>30</v>
      </c>
      <c r="AF111" s="52" t="str">
        <f>+IF(AE111&gt;0,FIXED(Fuelbeds_english!AF111*0.3048,1,0),AE111)</f>
        <v>0.2</v>
      </c>
      <c r="AG111" s="45">
        <v>0</v>
      </c>
      <c r="AH111" s="52" t="str">
        <f>+IF(AE111&gt;0,FIXED(Fuelbeds_english!AH111*2.242,1,0),AE111)</f>
        <v>0.1</v>
      </c>
      <c r="AI111" s="45">
        <v>42236</v>
      </c>
      <c r="AJ111" s="45" t="s">
        <v>207</v>
      </c>
      <c r="AK111" s="45">
        <v>100</v>
      </c>
      <c r="AL111" s="34">
        <v>14.2</v>
      </c>
      <c r="AM111" s="52" t="str">
        <f>+IF(AL111&gt;0,FIXED(Fuelbeds_english!AM111*2.54,1,0),AL111)</f>
        <v>7.6</v>
      </c>
      <c r="AN111" s="52" t="str">
        <f>+IF($AM111&gt;0,FIXED(Fuelbeds_english!AN111*2.242,1,0),$AM111)</f>
        <v>0.2</v>
      </c>
      <c r="AO111" s="52" t="str">
        <f>+IF($AM111&gt;0,FIXED(Fuelbeds_english!AO111*2.242,1,0),$AM111)</f>
        <v>1.3</v>
      </c>
      <c r="AP111" s="52" t="str">
        <f>+IF($AM111&gt;0,FIXED(Fuelbeds_english!AP111*2.242,1,0),$AM111)</f>
        <v>1.6</v>
      </c>
      <c r="AQ111" s="52" t="str">
        <f>+IF($AM111&gt;0,FIXED(Fuelbeds_english!AQ111*2.242,1,0),$AM111)</f>
        <v>1.6</v>
      </c>
      <c r="AR111" s="36">
        <v>27189</v>
      </c>
      <c r="AS111" s="45" t="s">
        <v>401</v>
      </c>
      <c r="AT111" s="45">
        <v>100</v>
      </c>
      <c r="AU111" s="44">
        <v>-1</v>
      </c>
      <c r="AV111" s="52">
        <f>+IF(AU111&gt;0,FIXED(Fuelbeds_english!AV111*2.54,1,0),AU111)</f>
        <v>-1</v>
      </c>
      <c r="AW111" s="52">
        <v>-1</v>
      </c>
      <c r="AX111" s="52">
        <v>-1</v>
      </c>
      <c r="AY111" s="52">
        <f>+IF(AX111&gt;0,FIXED(Fuelbeds_english!AY111*2.54,1,0),AX111)</f>
        <v>-1</v>
      </c>
      <c r="AZ111" s="45">
        <v>1</v>
      </c>
      <c r="BA111" s="36">
        <v>36</v>
      </c>
      <c r="BB111" s="52" t="str">
        <f>+IF(BA111&gt;0,FIXED(Fuelbeds_english!BB111*2.54,1,0),BA111)</f>
        <v>4.6</v>
      </c>
      <c r="BC111" s="45">
        <v>-1</v>
      </c>
      <c r="BD111" s="45">
        <v>-1</v>
      </c>
      <c r="BE111" s="45">
        <v>-1</v>
      </c>
      <c r="BF111" s="45">
        <v>-1</v>
      </c>
      <c r="BG111" s="45">
        <v>70</v>
      </c>
      <c r="BH111" s="45">
        <v>-1</v>
      </c>
      <c r="BI111" s="45">
        <v>30</v>
      </c>
      <c r="BJ111" s="28">
        <v>1</v>
      </c>
      <c r="BK111" s="36">
        <v>17.399999999999999</v>
      </c>
      <c r="BL111" s="52" t="str">
        <f>+IF(BK111&gt;0,FIXED(Fuelbeds_english!BL111*2.54,1,0),BK111)</f>
        <v>5.1</v>
      </c>
      <c r="BM111" s="45">
        <v>3</v>
      </c>
      <c r="BN111" s="36">
        <v>17.399999999999999</v>
      </c>
      <c r="BO111" s="52" t="str">
        <f>+IF(BN111&gt;0,FIXED(Fuelbeds_english!BO111*2.54,1,0),BN111)</f>
        <v>5.1</v>
      </c>
    </row>
    <row r="112" spans="1:67" s="50" customFormat="1" x14ac:dyDescent="0.25">
      <c r="A112" s="50">
        <v>111</v>
      </c>
      <c r="B112" s="36">
        <v>4037</v>
      </c>
      <c r="C112" s="36">
        <v>4037</v>
      </c>
      <c r="D112" s="45" t="s">
        <v>5</v>
      </c>
      <c r="E112" s="39" t="s">
        <v>466</v>
      </c>
      <c r="F112" s="39">
        <v>15.4094</v>
      </c>
      <c r="G112" s="36">
        <v>12.635708000000001</v>
      </c>
      <c r="H112" s="45">
        <f>+IF(F112&gt;0,INT(Fuelbeds_english!H112*2.471),F112)</f>
        <v>37</v>
      </c>
      <c r="I112" s="36">
        <f>+IF(F112&gt;0,INT(Fuelbeds_english!I112*0.3048),F112)</f>
        <v>13</v>
      </c>
      <c r="J112" s="45">
        <f>+IF(F112&gt;0,INT(Fuelbeds_english!J112*0.3048),F112)</f>
        <v>7</v>
      </c>
      <c r="K112" s="45">
        <f>+IF(F112&gt;0,INT(Fuelbeds_english!K112*2.54),F112)</f>
        <v>26</v>
      </c>
      <c r="L112" s="55" t="s">
        <v>390</v>
      </c>
      <c r="M112" s="36" t="s">
        <v>389</v>
      </c>
      <c r="N112" s="55" t="s">
        <v>156</v>
      </c>
      <c r="O112" s="43">
        <v>8.1612748148148153</v>
      </c>
      <c r="P112" s="45">
        <f>+IF(O112&gt;0,INT(Fuelbeds_english!P112*2.471),O112)</f>
        <v>95</v>
      </c>
      <c r="Q112" s="36">
        <f>+IF(O112&gt;0,INT(Fuelbeds_english!Q112*0.3048),O112)</f>
        <v>8</v>
      </c>
      <c r="R112" s="45">
        <f>+IF(O112&gt;0,INT(Fuelbeds_english!R112*0.3048),O112)</f>
        <v>4</v>
      </c>
      <c r="S112" s="45">
        <f>+IF(O112&gt;0,INT(Fuelbeds_english!S112*2.54),O112)</f>
        <v>14</v>
      </c>
      <c r="T112" s="55" t="s">
        <v>390</v>
      </c>
      <c r="U112" s="36" t="s">
        <v>389</v>
      </c>
      <c r="V112" s="55" t="s">
        <v>156</v>
      </c>
      <c r="W112" s="45">
        <v>-1</v>
      </c>
      <c r="X112" s="99">
        <v>-1</v>
      </c>
      <c r="Y112" s="29">
        <v>54.590600000000002</v>
      </c>
      <c r="Z112" s="88" t="str">
        <f>+IF(Y112&gt;0,FIXED(Fuelbeds_english!Z112*0.3048,1,0),Y112)</f>
        <v>1.2</v>
      </c>
      <c r="AA112" s="36">
        <v>85</v>
      </c>
      <c r="AB112" s="50">
        <v>23571</v>
      </c>
      <c r="AC112" s="50" t="s">
        <v>161</v>
      </c>
      <c r="AD112" s="50">
        <v>100</v>
      </c>
      <c r="AE112" s="42">
        <v>30</v>
      </c>
      <c r="AF112" s="52" t="str">
        <f>+IF(AE112&gt;0,FIXED(Fuelbeds_english!AF112*0.3048,1,0),AE112)</f>
        <v>0.2</v>
      </c>
      <c r="AG112" s="45">
        <v>0</v>
      </c>
      <c r="AH112" s="52" t="str">
        <f>+IF(AE112&gt;0,FIXED(Fuelbeds_english!AH112*2.242,1,0),AE112)</f>
        <v>0.0</v>
      </c>
      <c r="AI112" s="36">
        <v>505272</v>
      </c>
      <c r="AJ112" s="43" t="s">
        <v>417</v>
      </c>
      <c r="AK112" s="36">
        <v>100</v>
      </c>
      <c r="AL112" s="34">
        <v>5</v>
      </c>
      <c r="AM112" s="52" t="str">
        <f>+IF(AL112&gt;0,FIXED(Fuelbeds_english!AM112*2.54,1,0),AL112)</f>
        <v>4.3</v>
      </c>
      <c r="AN112" s="52" t="str">
        <f>+IF($AM112&gt;0,FIXED(Fuelbeds_english!AN112*2.242,1,0),$AM112)</f>
        <v>0.2</v>
      </c>
      <c r="AO112" s="52" t="str">
        <f>+IF($AM112&gt;0,FIXED(Fuelbeds_english!AO112*2.242,1,0),$AM112)</f>
        <v>0.5</v>
      </c>
      <c r="AP112" s="52" t="str">
        <f>+IF($AM112&gt;0,FIXED(Fuelbeds_english!AP112*2.242,1,0),$AM112)</f>
        <v>0.6</v>
      </c>
      <c r="AQ112" s="52" t="str">
        <f>+IF($AM112&gt;0,FIXED(Fuelbeds_english!AQ112*2.242,1,0),$AM112)</f>
        <v>1.0</v>
      </c>
      <c r="AR112" s="55" t="s">
        <v>390</v>
      </c>
      <c r="AS112" s="36" t="s">
        <v>389</v>
      </c>
      <c r="AT112" s="55" t="s">
        <v>156</v>
      </c>
      <c r="AU112" s="44">
        <v>2</v>
      </c>
      <c r="AV112" s="52" t="str">
        <f>+IF(AU112&gt;0,FIXED(Fuelbeds_english!AV112*2.54,1,0),AU112)</f>
        <v>0.4</v>
      </c>
      <c r="AW112" s="88">
        <v>2</v>
      </c>
      <c r="AX112" s="88">
        <v>3</v>
      </c>
      <c r="AY112" s="52" t="str">
        <f>+IF(AX112&gt;0,FIXED(Fuelbeds_english!AY112*2.54,1,0),AX112)</f>
        <v>1.8</v>
      </c>
      <c r="AZ112" s="45">
        <v>1</v>
      </c>
      <c r="BA112" s="36">
        <v>56</v>
      </c>
      <c r="BB112" s="52" t="str">
        <f>+IF(BA112&gt;0,FIXED(Fuelbeds_english!BB112*2.54,1,0),BA112)</f>
        <v>2.5</v>
      </c>
      <c r="BC112" s="45">
        <v>20</v>
      </c>
      <c r="BD112" s="45">
        <v>-1</v>
      </c>
      <c r="BE112" s="45">
        <v>-1</v>
      </c>
      <c r="BF112" s="45">
        <v>20</v>
      </c>
      <c r="BG112" s="45">
        <v>-1</v>
      </c>
      <c r="BH112" s="45">
        <v>-1</v>
      </c>
      <c r="BI112" s="45">
        <v>60</v>
      </c>
      <c r="BJ112" s="28">
        <v>1</v>
      </c>
      <c r="BK112" s="67">
        <v>16.496849600000001</v>
      </c>
      <c r="BL112" s="52" t="str">
        <f>+IF(BK112&gt;0,FIXED(Fuelbeds_english!BL112*2.54,1,0),BK112)</f>
        <v>1.8</v>
      </c>
      <c r="BM112" s="45">
        <v>3</v>
      </c>
      <c r="BN112" s="67">
        <v>14.041961266666664</v>
      </c>
      <c r="BO112" s="52" t="str">
        <f>+IF(BN112&gt;0,FIXED(Fuelbeds_english!BO112*2.54,1,0),BN112)</f>
        <v>1.3</v>
      </c>
    </row>
    <row r="113" spans="1:67" s="50" customFormat="1" x14ac:dyDescent="0.25">
      <c r="A113" s="50">
        <v>112</v>
      </c>
      <c r="B113" s="52" t="s">
        <v>236</v>
      </c>
      <c r="C113" s="68">
        <v>914040</v>
      </c>
      <c r="D113" s="45" t="s">
        <v>5</v>
      </c>
      <c r="E113" s="6" t="s">
        <v>17</v>
      </c>
      <c r="F113" s="39">
        <v>20.7</v>
      </c>
      <c r="G113" s="56">
        <v>20.7</v>
      </c>
      <c r="H113" s="45">
        <f>+IF(F113&gt;0,INT(Fuelbeds_english!H113*2.471),F113)</f>
        <v>39</v>
      </c>
      <c r="I113" s="36">
        <f>+IF(F113&gt;0,INT(Fuelbeds_english!I113*0.3048),F113)</f>
        <v>20</v>
      </c>
      <c r="J113" s="45">
        <f>+IF(F113&gt;0,INT(Fuelbeds_english!J113*0.3048),F113)</f>
        <v>11</v>
      </c>
      <c r="K113" s="45">
        <f>+IF(F113&gt;0,INT(Fuelbeds_english!K113*2.54),F113)</f>
        <v>38</v>
      </c>
      <c r="L113" s="36">
        <v>19464</v>
      </c>
      <c r="M113" s="45" t="s">
        <v>155</v>
      </c>
      <c r="N113" s="45">
        <v>100</v>
      </c>
      <c r="O113" s="43">
        <v>11.787319749216302</v>
      </c>
      <c r="P113" s="45">
        <f>+IF(O113&gt;0,INT(Fuelbeds_english!P113*2.471),O113)</f>
        <v>60</v>
      </c>
      <c r="Q113" s="36">
        <f>+IF(O113&gt;0,INT(Fuelbeds_english!Q113*0.3048),O113)</f>
        <v>12</v>
      </c>
      <c r="R113" s="45">
        <f>+IF(O113&gt;0,INT(Fuelbeds_english!R113*0.3048),O113)</f>
        <v>7</v>
      </c>
      <c r="S113" s="45">
        <f>+IF(O113&gt;0,INT(Fuelbeds_english!S113*2.54),O113)</f>
        <v>20</v>
      </c>
      <c r="T113" s="36">
        <v>19464</v>
      </c>
      <c r="U113" s="45" t="s">
        <v>155</v>
      </c>
      <c r="V113" s="45">
        <v>100</v>
      </c>
      <c r="W113" s="36">
        <v>1</v>
      </c>
      <c r="X113" s="98">
        <v>2</v>
      </c>
      <c r="Y113" s="29">
        <v>29.857572164948454</v>
      </c>
      <c r="Z113" s="88" t="str">
        <f>+IF(Y113&gt;0,FIXED(Fuelbeds_english!Z113*0.3048,1,0),Y113)</f>
        <v>2.0</v>
      </c>
      <c r="AA113" s="36">
        <v>85</v>
      </c>
      <c r="AB113" s="50">
        <v>23571</v>
      </c>
      <c r="AC113" s="50" t="s">
        <v>161</v>
      </c>
      <c r="AD113" s="50">
        <v>100</v>
      </c>
      <c r="AE113" s="42">
        <v>23</v>
      </c>
      <c r="AF113" s="52" t="str">
        <f>+IF(AE113&gt;0,FIXED(Fuelbeds_english!AF113*0.3048,1,0),AE113)</f>
        <v>0.5</v>
      </c>
      <c r="AG113" s="45">
        <v>75</v>
      </c>
      <c r="AH113" s="52" t="str">
        <f>+IF(AE113&gt;0,FIXED(Fuelbeds_english!AH113*2.242,1,0),AE113)</f>
        <v>0.5</v>
      </c>
      <c r="AI113" s="45">
        <v>39369</v>
      </c>
      <c r="AJ113" s="45" t="s">
        <v>391</v>
      </c>
      <c r="AK113" s="45">
        <v>100</v>
      </c>
      <c r="AL113" s="34">
        <v>4</v>
      </c>
      <c r="AM113" s="52" t="str">
        <f>+IF(AL113&gt;0,FIXED(Fuelbeds_english!AM113*2.54,1,0),AL113)</f>
        <v>2.0</v>
      </c>
      <c r="AN113" s="52" t="str">
        <f>+IF($AM113&gt;0,FIXED(Fuelbeds_english!AN113*2.242,1,0),$AM113)</f>
        <v>0.3</v>
      </c>
      <c r="AO113" s="52" t="str">
        <f>+IF($AM113&gt;0,FIXED(Fuelbeds_english!AO113*2.242,1,0),$AM113)</f>
        <v>0.4</v>
      </c>
      <c r="AP113" s="52" t="str">
        <f>+IF($AM113&gt;0,FIXED(Fuelbeds_english!AP113*2.242,1,0),$AM113)</f>
        <v>0.8</v>
      </c>
      <c r="AQ113" s="52" t="str">
        <f>+IF($AM113&gt;0,FIXED(Fuelbeds_english!AQ113*2.242,1,0),$AM113)</f>
        <v>1.0</v>
      </c>
      <c r="AR113" s="36">
        <v>19464</v>
      </c>
      <c r="AS113" s="45" t="s">
        <v>155</v>
      </c>
      <c r="AT113" s="45">
        <v>100</v>
      </c>
      <c r="AU113" s="44">
        <v>-1</v>
      </c>
      <c r="AV113" s="52">
        <f>+IF(AU113&gt;0,FIXED(Fuelbeds_english!AV113*2.54,1,0),AU113)</f>
        <v>-1</v>
      </c>
      <c r="AW113" s="52">
        <v>-1</v>
      </c>
      <c r="AX113" s="52">
        <v>-1</v>
      </c>
      <c r="AY113" s="52">
        <f>+IF(AX113&gt;0,FIXED(Fuelbeds_english!AY113*2.54,1,0),AX113)</f>
        <v>-1</v>
      </c>
      <c r="AZ113" s="45">
        <v>1</v>
      </c>
      <c r="BA113" s="36">
        <v>22</v>
      </c>
      <c r="BB113" s="52" t="str">
        <f>+IF(BA113&gt;0,FIXED(Fuelbeds_english!BB113*2.54,1,0),BA113)</f>
        <v>3.0</v>
      </c>
      <c r="BC113" s="45">
        <v>-1</v>
      </c>
      <c r="BD113" s="45">
        <v>-1</v>
      </c>
      <c r="BE113" s="45">
        <v>-1</v>
      </c>
      <c r="BF113" s="45">
        <v>-1</v>
      </c>
      <c r="BG113" s="45">
        <v>100</v>
      </c>
      <c r="BH113" s="45">
        <v>-1</v>
      </c>
      <c r="BI113" s="45">
        <v>-1</v>
      </c>
      <c r="BJ113" s="28">
        <v>1</v>
      </c>
      <c r="BK113" s="67">
        <v>18.633073750206236</v>
      </c>
      <c r="BL113" s="52" t="str">
        <f>+IF(BK113&gt;0,FIXED(Fuelbeds_english!BL113*2.54,1,0),BK113)</f>
        <v>1.5</v>
      </c>
      <c r="BM113" s="45">
        <v>3</v>
      </c>
      <c r="BN113" s="67">
        <v>14.903590166639168</v>
      </c>
      <c r="BO113" s="52" t="str">
        <f>+IF(BN113&gt;0,FIXED(Fuelbeds_english!BO113*2.54,1,0),BN113)</f>
        <v>0.8</v>
      </c>
    </row>
    <row r="114" spans="1:67" s="50" customFormat="1" x14ac:dyDescent="0.25">
      <c r="A114" s="50">
        <v>113</v>
      </c>
      <c r="B114" s="52" t="s">
        <v>237</v>
      </c>
      <c r="C114" s="68">
        <v>924040</v>
      </c>
      <c r="D114" s="45" t="s">
        <v>5</v>
      </c>
      <c r="E114" s="6" t="s">
        <v>17</v>
      </c>
      <c r="F114" s="39">
        <v>57.5</v>
      </c>
      <c r="G114" s="56">
        <v>57.5</v>
      </c>
      <c r="H114" s="45">
        <f>+IF(F114&gt;0,INT(Fuelbeds_english!H114*2.471),F114)</f>
        <v>110</v>
      </c>
      <c r="I114" s="36">
        <f>+IF(F114&gt;0,INT(Fuelbeds_english!I114*0.3048),F114)</f>
        <v>26</v>
      </c>
      <c r="J114" s="45">
        <f>+IF(F114&gt;0,INT(Fuelbeds_english!J114*0.3048),F114)</f>
        <v>15</v>
      </c>
      <c r="K114" s="45">
        <f>+IF(F114&gt;0,INT(Fuelbeds_english!K114*2.54),F114)</f>
        <v>51</v>
      </c>
      <c r="L114" s="36">
        <v>19464</v>
      </c>
      <c r="M114" s="45" t="s">
        <v>155</v>
      </c>
      <c r="N114" s="45">
        <v>100</v>
      </c>
      <c r="O114" s="43">
        <v>32.74255485893417</v>
      </c>
      <c r="P114" s="45">
        <f>+IF(O114&gt;0,INT(Fuelbeds_english!P114*2.471),O114)</f>
        <v>167</v>
      </c>
      <c r="Q114" s="36">
        <f>+IF(O114&gt;0,INT(Fuelbeds_english!Q114*0.3048),O114)</f>
        <v>16</v>
      </c>
      <c r="R114" s="45">
        <f>+IF(O114&gt;0,INT(Fuelbeds_english!R114*0.3048),O114)</f>
        <v>9</v>
      </c>
      <c r="S114" s="45">
        <f>+IF(O114&gt;0,INT(Fuelbeds_english!S114*2.54),O114)</f>
        <v>27</v>
      </c>
      <c r="T114" s="36">
        <v>19464</v>
      </c>
      <c r="U114" s="45" t="s">
        <v>155</v>
      </c>
      <c r="V114" s="45">
        <v>100</v>
      </c>
      <c r="W114" s="36">
        <v>1</v>
      </c>
      <c r="X114" s="98">
        <v>2</v>
      </c>
      <c r="Y114" s="29">
        <v>22.067668041237116</v>
      </c>
      <c r="Z114" s="88" t="str">
        <f>+IF(Y114&gt;0,FIXED(Fuelbeds_english!Z114*0.3048,1,0),Y114)</f>
        <v>2.0</v>
      </c>
      <c r="AA114" s="36">
        <v>85</v>
      </c>
      <c r="AB114" s="50">
        <v>23571</v>
      </c>
      <c r="AC114" s="50" t="s">
        <v>161</v>
      </c>
      <c r="AD114" s="50">
        <v>100</v>
      </c>
      <c r="AE114" s="42">
        <v>17</v>
      </c>
      <c r="AF114" s="52" t="str">
        <f>+IF(AE114&gt;0,FIXED(Fuelbeds_english!AF114*0.3048,1,0),AE114)</f>
        <v>0.5</v>
      </c>
      <c r="AG114" s="45">
        <v>75</v>
      </c>
      <c r="AH114" s="52" t="str">
        <f>+IF(AE114&gt;0,FIXED(Fuelbeds_english!AH114*2.242,1,0),AE114)</f>
        <v>0.4</v>
      </c>
      <c r="AI114" s="45">
        <v>39369</v>
      </c>
      <c r="AJ114" s="45" t="s">
        <v>391</v>
      </c>
      <c r="AK114" s="45">
        <v>100</v>
      </c>
      <c r="AL114" s="34">
        <v>12</v>
      </c>
      <c r="AM114" s="52" t="str">
        <f>+IF(AL114&gt;0,FIXED(Fuelbeds_english!AM114*2.54,1,0),AL114)</f>
        <v>2.0</v>
      </c>
      <c r="AN114" s="52" t="str">
        <f>+IF($AM114&gt;0,FIXED(Fuelbeds_english!AN114*2.242,1,0),$AM114)</f>
        <v>0.7</v>
      </c>
      <c r="AO114" s="52" t="str">
        <f>+IF($AM114&gt;0,FIXED(Fuelbeds_english!AO114*2.242,1,0),$AM114)</f>
        <v>1.2</v>
      </c>
      <c r="AP114" s="52" t="str">
        <f>+IF($AM114&gt;0,FIXED(Fuelbeds_english!AP114*2.242,1,0),$AM114)</f>
        <v>2.2</v>
      </c>
      <c r="AQ114" s="52" t="str">
        <f>+IF($AM114&gt;0,FIXED(Fuelbeds_english!AQ114*2.242,1,0),$AM114)</f>
        <v>2.7</v>
      </c>
      <c r="AR114" s="36">
        <v>19464</v>
      </c>
      <c r="AS114" s="45" t="s">
        <v>155</v>
      </c>
      <c r="AT114" s="45">
        <v>100</v>
      </c>
      <c r="AU114" s="44">
        <v>-1</v>
      </c>
      <c r="AV114" s="52">
        <f>+IF(AU114&gt;0,FIXED(Fuelbeds_english!AV114*2.54,1,0),AU114)</f>
        <v>-1</v>
      </c>
      <c r="AW114" s="52">
        <v>-1</v>
      </c>
      <c r="AX114" s="52">
        <v>-1</v>
      </c>
      <c r="AY114" s="52">
        <f>+IF(AX114&gt;0,FIXED(Fuelbeds_english!AY114*2.54,1,0),AX114)</f>
        <v>-1</v>
      </c>
      <c r="AZ114" s="45">
        <v>1</v>
      </c>
      <c r="BA114" s="36">
        <v>62</v>
      </c>
      <c r="BB114" s="52" t="str">
        <f>+IF(BA114&gt;0,FIXED(Fuelbeds_english!BB114*2.54,1,0),BA114)</f>
        <v>3.0</v>
      </c>
      <c r="BC114" s="45">
        <v>-1</v>
      </c>
      <c r="BD114" s="45">
        <v>-1</v>
      </c>
      <c r="BE114" s="45">
        <v>-1</v>
      </c>
      <c r="BF114" s="45">
        <v>-1</v>
      </c>
      <c r="BG114" s="45">
        <v>100</v>
      </c>
      <c r="BH114" s="45">
        <v>-1</v>
      </c>
      <c r="BI114" s="45">
        <v>-1</v>
      </c>
      <c r="BJ114" s="28">
        <v>1</v>
      </c>
      <c r="BK114" s="67">
        <v>51.758538195017323</v>
      </c>
      <c r="BL114" s="52" t="str">
        <f>+IF(BK114&gt;0,FIXED(Fuelbeds_english!BL114*2.54,1,0),BK114)</f>
        <v>1.5</v>
      </c>
      <c r="BM114" s="45">
        <v>3</v>
      </c>
      <c r="BN114" s="67">
        <v>41.398861573997692</v>
      </c>
      <c r="BO114" s="52" t="str">
        <f>+IF(BN114&gt;0,FIXED(Fuelbeds_english!BO114*2.54,1,0),BN114)</f>
        <v>0.8</v>
      </c>
    </row>
    <row r="115" spans="1:67" s="50" customFormat="1" x14ac:dyDescent="0.25">
      <c r="A115" s="50">
        <v>114</v>
      </c>
      <c r="B115" s="52" t="s">
        <v>238</v>
      </c>
      <c r="C115" s="68">
        <v>934040</v>
      </c>
      <c r="D115" s="36" t="s">
        <v>5</v>
      </c>
      <c r="E115" s="6" t="s">
        <v>17</v>
      </c>
      <c r="F115" s="39">
        <v>77.599999999999994</v>
      </c>
      <c r="G115" s="56">
        <v>77.599999999999994</v>
      </c>
      <c r="H115" s="45">
        <f>+IF(F115&gt;0,INT(Fuelbeds_english!H115*2.471),F115)</f>
        <v>149</v>
      </c>
      <c r="I115" s="36">
        <f>+IF(F115&gt;0,INT(Fuelbeds_english!I115*0.3048),F115)</f>
        <v>28</v>
      </c>
      <c r="J115" s="45">
        <f>+IF(F115&gt;0,INT(Fuelbeds_english!J115*0.3048),F115)</f>
        <v>17</v>
      </c>
      <c r="K115" s="45">
        <f>+IF(F115&gt;0,INT(Fuelbeds_english!K115*2.54),F115)</f>
        <v>50</v>
      </c>
      <c r="L115" s="36">
        <v>19464</v>
      </c>
      <c r="M115" s="45" t="s">
        <v>155</v>
      </c>
      <c r="N115" s="45">
        <v>100</v>
      </c>
      <c r="O115" s="43">
        <v>44.188213166144202</v>
      </c>
      <c r="P115" s="45">
        <f>+IF(O115&gt;0,INT(Fuelbeds_english!P115*2.471),O115)</f>
        <v>226</v>
      </c>
      <c r="Q115" s="36">
        <f>+IF(O115&gt;0,INT(Fuelbeds_english!Q115*0.3048),O115)</f>
        <v>18</v>
      </c>
      <c r="R115" s="45">
        <f>+IF(O115&gt;0,INT(Fuelbeds_english!R115*0.3048),O115)</f>
        <v>10</v>
      </c>
      <c r="S115" s="45">
        <f>+IF(O115&gt;0,INT(Fuelbeds_english!S115*2.54),O115)</f>
        <v>29</v>
      </c>
      <c r="T115" s="36">
        <v>19464</v>
      </c>
      <c r="U115" s="45" t="s">
        <v>155</v>
      </c>
      <c r="V115" s="45">
        <v>100</v>
      </c>
      <c r="W115" s="36">
        <v>1</v>
      </c>
      <c r="X115" s="98">
        <v>2</v>
      </c>
      <c r="Y115" s="29">
        <v>12.585567010309282</v>
      </c>
      <c r="Z115" s="88" t="str">
        <f>+IF(Y115&gt;0,FIXED(Fuelbeds_english!Z115*0.3048,1,0),Y115)</f>
        <v>2.0</v>
      </c>
      <c r="AA115" s="36">
        <v>85</v>
      </c>
      <c r="AB115" s="50">
        <v>23571</v>
      </c>
      <c r="AC115" s="50" t="s">
        <v>161</v>
      </c>
      <c r="AD115" s="50">
        <v>100</v>
      </c>
      <c r="AE115" s="42">
        <v>10</v>
      </c>
      <c r="AF115" s="52" t="str">
        <f>+IF(AE115&gt;0,FIXED(Fuelbeds_english!AF115*0.3048,1,0),AE115)</f>
        <v>0.5</v>
      </c>
      <c r="AG115" s="45">
        <v>75</v>
      </c>
      <c r="AH115" s="52" t="str">
        <f>+IF(AE115&gt;0,FIXED(Fuelbeds_english!AH115*2.242,1,0),AE115)</f>
        <v>0.2</v>
      </c>
      <c r="AI115" s="45">
        <v>39369</v>
      </c>
      <c r="AJ115" s="45" t="s">
        <v>391</v>
      </c>
      <c r="AK115" s="45">
        <v>100</v>
      </c>
      <c r="AL115" s="34">
        <v>16</v>
      </c>
      <c r="AM115" s="52" t="str">
        <f>+IF(AL115&gt;0,FIXED(Fuelbeds_english!AM115*2.54,1,0),AL115)</f>
        <v>2.0</v>
      </c>
      <c r="AN115" s="52" t="str">
        <f>+IF($AM115&gt;0,FIXED(Fuelbeds_english!AN115*2.242,1,0),$AM115)</f>
        <v>0.9</v>
      </c>
      <c r="AO115" s="52" t="str">
        <f>+IF($AM115&gt;0,FIXED(Fuelbeds_english!AO115*2.242,1,0),$AM115)</f>
        <v>1.6</v>
      </c>
      <c r="AP115" s="52" t="str">
        <f>+IF($AM115&gt;0,FIXED(Fuelbeds_english!AP115*2.242,1,0),$AM115)</f>
        <v>3.0</v>
      </c>
      <c r="AQ115" s="52" t="str">
        <f>+IF($AM115&gt;0,FIXED(Fuelbeds_english!AQ115*2.242,1,0),$AM115)</f>
        <v>3.6</v>
      </c>
      <c r="AR115" s="36">
        <v>19464</v>
      </c>
      <c r="AS115" s="45" t="s">
        <v>155</v>
      </c>
      <c r="AT115" s="45">
        <v>100</v>
      </c>
      <c r="AU115" s="44">
        <v>-1</v>
      </c>
      <c r="AV115" s="52">
        <f>+IF(AU115&gt;0,FIXED(Fuelbeds_english!AV115*2.54,1,0),AU115)</f>
        <v>-1</v>
      </c>
      <c r="AW115" s="52">
        <v>-1</v>
      </c>
      <c r="AX115" s="52">
        <v>-1</v>
      </c>
      <c r="AY115" s="52">
        <f>+IF(AX115&gt;0,FIXED(Fuelbeds_english!AY115*2.54,1,0),AX115)</f>
        <v>-1</v>
      </c>
      <c r="AZ115" s="45">
        <v>1</v>
      </c>
      <c r="BA115" s="36">
        <v>84</v>
      </c>
      <c r="BB115" s="52" t="str">
        <f>+IF(BA115&gt;0,FIXED(Fuelbeds_english!BB115*2.54,1,0),BA115)</f>
        <v>3.0</v>
      </c>
      <c r="BC115" s="45">
        <v>-1</v>
      </c>
      <c r="BD115" s="45">
        <v>-1</v>
      </c>
      <c r="BE115" s="45">
        <v>-1</v>
      </c>
      <c r="BF115" s="45">
        <v>-1</v>
      </c>
      <c r="BG115" s="45">
        <v>100</v>
      </c>
      <c r="BH115" s="45">
        <v>-1</v>
      </c>
      <c r="BI115" s="45">
        <v>-1</v>
      </c>
      <c r="BJ115" s="28">
        <v>1</v>
      </c>
      <c r="BK115" s="67">
        <v>69.851522851014678</v>
      </c>
      <c r="BL115" s="52" t="str">
        <f>+IF(BK115&gt;0,FIXED(Fuelbeds_english!BL115*2.54,1,0),BK115)</f>
        <v>1.5</v>
      </c>
      <c r="BM115" s="45">
        <v>3</v>
      </c>
      <c r="BN115" s="67">
        <v>55.870463619864701</v>
      </c>
      <c r="BO115" s="52" t="str">
        <f>+IF(BN115&gt;0,FIXED(Fuelbeds_english!BO115*2.54,1,0),BN115)</f>
        <v>0.8</v>
      </c>
    </row>
    <row r="116" spans="1:67" s="50" customFormat="1" x14ac:dyDescent="0.25">
      <c r="A116" s="50">
        <v>115</v>
      </c>
      <c r="B116" s="52" t="s">
        <v>239</v>
      </c>
      <c r="C116" s="69">
        <v>914043</v>
      </c>
      <c r="D116" s="45" t="s">
        <v>5</v>
      </c>
      <c r="E116" s="75" t="s">
        <v>404</v>
      </c>
      <c r="F116" s="39">
        <v>18</v>
      </c>
      <c r="G116" s="36">
        <v>18</v>
      </c>
      <c r="H116" s="45">
        <f>+IF(F116&gt;0,INT(Fuelbeds_english!H116*2.471),F116)</f>
        <v>7</v>
      </c>
      <c r="I116" s="36">
        <f>+IF(F116&gt;0,INT(Fuelbeds_english!I116*0.3048),F116)</f>
        <v>18</v>
      </c>
      <c r="J116" s="45">
        <f>+IF(F116&gt;0,INT(Fuelbeds_english!J116*0.3048),F116)</f>
        <v>11</v>
      </c>
      <c r="K116" s="45">
        <f>+IF(F116&gt;0,INT(Fuelbeds_english!K116*2.54),F116)</f>
        <v>58</v>
      </c>
      <c r="L116" s="36">
        <v>27189</v>
      </c>
      <c r="M116" s="36" t="s">
        <v>401</v>
      </c>
      <c r="N116" s="36">
        <v>100</v>
      </c>
      <c r="O116" s="36">
        <v>9</v>
      </c>
      <c r="P116" s="45">
        <f>+IF(O116&gt;0,INT(Fuelbeds_english!P116*2.471),O116)</f>
        <v>54</v>
      </c>
      <c r="Q116" s="36">
        <f>+IF(O116&gt;0,INT(Fuelbeds_english!Q116*0.3048),O116)</f>
        <v>9</v>
      </c>
      <c r="R116" s="45">
        <f>+IF(O116&gt;0,INT(Fuelbeds_english!R116*0.3048),O116)</f>
        <v>4</v>
      </c>
      <c r="S116" s="45">
        <f>+IF(O116&gt;0,INT(Fuelbeds_english!S116*2.54),O116)</f>
        <v>20</v>
      </c>
      <c r="T116" s="45">
        <v>27189</v>
      </c>
      <c r="U116" s="36" t="s">
        <v>401</v>
      </c>
      <c r="V116" s="36">
        <v>100</v>
      </c>
      <c r="W116" s="36">
        <v>1</v>
      </c>
      <c r="X116" s="98">
        <v>4</v>
      </c>
      <c r="Y116" s="29">
        <v>39.171428570000003</v>
      </c>
      <c r="Z116" s="88" t="str">
        <f>+IF(Y116&gt;0,FIXED(Fuelbeds_english!Z116*0.3048,1,0),Y116)</f>
        <v>0.3</v>
      </c>
      <c r="AA116" s="36">
        <v>90</v>
      </c>
      <c r="AB116" s="50">
        <v>28675</v>
      </c>
      <c r="AC116" s="50" t="s">
        <v>375</v>
      </c>
      <c r="AD116" s="50">
        <v>100</v>
      </c>
      <c r="AE116" s="42">
        <v>29</v>
      </c>
      <c r="AF116" s="52" t="str">
        <f>+IF(AE116&gt;0,FIXED(Fuelbeds_english!AF116*0.3048,1,0),AE116)</f>
        <v>0.2</v>
      </c>
      <c r="AG116" s="45">
        <v>80</v>
      </c>
      <c r="AH116" s="52" t="str">
        <f>+IF(AE116&gt;0,FIXED(Fuelbeds_english!AH116*2.242,1,0),AE116)</f>
        <v>0.5</v>
      </c>
      <c r="AI116" s="45">
        <v>39369</v>
      </c>
      <c r="AJ116" s="45" t="s">
        <v>391</v>
      </c>
      <c r="AK116" s="45">
        <v>100</v>
      </c>
      <c r="AL116" s="34">
        <v>17.3</v>
      </c>
      <c r="AM116" s="52" t="str">
        <f>+IF(AL116&gt;0,FIXED(Fuelbeds_english!AM116*2.54,1,0),AL116)</f>
        <v>7.6</v>
      </c>
      <c r="AN116" s="52" t="str">
        <f>+IF($AM116&gt;0,FIXED(Fuelbeds_english!AN116*2.242,1,0),$AM116)</f>
        <v>0.4</v>
      </c>
      <c r="AO116" s="52" t="str">
        <f>+IF($AM116&gt;0,FIXED(Fuelbeds_english!AO116*2.242,1,0),$AM116)</f>
        <v>1.6</v>
      </c>
      <c r="AP116" s="52" t="str">
        <f>+IF($AM116&gt;0,FIXED(Fuelbeds_english!AP116*2.242,1,0),$AM116)</f>
        <v>2.0</v>
      </c>
      <c r="AQ116" s="52" t="str">
        <f>+IF($AM116&gt;0,FIXED(Fuelbeds_english!AQ116*2.242,1,0),$AM116)</f>
        <v>2.0</v>
      </c>
      <c r="AR116" s="36">
        <v>27189</v>
      </c>
      <c r="AS116" s="45" t="s">
        <v>401</v>
      </c>
      <c r="AT116" s="45">
        <v>100</v>
      </c>
      <c r="AU116" s="44">
        <v>-1</v>
      </c>
      <c r="AV116" s="52">
        <f>+IF(AU116&gt;0,FIXED(Fuelbeds_english!AV116*2.54,1,0),AU116)</f>
        <v>-1</v>
      </c>
      <c r="AW116" s="52">
        <v>-1</v>
      </c>
      <c r="AX116" s="52">
        <v>-1</v>
      </c>
      <c r="AY116" s="52">
        <f>+IF(AX116&gt;0,FIXED(Fuelbeds_english!AY116*2.54,1,0),AX116)</f>
        <v>-1</v>
      </c>
      <c r="AZ116" s="45">
        <v>1</v>
      </c>
      <c r="BA116" s="36">
        <v>21</v>
      </c>
      <c r="BB116" s="52" t="str">
        <f>+IF(BA116&gt;0,FIXED(Fuelbeds_english!BB116*2.54,1,0),BA116)</f>
        <v>4.6</v>
      </c>
      <c r="BC116" s="45">
        <v>-1</v>
      </c>
      <c r="BD116" s="45">
        <v>-1</v>
      </c>
      <c r="BE116" s="45">
        <v>-1</v>
      </c>
      <c r="BF116" s="45">
        <v>-1</v>
      </c>
      <c r="BG116" s="45">
        <v>100</v>
      </c>
      <c r="BH116" s="45">
        <v>-1</v>
      </c>
      <c r="BI116" s="45">
        <v>-1</v>
      </c>
      <c r="BJ116" s="28">
        <v>1</v>
      </c>
      <c r="BK116" s="36">
        <v>21.2</v>
      </c>
      <c r="BL116" s="52" t="str">
        <f>+IF(BK116&gt;0,FIXED(Fuelbeds_english!BL116*2.54,1,0),BK116)</f>
        <v>5.1</v>
      </c>
      <c r="BM116" s="45">
        <v>3</v>
      </c>
      <c r="BN116" s="36">
        <v>21.2</v>
      </c>
      <c r="BO116" s="52" t="str">
        <f>+IF(BN116&gt;0,FIXED(Fuelbeds_english!BO116*2.54,1,0),BN116)</f>
        <v>5.1</v>
      </c>
    </row>
    <row r="117" spans="1:67" s="50" customFormat="1" x14ac:dyDescent="0.25">
      <c r="A117" s="50">
        <v>116</v>
      </c>
      <c r="B117" s="52" t="s">
        <v>240</v>
      </c>
      <c r="C117" s="69">
        <v>924043</v>
      </c>
      <c r="D117" s="45" t="s">
        <v>5</v>
      </c>
      <c r="E117" s="75" t="s">
        <v>404</v>
      </c>
      <c r="F117" s="39">
        <v>57</v>
      </c>
      <c r="G117" s="36">
        <v>57</v>
      </c>
      <c r="H117" s="45">
        <f>+IF(F117&gt;0,INT(Fuelbeds_english!H117*2.471),F117)</f>
        <v>24</v>
      </c>
      <c r="I117" s="36">
        <f>+IF(F117&gt;0,INT(Fuelbeds_english!I117*0.3048),F117)</f>
        <v>25</v>
      </c>
      <c r="J117" s="45">
        <f>+IF(F117&gt;0,INT(Fuelbeds_english!J117*0.3048),F117)</f>
        <v>15</v>
      </c>
      <c r="K117" s="45">
        <f>+IF(F117&gt;0,INT(Fuelbeds_english!K117*2.54),F117)</f>
        <v>76</v>
      </c>
      <c r="L117" s="36">
        <v>27189</v>
      </c>
      <c r="M117" s="36" t="s">
        <v>401</v>
      </c>
      <c r="N117" s="36">
        <v>100</v>
      </c>
      <c r="O117" s="36">
        <v>27</v>
      </c>
      <c r="P117" s="45">
        <f>+IF(O117&gt;0,INT(Fuelbeds_english!P117*2.471),O117)</f>
        <v>168</v>
      </c>
      <c r="Q117" s="36">
        <f>+IF(O117&gt;0,INT(Fuelbeds_english!Q117*0.3048),O117)</f>
        <v>12</v>
      </c>
      <c r="R117" s="45">
        <f>+IF(O117&gt;0,INT(Fuelbeds_english!R117*0.3048),O117)</f>
        <v>5</v>
      </c>
      <c r="S117" s="45">
        <f>+IF(O117&gt;0,INT(Fuelbeds_english!S117*2.54),O117)</f>
        <v>27</v>
      </c>
      <c r="T117" s="45">
        <v>27189</v>
      </c>
      <c r="U117" s="36" t="s">
        <v>401</v>
      </c>
      <c r="V117" s="36">
        <v>100</v>
      </c>
      <c r="W117" s="36">
        <v>1</v>
      </c>
      <c r="X117" s="98">
        <v>4</v>
      </c>
      <c r="Y117" s="29">
        <v>24.628571430000001</v>
      </c>
      <c r="Z117" s="88" t="str">
        <f>+IF(Y117&gt;0,FIXED(Fuelbeds_english!Z117*0.3048,1,0),Y117)</f>
        <v>0.3</v>
      </c>
      <c r="AA117" s="36">
        <v>90</v>
      </c>
      <c r="AB117" s="50">
        <v>28675</v>
      </c>
      <c r="AC117" s="50" t="s">
        <v>375</v>
      </c>
      <c r="AD117" s="50">
        <v>100</v>
      </c>
      <c r="AE117" s="42">
        <v>18</v>
      </c>
      <c r="AF117" s="52" t="str">
        <f>+IF(AE117&gt;0,FIXED(Fuelbeds_english!AF117*0.3048,1,0),AE117)</f>
        <v>0.2</v>
      </c>
      <c r="AG117" s="45">
        <v>80</v>
      </c>
      <c r="AH117" s="52" t="str">
        <f>+IF(AE117&gt;0,FIXED(Fuelbeds_english!AH117*2.242,1,0),AE117)</f>
        <v>0.3</v>
      </c>
      <c r="AI117" s="45">
        <v>39369</v>
      </c>
      <c r="AJ117" s="45" t="s">
        <v>391</v>
      </c>
      <c r="AK117" s="45">
        <v>100</v>
      </c>
      <c r="AL117" s="34">
        <v>54.2</v>
      </c>
      <c r="AM117" s="52" t="str">
        <f>+IF(AL117&gt;0,FIXED(Fuelbeds_english!AM117*2.54,1,0),AL117)</f>
        <v>7.6</v>
      </c>
      <c r="AN117" s="52" t="str">
        <f>+IF($AM117&gt;0,FIXED(Fuelbeds_english!AN117*2.242,1,0),$AM117)</f>
        <v>1.1</v>
      </c>
      <c r="AO117" s="52" t="str">
        <f>+IF($AM117&gt;0,FIXED(Fuelbeds_english!AO117*2.242,1,0),$AM117)</f>
        <v>4.9</v>
      </c>
      <c r="AP117" s="52" t="str">
        <f>+IF($AM117&gt;0,FIXED(Fuelbeds_english!AP117*2.242,1,0),$AM117)</f>
        <v>6.3</v>
      </c>
      <c r="AQ117" s="52" t="str">
        <f>+IF($AM117&gt;0,FIXED(Fuelbeds_english!AQ117*2.242,1,0),$AM117)</f>
        <v>6.1</v>
      </c>
      <c r="AR117" s="36">
        <v>27189</v>
      </c>
      <c r="AS117" s="45" t="s">
        <v>401</v>
      </c>
      <c r="AT117" s="45">
        <v>100</v>
      </c>
      <c r="AU117" s="44">
        <v>-1</v>
      </c>
      <c r="AV117" s="52">
        <f>+IF(AU117&gt;0,FIXED(Fuelbeds_english!AV117*2.54,1,0),AU117)</f>
        <v>-1</v>
      </c>
      <c r="AW117" s="52">
        <v>-1</v>
      </c>
      <c r="AX117" s="52">
        <v>-1</v>
      </c>
      <c r="AY117" s="52">
        <f>+IF(AX117&gt;0,FIXED(Fuelbeds_english!AY117*2.54,1,0),AX117)</f>
        <v>-1</v>
      </c>
      <c r="AZ117" s="45">
        <v>1</v>
      </c>
      <c r="BA117" s="36">
        <v>66</v>
      </c>
      <c r="BB117" s="52" t="str">
        <f>+IF(BA117&gt;0,FIXED(Fuelbeds_english!BB117*2.54,1,0),BA117)</f>
        <v>4.6</v>
      </c>
      <c r="BC117" s="45">
        <v>-1</v>
      </c>
      <c r="BD117" s="45">
        <v>-1</v>
      </c>
      <c r="BE117" s="45">
        <v>-1</v>
      </c>
      <c r="BF117" s="45">
        <v>-1</v>
      </c>
      <c r="BG117" s="45">
        <v>100</v>
      </c>
      <c r="BH117" s="45">
        <v>-1</v>
      </c>
      <c r="BI117" s="45">
        <v>-1</v>
      </c>
      <c r="BJ117" s="28">
        <v>1</v>
      </c>
      <c r="BK117" s="36">
        <v>66.400000000000006</v>
      </c>
      <c r="BL117" s="52" t="str">
        <f>+IF(BK117&gt;0,FIXED(Fuelbeds_english!BL117*2.54,1,0),BK117)</f>
        <v>5.1</v>
      </c>
      <c r="BM117" s="45">
        <v>3</v>
      </c>
      <c r="BN117" s="36">
        <v>66.400000000000006</v>
      </c>
      <c r="BO117" s="52" t="str">
        <f>+IF(BN117&gt;0,FIXED(Fuelbeds_english!BO117*2.54,1,0),BN117)</f>
        <v>5.1</v>
      </c>
    </row>
    <row r="118" spans="1:67" s="50" customFormat="1" x14ac:dyDescent="0.25">
      <c r="A118" s="50">
        <v>117</v>
      </c>
      <c r="B118" s="52" t="s">
        <v>241</v>
      </c>
      <c r="C118" s="69">
        <v>934043</v>
      </c>
      <c r="D118" s="36" t="s">
        <v>5</v>
      </c>
      <c r="E118" s="75" t="s">
        <v>404</v>
      </c>
      <c r="F118" s="39">
        <v>76</v>
      </c>
      <c r="G118" s="36">
        <v>76</v>
      </c>
      <c r="H118" s="45">
        <f>+IF(F118&gt;0,INT(Fuelbeds_english!H118*2.471),F118)</f>
        <v>34</v>
      </c>
      <c r="I118" s="36">
        <f>+IF(F118&gt;0,INT(Fuelbeds_english!I118*0.3048),F118)</f>
        <v>30</v>
      </c>
      <c r="J118" s="45">
        <f>+IF(F118&gt;0,INT(Fuelbeds_english!J118*0.3048),F118)</f>
        <v>18</v>
      </c>
      <c r="K118" s="45">
        <f>+IF(F118&gt;0,INT(Fuelbeds_english!K118*2.54),F118)</f>
        <v>91</v>
      </c>
      <c r="L118" s="36">
        <v>27189</v>
      </c>
      <c r="M118" s="36" t="s">
        <v>401</v>
      </c>
      <c r="N118" s="36">
        <v>100</v>
      </c>
      <c r="O118" s="36">
        <v>36</v>
      </c>
      <c r="P118" s="45">
        <f>+IF(O118&gt;0,INT(Fuelbeds_english!P118*2.471),O118)</f>
        <v>224</v>
      </c>
      <c r="Q118" s="36">
        <f>+IF(O118&gt;0,INT(Fuelbeds_english!Q118*0.3048),O118)</f>
        <v>14</v>
      </c>
      <c r="R118" s="45">
        <f>+IF(O118&gt;0,INT(Fuelbeds_english!R118*0.3048),O118)</f>
        <v>7</v>
      </c>
      <c r="S118" s="45">
        <f>+IF(O118&gt;0,INT(Fuelbeds_english!S118*2.54),O118)</f>
        <v>35</v>
      </c>
      <c r="T118" s="45">
        <v>27189</v>
      </c>
      <c r="U118" s="36" t="s">
        <v>401</v>
      </c>
      <c r="V118" s="36">
        <v>100</v>
      </c>
      <c r="W118" s="36">
        <v>1</v>
      </c>
      <c r="X118" s="98">
        <v>4</v>
      </c>
      <c r="Y118" s="29">
        <v>13.542857140000001</v>
      </c>
      <c r="Z118" s="88" t="str">
        <f>+IF(Y118&gt;0,FIXED(Fuelbeds_english!Z118*0.3048,1,0),Y118)</f>
        <v>1.5</v>
      </c>
      <c r="AA118" s="46">
        <v>90</v>
      </c>
      <c r="AB118" s="50">
        <v>23700</v>
      </c>
      <c r="AC118" s="50" t="s">
        <v>402</v>
      </c>
      <c r="AD118" s="50">
        <v>100</v>
      </c>
      <c r="AE118" s="42">
        <v>10</v>
      </c>
      <c r="AF118" s="52" t="str">
        <f>+IF(AE118&gt;0,FIXED(Fuelbeds_english!AF118*0.3048,1,0),AE118)</f>
        <v>0.2</v>
      </c>
      <c r="AG118" s="45">
        <v>80</v>
      </c>
      <c r="AH118" s="52" t="str">
        <f>+IF(AE118&gt;0,FIXED(Fuelbeds_english!AH118*2.242,1,0),AE118)</f>
        <v>0.2</v>
      </c>
      <c r="AI118" s="45">
        <v>39369</v>
      </c>
      <c r="AJ118" s="45" t="s">
        <v>391</v>
      </c>
      <c r="AK118" s="45">
        <v>100</v>
      </c>
      <c r="AL118" s="34">
        <v>72.7</v>
      </c>
      <c r="AM118" s="52" t="str">
        <f>+IF(AL118&gt;0,FIXED(Fuelbeds_english!AM118*2.54,1,0),AL118)</f>
        <v>7.6</v>
      </c>
      <c r="AN118" s="52" t="str">
        <f>+IF($AM118&gt;0,FIXED(Fuelbeds_english!AN118*2.242,1,0),$AM118)</f>
        <v>1.6</v>
      </c>
      <c r="AO118" s="52" t="str">
        <f>+IF($AM118&gt;0,FIXED(Fuelbeds_english!AO118*2.242,1,0),$AM118)</f>
        <v>6.7</v>
      </c>
      <c r="AP118" s="52" t="str">
        <f>+IF($AM118&gt;0,FIXED(Fuelbeds_english!AP118*2.242,1,0),$AM118)</f>
        <v>8.5</v>
      </c>
      <c r="AQ118" s="52" t="str">
        <f>+IF($AM118&gt;0,FIXED(Fuelbeds_english!AQ118*2.242,1,0),$AM118)</f>
        <v>8.1</v>
      </c>
      <c r="AR118" s="36">
        <v>27189</v>
      </c>
      <c r="AS118" s="45" t="s">
        <v>401</v>
      </c>
      <c r="AT118" s="45">
        <v>100</v>
      </c>
      <c r="AU118" s="44">
        <v>-1</v>
      </c>
      <c r="AV118" s="52">
        <f>+IF(AU118&gt;0,FIXED(Fuelbeds_english!AV118*2.54,1,0),AU118)</f>
        <v>-1</v>
      </c>
      <c r="AW118" s="52">
        <v>-1</v>
      </c>
      <c r="AX118" s="52">
        <v>-1</v>
      </c>
      <c r="AY118" s="52">
        <f>+IF(AX118&gt;0,FIXED(Fuelbeds_english!AY118*2.54,1,0),AX118)</f>
        <v>-1</v>
      </c>
      <c r="AZ118" s="45">
        <v>1</v>
      </c>
      <c r="BA118" s="36">
        <v>89</v>
      </c>
      <c r="BB118" s="52" t="str">
        <f>+IF(BA118&gt;0,FIXED(Fuelbeds_english!BB118*2.54,1,0),BA118)</f>
        <v>4.6</v>
      </c>
      <c r="BC118" s="45">
        <v>-1</v>
      </c>
      <c r="BD118" s="45">
        <v>-1</v>
      </c>
      <c r="BE118" s="45">
        <v>-1</v>
      </c>
      <c r="BF118" s="45">
        <v>-1</v>
      </c>
      <c r="BG118" s="45">
        <v>100</v>
      </c>
      <c r="BH118" s="45">
        <v>-1</v>
      </c>
      <c r="BI118" s="45">
        <v>-1</v>
      </c>
      <c r="BJ118" s="28">
        <v>1</v>
      </c>
      <c r="BK118" s="36">
        <v>89</v>
      </c>
      <c r="BL118" s="52" t="str">
        <f>+IF(BK118&gt;0,FIXED(Fuelbeds_english!BL118*2.54,1,0),BK118)</f>
        <v>5.1</v>
      </c>
      <c r="BM118" s="45">
        <v>3</v>
      </c>
      <c r="BN118" s="36">
        <v>89</v>
      </c>
      <c r="BO118" s="52" t="str">
        <f>+IF(BN118&gt;0,FIXED(Fuelbeds_english!BO118*2.54,1,0),BN118)</f>
        <v>5.1</v>
      </c>
    </row>
    <row r="119" spans="1:67" s="50" customFormat="1" x14ac:dyDescent="0.25">
      <c r="A119" s="50">
        <v>118</v>
      </c>
      <c r="B119" s="52" t="s">
        <v>242</v>
      </c>
      <c r="C119" s="68">
        <v>914061</v>
      </c>
      <c r="D119" s="45" t="s">
        <v>5</v>
      </c>
      <c r="E119" s="11" t="s">
        <v>16</v>
      </c>
      <c r="F119" s="39">
        <v>24.2</v>
      </c>
      <c r="G119" s="36">
        <v>24.2</v>
      </c>
      <c r="H119" s="45">
        <f>+IF(F119&gt;0,INT(Fuelbeds_english!H119*2.471),F119)</f>
        <v>46</v>
      </c>
      <c r="I119" s="36">
        <f>+IF(F119&gt;0,INT(Fuelbeds_english!I119*0.3048),F119)</f>
        <v>18</v>
      </c>
      <c r="J119" s="45">
        <f>+IF(F119&gt;0,INT(Fuelbeds_english!J119*0.3048),F119)</f>
        <v>10</v>
      </c>
      <c r="K119" s="45">
        <f>+IF(F119&gt;0,INT(Fuelbeds_english!K119*2.54),F119)</f>
        <v>35</v>
      </c>
      <c r="L119" s="36">
        <v>19478</v>
      </c>
      <c r="M119" s="36" t="s">
        <v>352</v>
      </c>
      <c r="N119" s="36">
        <v>100</v>
      </c>
      <c r="O119" s="43">
        <v>13.780344827586205</v>
      </c>
      <c r="P119" s="45">
        <f>+IF(O119&gt;0,INT(Fuelbeds_english!P119*2.471),O119)</f>
        <v>70</v>
      </c>
      <c r="Q119" s="36">
        <f>+IF(O119&gt;0,INT(Fuelbeds_english!Q119*0.3048),O119)</f>
        <v>11</v>
      </c>
      <c r="R119" s="45">
        <f>+IF(O119&gt;0,INT(Fuelbeds_english!R119*0.3048),O119)</f>
        <v>6</v>
      </c>
      <c r="S119" s="45">
        <f>+IF(O119&gt;0,INT(Fuelbeds_english!S119*2.54),O119)</f>
        <v>19</v>
      </c>
      <c r="T119" s="36">
        <v>19478</v>
      </c>
      <c r="U119" s="36" t="s">
        <v>352</v>
      </c>
      <c r="V119" s="36">
        <v>100</v>
      </c>
      <c r="W119" s="36">
        <v>1</v>
      </c>
      <c r="X119" s="98">
        <v>2</v>
      </c>
      <c r="Y119" s="29">
        <v>36</v>
      </c>
      <c r="Z119" s="88" t="str">
        <f>+IF(Y119&gt;0,FIXED(Fuelbeds_english!Z119*0.3048,1,0),Y119)</f>
        <v>1.8</v>
      </c>
      <c r="AA119" s="46">
        <v>85</v>
      </c>
      <c r="AB119" s="50">
        <v>23571</v>
      </c>
      <c r="AC119" s="50" t="s">
        <v>161</v>
      </c>
      <c r="AD119" s="50">
        <v>100</v>
      </c>
      <c r="AE119" s="42">
        <v>28</v>
      </c>
      <c r="AF119" s="52" t="str">
        <f>+IF(AE119&gt;0,FIXED(Fuelbeds_english!AF119*0.3048,1,0),AE119)</f>
        <v>0.5</v>
      </c>
      <c r="AG119" s="45">
        <v>75</v>
      </c>
      <c r="AH119" s="52" t="str">
        <f>+IF(AE119&gt;0,FIXED(Fuelbeds_english!AH119*2.242,1,0),AE119)</f>
        <v>0.7</v>
      </c>
      <c r="AI119" s="45">
        <v>39369</v>
      </c>
      <c r="AJ119" s="45" t="s">
        <v>391</v>
      </c>
      <c r="AK119" s="45">
        <v>100</v>
      </c>
      <c r="AL119" s="34">
        <v>5</v>
      </c>
      <c r="AM119" s="52" t="str">
        <f>+IF(AL119&gt;0,FIXED(Fuelbeds_english!AM119*2.54,1,0),AL119)</f>
        <v>2.0</v>
      </c>
      <c r="AN119" s="52" t="str">
        <f>+IF($AM119&gt;0,FIXED(Fuelbeds_english!AN119*2.242,1,0),$AM119)</f>
        <v>0.3</v>
      </c>
      <c r="AO119" s="52" t="str">
        <f>+IF($AM119&gt;0,FIXED(Fuelbeds_english!AO119*2.242,1,0),$AM119)</f>
        <v>0.5</v>
      </c>
      <c r="AP119" s="52" t="str">
        <f>+IF($AM119&gt;0,FIXED(Fuelbeds_english!AP119*2.242,1,0),$AM119)</f>
        <v>0.9</v>
      </c>
      <c r="AQ119" s="52" t="str">
        <f>+IF($AM119&gt;0,FIXED(Fuelbeds_english!AQ119*2.242,1,0),$AM119)</f>
        <v>1.1</v>
      </c>
      <c r="AR119" s="36">
        <v>19478</v>
      </c>
      <c r="AS119" s="45" t="s">
        <v>352</v>
      </c>
      <c r="AT119" s="45">
        <v>100</v>
      </c>
      <c r="AU119" s="44">
        <v>-1</v>
      </c>
      <c r="AV119" s="52">
        <f>+IF(AU119&gt;0,FIXED(Fuelbeds_english!AV119*2.54,1,0),AU119)</f>
        <v>-1</v>
      </c>
      <c r="AW119" s="52">
        <v>-1</v>
      </c>
      <c r="AX119" s="52">
        <v>-1</v>
      </c>
      <c r="AY119" s="52">
        <f>+IF(AX119&gt;0,FIXED(Fuelbeds_english!AY119*2.54,1,0),AX119)</f>
        <v>-1</v>
      </c>
      <c r="AZ119" s="45">
        <v>1</v>
      </c>
      <c r="BA119" s="36">
        <v>26</v>
      </c>
      <c r="BB119" s="52" t="str">
        <f>+IF(BA119&gt;0,FIXED(Fuelbeds_english!BB119*2.54,1,0),BA119)</f>
        <v>3.0</v>
      </c>
      <c r="BC119" s="45">
        <v>-1</v>
      </c>
      <c r="BD119" s="45">
        <v>-1</v>
      </c>
      <c r="BE119" s="45">
        <v>-1</v>
      </c>
      <c r="BF119" s="45">
        <v>100</v>
      </c>
      <c r="BG119" s="45">
        <v>-1</v>
      </c>
      <c r="BH119" s="45">
        <v>-1</v>
      </c>
      <c r="BI119" s="45">
        <v>-1</v>
      </c>
      <c r="BJ119" s="28">
        <v>1</v>
      </c>
      <c r="BK119" s="67">
        <v>21.78359346642468</v>
      </c>
      <c r="BL119" s="52" t="str">
        <f>+IF(BK119&gt;0,FIXED(Fuelbeds_english!BL119*2.54,1,0),BK119)</f>
        <v>1.5</v>
      </c>
      <c r="BM119" s="45">
        <v>3</v>
      </c>
      <c r="BN119" s="67">
        <v>17.423520871143378</v>
      </c>
      <c r="BO119" s="52" t="str">
        <f>+IF(BN119&gt;0,FIXED(Fuelbeds_english!BO119*2.54,1,0),BN119)</f>
        <v>0.8</v>
      </c>
    </row>
    <row r="120" spans="1:67" s="50" customFormat="1" x14ac:dyDescent="0.25">
      <c r="A120" s="50">
        <v>119</v>
      </c>
      <c r="B120" s="52" t="s">
        <v>243</v>
      </c>
      <c r="C120" s="68">
        <v>924061</v>
      </c>
      <c r="D120" s="45" t="s">
        <v>5</v>
      </c>
      <c r="E120" s="11" t="s">
        <v>16</v>
      </c>
      <c r="F120" s="39">
        <v>56</v>
      </c>
      <c r="G120" s="36">
        <v>56</v>
      </c>
      <c r="H120" s="45">
        <f>+IF(F120&gt;0,INT(Fuelbeds_english!H120*2.471),F120)</f>
        <v>107</v>
      </c>
      <c r="I120" s="36">
        <f>+IF(F120&gt;0,INT(Fuelbeds_english!I120*0.3048),F120)</f>
        <v>22</v>
      </c>
      <c r="J120" s="45">
        <f>+IF(F120&gt;0,INT(Fuelbeds_english!J120*0.3048),F120)</f>
        <v>13</v>
      </c>
      <c r="K120" s="45">
        <f>+IF(F120&gt;0,INT(Fuelbeds_english!K120*2.54),F120)</f>
        <v>42</v>
      </c>
      <c r="L120" s="36">
        <v>19478</v>
      </c>
      <c r="M120" s="36" t="s">
        <v>352</v>
      </c>
      <c r="N120" s="36">
        <v>100</v>
      </c>
      <c r="O120" s="43">
        <v>31.888401253918495</v>
      </c>
      <c r="P120" s="45">
        <f>+IF(O120&gt;0,INT(Fuelbeds_english!P120*2.471),O120)</f>
        <v>163</v>
      </c>
      <c r="Q120" s="36">
        <f>+IF(O120&gt;0,INT(Fuelbeds_english!Q120*0.3048),O120)</f>
        <v>14</v>
      </c>
      <c r="R120" s="45">
        <f>+IF(O120&gt;0,INT(Fuelbeds_english!R120*0.3048),O120)</f>
        <v>8</v>
      </c>
      <c r="S120" s="45">
        <f>+IF(O120&gt;0,INT(Fuelbeds_english!S120*2.54),O120)</f>
        <v>22</v>
      </c>
      <c r="T120" s="36">
        <v>19478</v>
      </c>
      <c r="U120" s="36" t="s">
        <v>352</v>
      </c>
      <c r="V120" s="36">
        <v>100</v>
      </c>
      <c r="W120" s="36">
        <v>1</v>
      </c>
      <c r="X120" s="98">
        <v>2</v>
      </c>
      <c r="Y120" s="29">
        <v>22</v>
      </c>
      <c r="Z120" s="88" t="str">
        <f>+IF(Y120&gt;0,FIXED(Fuelbeds_english!Z120*0.3048,1,0),Y120)</f>
        <v>1.8</v>
      </c>
      <c r="AA120" s="46">
        <v>85</v>
      </c>
      <c r="AB120" s="50">
        <v>23571</v>
      </c>
      <c r="AC120" s="50" t="s">
        <v>161</v>
      </c>
      <c r="AD120" s="50">
        <v>100</v>
      </c>
      <c r="AE120" s="42">
        <v>17</v>
      </c>
      <c r="AF120" s="52" t="str">
        <f>+IF(AE120&gt;0,FIXED(Fuelbeds_english!AF120*0.3048,1,0),AE120)</f>
        <v>0.5</v>
      </c>
      <c r="AG120" s="45">
        <v>75</v>
      </c>
      <c r="AH120" s="52" t="str">
        <f>+IF(AE120&gt;0,FIXED(Fuelbeds_english!AH120*2.242,1,0),AE120)</f>
        <v>0.4</v>
      </c>
      <c r="AI120" s="45">
        <v>39369</v>
      </c>
      <c r="AJ120" s="45" t="s">
        <v>391</v>
      </c>
      <c r="AK120" s="45">
        <v>100</v>
      </c>
      <c r="AL120" s="34">
        <v>12</v>
      </c>
      <c r="AM120" s="52" t="str">
        <f>+IF(AL120&gt;0,FIXED(Fuelbeds_english!AM120*2.54,1,0),AL120)</f>
        <v>2.0</v>
      </c>
      <c r="AN120" s="52" t="str">
        <f>+IF($AM120&gt;0,FIXED(Fuelbeds_english!AN120*2.242,1,0),$AM120)</f>
        <v>0.7</v>
      </c>
      <c r="AO120" s="52" t="str">
        <f>+IF($AM120&gt;0,FIXED(Fuelbeds_english!AO120*2.242,1,0),$AM120)</f>
        <v>1.1</v>
      </c>
      <c r="AP120" s="52" t="str">
        <f>+IF($AM120&gt;0,FIXED(Fuelbeds_english!AP120*2.242,1,0),$AM120)</f>
        <v>2.2</v>
      </c>
      <c r="AQ120" s="52" t="str">
        <f>+IF($AM120&gt;0,FIXED(Fuelbeds_english!AQ120*2.242,1,0),$AM120)</f>
        <v>2.6</v>
      </c>
      <c r="AR120" s="36">
        <v>19478</v>
      </c>
      <c r="AS120" s="45" t="s">
        <v>352</v>
      </c>
      <c r="AT120" s="45">
        <v>100</v>
      </c>
      <c r="AU120" s="44">
        <v>-1</v>
      </c>
      <c r="AV120" s="52">
        <f>+IF(AU120&gt;0,FIXED(Fuelbeds_english!AV120*2.54,1,0),AU120)</f>
        <v>-1</v>
      </c>
      <c r="AW120" s="52">
        <v>-1</v>
      </c>
      <c r="AX120" s="52">
        <v>-1</v>
      </c>
      <c r="AY120" s="52">
        <f>+IF(AX120&gt;0,FIXED(Fuelbeds_english!AY120*2.54,1,0),AX120)</f>
        <v>-1</v>
      </c>
      <c r="AZ120" s="45">
        <v>1</v>
      </c>
      <c r="BA120" s="36">
        <v>61</v>
      </c>
      <c r="BB120" s="52" t="str">
        <f>+IF(BA120&gt;0,FIXED(Fuelbeds_english!BB120*2.54,1,0),BA120)</f>
        <v>3.0</v>
      </c>
      <c r="BC120" s="45">
        <v>-1</v>
      </c>
      <c r="BD120" s="45">
        <v>-1</v>
      </c>
      <c r="BE120" s="45">
        <v>-1</v>
      </c>
      <c r="BF120" s="45">
        <v>100</v>
      </c>
      <c r="BG120" s="45">
        <v>-1</v>
      </c>
      <c r="BH120" s="45">
        <v>-1</v>
      </c>
      <c r="BI120" s="45">
        <v>-1</v>
      </c>
      <c r="BJ120" s="28">
        <v>1</v>
      </c>
      <c r="BK120" s="67">
        <v>50.408315459495135</v>
      </c>
      <c r="BL120" s="52" t="str">
        <f>+IF(BK120&gt;0,FIXED(Fuelbeds_english!BL120*2.54,1,0),BK120)</f>
        <v>1.5</v>
      </c>
      <c r="BM120" s="45">
        <v>3</v>
      </c>
      <c r="BN120" s="67">
        <v>40.318891272067319</v>
      </c>
      <c r="BO120" s="52" t="str">
        <f>+IF(BN120&gt;0,FIXED(Fuelbeds_english!BO120*2.54,1,0),BN120)</f>
        <v>0.8</v>
      </c>
    </row>
    <row r="121" spans="1:67" s="50" customFormat="1" x14ac:dyDescent="0.25">
      <c r="A121" s="50">
        <v>120</v>
      </c>
      <c r="B121" s="52" t="s">
        <v>244</v>
      </c>
      <c r="C121" s="68">
        <v>934061</v>
      </c>
      <c r="D121" s="36" t="s">
        <v>5</v>
      </c>
      <c r="E121" s="11" t="s">
        <v>16</v>
      </c>
      <c r="F121" s="39">
        <v>73.7</v>
      </c>
      <c r="G121" s="36">
        <v>73.7</v>
      </c>
      <c r="H121" s="45">
        <f>+IF(F121&gt;0,INT(Fuelbeds_english!H121*2.471),F121)</f>
        <v>141</v>
      </c>
      <c r="I121" s="36">
        <f>+IF(F121&gt;0,INT(Fuelbeds_english!I121*0.3048),F121)</f>
        <v>25</v>
      </c>
      <c r="J121" s="45">
        <f>+IF(F121&gt;0,INT(Fuelbeds_english!J121*0.3048),F121)</f>
        <v>15</v>
      </c>
      <c r="K121" s="45">
        <f>+IF(F121&gt;0,INT(Fuelbeds_english!K121*2.54),F121)</f>
        <v>49</v>
      </c>
      <c r="L121" s="36">
        <v>19478</v>
      </c>
      <c r="M121" s="36" t="s">
        <v>352</v>
      </c>
      <c r="N121" s="36">
        <v>100</v>
      </c>
      <c r="O121" s="43">
        <v>41.967413793103454</v>
      </c>
      <c r="P121" s="45">
        <f>+IF(O121&gt;0,INT(Fuelbeds_english!P121*2.471),O121)</f>
        <v>214</v>
      </c>
      <c r="Q121" s="36">
        <f>+IF(O121&gt;0,INT(Fuelbeds_english!Q121*0.3048),O121)</f>
        <v>16</v>
      </c>
      <c r="R121" s="45">
        <f>+IF(O121&gt;0,INT(Fuelbeds_english!R121*0.3048),O121)</f>
        <v>9</v>
      </c>
      <c r="S121" s="45">
        <f>+IF(O121&gt;0,INT(Fuelbeds_english!S121*2.54),O121)</f>
        <v>26</v>
      </c>
      <c r="T121" s="36">
        <v>19478</v>
      </c>
      <c r="U121" s="36" t="s">
        <v>352</v>
      </c>
      <c r="V121" s="36">
        <v>100</v>
      </c>
      <c r="W121" s="36">
        <v>1</v>
      </c>
      <c r="X121" s="98">
        <v>2</v>
      </c>
      <c r="Y121" s="29">
        <v>16</v>
      </c>
      <c r="Z121" s="88" t="str">
        <f>+IF(Y121&gt;0,FIXED(Fuelbeds_english!Z121*0.3048,1,0),Y121)</f>
        <v>1.8</v>
      </c>
      <c r="AA121" s="46">
        <v>85</v>
      </c>
      <c r="AB121" s="50">
        <v>23571</v>
      </c>
      <c r="AC121" s="50" t="s">
        <v>161</v>
      </c>
      <c r="AD121" s="50">
        <v>100</v>
      </c>
      <c r="AE121" s="42">
        <v>13</v>
      </c>
      <c r="AF121" s="52" t="str">
        <f>+IF(AE121&gt;0,FIXED(Fuelbeds_english!AF121*0.3048,1,0),AE121)</f>
        <v>0.5</v>
      </c>
      <c r="AG121" s="45">
        <v>75</v>
      </c>
      <c r="AH121" s="52" t="str">
        <f>+IF(AE121&gt;0,FIXED(Fuelbeds_english!AH121*2.242,1,0),AE121)</f>
        <v>0.3</v>
      </c>
      <c r="AI121" s="45">
        <v>39369</v>
      </c>
      <c r="AJ121" s="45" t="s">
        <v>391</v>
      </c>
      <c r="AK121" s="45">
        <v>100</v>
      </c>
      <c r="AL121" s="34">
        <v>15</v>
      </c>
      <c r="AM121" s="52" t="str">
        <f>+IF(AL121&gt;0,FIXED(Fuelbeds_english!AM121*2.54,1,0),AL121)</f>
        <v>2.0</v>
      </c>
      <c r="AN121" s="52" t="str">
        <f>+IF($AM121&gt;0,FIXED(Fuelbeds_english!AN121*2.242,1,0),$AM121)</f>
        <v>0.9</v>
      </c>
      <c r="AO121" s="52" t="str">
        <f>+IF($AM121&gt;0,FIXED(Fuelbeds_english!AO121*2.242,1,0),$AM121)</f>
        <v>1.5</v>
      </c>
      <c r="AP121" s="52" t="str">
        <f>+IF($AM121&gt;0,FIXED(Fuelbeds_english!AP121*2.242,1,0),$AM121)</f>
        <v>2.9</v>
      </c>
      <c r="AQ121" s="52" t="str">
        <f>+IF($AM121&gt;0,FIXED(Fuelbeds_english!AQ121*2.242,1,0),$AM121)</f>
        <v>3.4</v>
      </c>
      <c r="AR121" s="36">
        <v>19478</v>
      </c>
      <c r="AS121" s="45" t="s">
        <v>352</v>
      </c>
      <c r="AT121" s="45">
        <v>100</v>
      </c>
      <c r="AU121" s="44">
        <v>-1</v>
      </c>
      <c r="AV121" s="52">
        <f>+IF(AU121&gt;0,FIXED(Fuelbeds_english!AV121*2.54,1,0),AU121)</f>
        <v>-1</v>
      </c>
      <c r="AW121" s="52">
        <v>-1</v>
      </c>
      <c r="AX121" s="52">
        <v>-1</v>
      </c>
      <c r="AY121" s="52">
        <f>+IF(AX121&gt;0,FIXED(Fuelbeds_english!AY121*2.54,1,0),AX121)</f>
        <v>-1</v>
      </c>
      <c r="AZ121" s="45">
        <v>1</v>
      </c>
      <c r="BA121" s="36">
        <v>80</v>
      </c>
      <c r="BB121" s="52" t="str">
        <f>+IF(BA121&gt;0,FIXED(Fuelbeds_english!BB121*2.54,1,0),BA121)</f>
        <v>3.0</v>
      </c>
      <c r="BC121" s="45">
        <v>-1</v>
      </c>
      <c r="BD121" s="45">
        <v>-1</v>
      </c>
      <c r="BE121" s="45">
        <v>-1</v>
      </c>
      <c r="BF121" s="45">
        <v>100</v>
      </c>
      <c r="BG121" s="45">
        <v>-1</v>
      </c>
      <c r="BH121" s="45">
        <v>-1</v>
      </c>
      <c r="BI121" s="45">
        <v>-1</v>
      </c>
      <c r="BJ121" s="28">
        <v>1</v>
      </c>
      <c r="BK121" s="67">
        <v>66.340943738656989</v>
      </c>
      <c r="BL121" s="52" t="str">
        <f>+IF(BK121&gt;0,FIXED(Fuelbeds_english!BL121*2.54,1,0),BK121)</f>
        <v>1.5</v>
      </c>
      <c r="BM121" s="45">
        <v>3</v>
      </c>
      <c r="BN121" s="67">
        <v>53.062540834845734</v>
      </c>
      <c r="BO121" s="52" t="str">
        <f>+IF(BN121&gt;0,FIXED(Fuelbeds_english!BO121*2.54,1,0),BN121)</f>
        <v>0.8</v>
      </c>
    </row>
    <row r="122" spans="1:67" s="50" customFormat="1" x14ac:dyDescent="0.25">
      <c r="A122" s="50">
        <v>121</v>
      </c>
      <c r="B122" s="52" t="s">
        <v>245</v>
      </c>
      <c r="C122" s="68">
        <v>914091</v>
      </c>
      <c r="D122" s="45" t="s">
        <v>5</v>
      </c>
      <c r="E122" s="24" t="s">
        <v>353</v>
      </c>
      <c r="F122" s="39">
        <v>22.4</v>
      </c>
      <c r="G122" s="36">
        <v>22.4</v>
      </c>
      <c r="H122" s="45">
        <f>+IF(F122&gt;0,INT(Fuelbeds_english!H122*2.471),F122)</f>
        <v>101</v>
      </c>
      <c r="I122" s="36">
        <f>+IF(F122&gt;0,INT(Fuelbeds_english!I122*0.3048),F122)</f>
        <v>19</v>
      </c>
      <c r="J122" s="45">
        <f>+IF(F122&gt;0,INT(Fuelbeds_english!J122*0.3048),F122)</f>
        <v>9</v>
      </c>
      <c r="K122" s="45">
        <f>+IF(F122&gt;0,INT(Fuelbeds_english!K122*2.54),F122)</f>
        <v>31</v>
      </c>
      <c r="L122" s="36">
        <v>18035</v>
      </c>
      <c r="M122" s="36" t="s">
        <v>370</v>
      </c>
      <c r="N122" s="36">
        <v>100</v>
      </c>
      <c r="O122" s="36">
        <v>9.3151219512195116</v>
      </c>
      <c r="P122" s="45">
        <f>+IF(O122&gt;0,INT(Fuelbeds_english!P122*2.471),O122)</f>
        <v>151</v>
      </c>
      <c r="Q122" s="36">
        <f>+IF(O122&gt;0,INT(Fuelbeds_english!Q122*0.3048),O122)</f>
        <v>10</v>
      </c>
      <c r="R122" s="45">
        <f>+IF(O122&gt;0,INT(Fuelbeds_english!R122*0.3048),O122)</f>
        <v>5</v>
      </c>
      <c r="S122" s="45">
        <f>+IF(O122&gt;0,INT(Fuelbeds_english!S122*2.54),O122)</f>
        <v>16</v>
      </c>
      <c r="T122" s="36">
        <v>18031</v>
      </c>
      <c r="U122" s="36" t="s">
        <v>385</v>
      </c>
      <c r="V122" s="36">
        <v>100</v>
      </c>
      <c r="W122" s="36">
        <v>1</v>
      </c>
      <c r="X122" s="98">
        <v>2</v>
      </c>
      <c r="Y122" s="29">
        <v>35.326936708860757</v>
      </c>
      <c r="Z122" s="88" t="str">
        <f>+IF(Y122&gt;0,FIXED(Fuelbeds_english!Z122*0.3048,1,0),Y122)</f>
        <v>1.5</v>
      </c>
      <c r="AA122" s="46">
        <v>85</v>
      </c>
      <c r="AB122" s="50">
        <v>23571</v>
      </c>
      <c r="AC122" s="50" t="s">
        <v>161</v>
      </c>
      <c r="AD122" s="50">
        <v>100</v>
      </c>
      <c r="AE122" s="42">
        <v>27</v>
      </c>
      <c r="AF122" s="52" t="str">
        <f>+IF(AE122&gt;0,FIXED(Fuelbeds_english!AF122*0.3048,1,0),AE122)</f>
        <v>0.5</v>
      </c>
      <c r="AG122" s="45">
        <v>80</v>
      </c>
      <c r="AH122" s="52" t="str">
        <f>+IF(AE122&gt;0,FIXED(Fuelbeds_english!AH122*2.242,1,0),AE122)</f>
        <v>0.5</v>
      </c>
      <c r="AI122" s="53" t="s">
        <v>395</v>
      </c>
      <c r="AJ122" s="45" t="s">
        <v>394</v>
      </c>
      <c r="AK122" s="45" t="s">
        <v>156</v>
      </c>
      <c r="AL122" s="34">
        <v>9.2878048780487799</v>
      </c>
      <c r="AM122" s="52" t="str">
        <f>+IF(AL122&gt;0,FIXED(Fuelbeds_english!AM122*2.54,1,0),AL122)</f>
        <v>5.1</v>
      </c>
      <c r="AN122" s="52" t="str">
        <f>+IF($AM122&gt;0,FIXED(Fuelbeds_english!AN122*2.242,1,0),$AM122)</f>
        <v>0.3</v>
      </c>
      <c r="AO122" s="52" t="str">
        <f>+IF($AM122&gt;0,FIXED(Fuelbeds_english!AO122*2.242,1,0),$AM122)</f>
        <v>0.6</v>
      </c>
      <c r="AP122" s="52" t="str">
        <f>+IF($AM122&gt;0,FIXED(Fuelbeds_english!AP122*2.242,1,0),$AM122)</f>
        <v>1.0</v>
      </c>
      <c r="AQ122" s="52" t="str">
        <f>+IF($AM122&gt;0,FIXED(Fuelbeds_english!AQ122*2.242,1,0),$AM122)</f>
        <v>3.4</v>
      </c>
      <c r="AR122" s="55" t="s">
        <v>387</v>
      </c>
      <c r="AS122" s="45" t="s">
        <v>386</v>
      </c>
      <c r="AT122" s="45" t="s">
        <v>388</v>
      </c>
      <c r="AU122" s="44">
        <v>6</v>
      </c>
      <c r="AV122" s="52" t="str">
        <f>+IF(AU122&gt;0,FIXED(Fuelbeds_english!AV122*2.54,1,0),AU122)</f>
        <v>1.3</v>
      </c>
      <c r="AW122" s="88">
        <v>2</v>
      </c>
      <c r="AX122" s="88">
        <v>28</v>
      </c>
      <c r="AY122" s="52" t="str">
        <f>+IF(AX122&gt;0,FIXED(Fuelbeds_english!AY122*2.54,1,0),AX122)</f>
        <v>4.3</v>
      </c>
      <c r="AZ122" s="45">
        <v>1</v>
      </c>
      <c r="BA122" s="36">
        <v>23.164878048780487</v>
      </c>
      <c r="BB122" s="52" t="str">
        <f>+IF(BA122&gt;0,FIXED(Fuelbeds_english!BB122*2.54,1,0),BA122)</f>
        <v>2.5</v>
      </c>
      <c r="BC122" s="45">
        <v>60</v>
      </c>
      <c r="BD122" s="45">
        <v>-1</v>
      </c>
      <c r="BE122" s="45">
        <v>40</v>
      </c>
      <c r="BF122" s="45">
        <v>-1</v>
      </c>
      <c r="BG122" s="45">
        <v>-1</v>
      </c>
      <c r="BH122" s="45">
        <v>-1</v>
      </c>
      <c r="BI122" s="45">
        <v>-1</v>
      </c>
      <c r="BJ122" s="28">
        <v>1</v>
      </c>
      <c r="BK122" s="36">
        <v>25.923902439024388</v>
      </c>
      <c r="BL122" s="52" t="str">
        <f>+IF(BK122&gt;0,FIXED(Fuelbeds_english!BL122*2.54,1,0),BK122)</f>
        <v>4.6</v>
      </c>
      <c r="BM122" s="45">
        <v>3</v>
      </c>
      <c r="BN122" s="36">
        <v>25.104390243902436</v>
      </c>
      <c r="BO122" s="52" t="str">
        <f>+IF(BN122&gt;0,FIXED(Fuelbeds_english!BO122*2.54,1,0),BN122)</f>
        <v>4.8</v>
      </c>
    </row>
    <row r="123" spans="1:67" s="50" customFormat="1" x14ac:dyDescent="0.25">
      <c r="A123" s="50">
        <v>122</v>
      </c>
      <c r="B123" s="52" t="s">
        <v>246</v>
      </c>
      <c r="C123" s="68">
        <v>924091</v>
      </c>
      <c r="D123" s="45" t="s">
        <v>5</v>
      </c>
      <c r="E123" s="24" t="s">
        <v>353</v>
      </c>
      <c r="F123" s="39">
        <v>59</v>
      </c>
      <c r="G123" s="36">
        <v>59</v>
      </c>
      <c r="H123" s="45">
        <f>+IF(F123&gt;0,INT(Fuelbeds_english!H123*2.471),F123)</f>
        <v>266</v>
      </c>
      <c r="I123" s="36">
        <f>+IF(F123&gt;0,INT(Fuelbeds_english!I123*0.3048),F123)</f>
        <v>22</v>
      </c>
      <c r="J123" s="45">
        <f>+IF(F123&gt;0,INT(Fuelbeds_english!J123*0.3048),F123)</f>
        <v>11</v>
      </c>
      <c r="K123" s="45">
        <f>+IF(F123&gt;0,INT(Fuelbeds_english!K123*2.54),F123)</f>
        <v>37</v>
      </c>
      <c r="L123" s="36">
        <v>18035</v>
      </c>
      <c r="M123" s="36" t="s">
        <v>370</v>
      </c>
      <c r="N123" s="36">
        <v>100</v>
      </c>
      <c r="O123" s="36">
        <v>24.535365853658536</v>
      </c>
      <c r="P123" s="45">
        <f>+IF(O123&gt;0,INT(Fuelbeds_english!P123*2.471),O123)</f>
        <v>399</v>
      </c>
      <c r="Q123" s="36">
        <f>+IF(O123&gt;0,INT(Fuelbeds_english!Q123*0.3048),O123)</f>
        <v>12</v>
      </c>
      <c r="R123" s="45">
        <f>+IF(O123&gt;0,INT(Fuelbeds_english!R123*0.3048),O123)</f>
        <v>6</v>
      </c>
      <c r="S123" s="45">
        <f>+IF(O123&gt;0,INT(Fuelbeds_english!S123*2.54),O123)</f>
        <v>19</v>
      </c>
      <c r="T123" s="36">
        <v>18031</v>
      </c>
      <c r="U123" s="36" t="s">
        <v>385</v>
      </c>
      <c r="V123" s="36">
        <v>100</v>
      </c>
      <c r="W123" s="36">
        <v>1</v>
      </c>
      <c r="X123" s="98">
        <v>2</v>
      </c>
      <c r="Y123" s="29">
        <v>20.76923076923077</v>
      </c>
      <c r="Z123" s="88" t="str">
        <f>+IF(Y123&gt;0,FIXED(Fuelbeds_english!Z123*0.3048,1,0),Y123)</f>
        <v>1.5</v>
      </c>
      <c r="AA123" s="46">
        <v>85</v>
      </c>
      <c r="AB123" s="50">
        <v>23571</v>
      </c>
      <c r="AC123" s="50" t="s">
        <v>161</v>
      </c>
      <c r="AD123" s="50">
        <v>100</v>
      </c>
      <c r="AE123" s="42">
        <v>16</v>
      </c>
      <c r="AF123" s="52" t="str">
        <f>+IF(AE123&gt;0,FIXED(Fuelbeds_english!AF123*0.3048,1,0),AE123)</f>
        <v>0.5</v>
      </c>
      <c r="AG123" s="45">
        <v>80</v>
      </c>
      <c r="AH123" s="52" t="str">
        <f>+IF(AE123&gt;0,FIXED(Fuelbeds_english!AH123*2.242,1,0),AE123)</f>
        <v>0.3</v>
      </c>
      <c r="AI123" s="45" t="s">
        <v>395</v>
      </c>
      <c r="AJ123" s="45" t="s">
        <v>394</v>
      </c>
      <c r="AK123" s="45" t="s">
        <v>156</v>
      </c>
      <c r="AL123" s="34">
        <v>24.463414634146343</v>
      </c>
      <c r="AM123" s="52" t="str">
        <f>+IF(AL123&gt;0,FIXED(Fuelbeds_english!AM123*2.54,1,0),AL123)</f>
        <v>5.1</v>
      </c>
      <c r="AN123" s="52" t="str">
        <f>+IF($AM123&gt;0,FIXED(Fuelbeds_english!AN123*2.242,1,0),$AM123)</f>
        <v>0.9</v>
      </c>
      <c r="AO123" s="52" t="str">
        <f>+IF($AM123&gt;0,FIXED(Fuelbeds_english!AO123*2.242,1,0),$AM123)</f>
        <v>1.7</v>
      </c>
      <c r="AP123" s="52" t="str">
        <f>+IF($AM123&gt;0,FIXED(Fuelbeds_english!AP123*2.242,1,0),$AM123)</f>
        <v>2.5</v>
      </c>
      <c r="AQ123" s="52" t="str">
        <f>+IF($AM123&gt;0,FIXED(Fuelbeds_english!AQ123*2.242,1,0),$AM123)</f>
        <v>9.0</v>
      </c>
      <c r="AR123" s="55" t="s">
        <v>387</v>
      </c>
      <c r="AS123" s="45" t="s">
        <v>386</v>
      </c>
      <c r="AT123" s="45" t="s">
        <v>388</v>
      </c>
      <c r="AU123" s="44">
        <v>6</v>
      </c>
      <c r="AV123" s="52" t="str">
        <f>+IF(AU123&gt;0,FIXED(Fuelbeds_english!AV123*2.54,1,0),AU123)</f>
        <v>1.3</v>
      </c>
      <c r="AW123" s="88">
        <v>2</v>
      </c>
      <c r="AX123" s="88">
        <v>28</v>
      </c>
      <c r="AY123" s="52" t="str">
        <f>+IF(AX123&gt;0,FIXED(Fuelbeds_english!AY123*2.54,1,0),AX123)</f>
        <v>4.3</v>
      </c>
      <c r="AZ123" s="45">
        <v>1</v>
      </c>
      <c r="BA123" s="36">
        <v>61.014634146341471</v>
      </c>
      <c r="BB123" s="52" t="str">
        <f>+IF(BA123&gt;0,FIXED(Fuelbeds_english!BB123*2.54,1,0),BA123)</f>
        <v>2.5</v>
      </c>
      <c r="BC123" s="45">
        <v>60</v>
      </c>
      <c r="BD123" s="45">
        <v>-1</v>
      </c>
      <c r="BE123" s="45">
        <v>40</v>
      </c>
      <c r="BF123" s="45">
        <v>-1</v>
      </c>
      <c r="BG123" s="45">
        <v>-1</v>
      </c>
      <c r="BH123" s="45">
        <v>-1</v>
      </c>
      <c r="BI123" s="45">
        <v>-1</v>
      </c>
      <c r="BJ123" s="28">
        <v>1</v>
      </c>
      <c r="BK123" s="36">
        <v>68.28170731707317</v>
      </c>
      <c r="BL123" s="52" t="str">
        <f>+IF(BK123&gt;0,FIXED(Fuelbeds_english!BL123*2.54,1,0),BK123)</f>
        <v>4.6</v>
      </c>
      <c r="BM123" s="45">
        <v>3</v>
      </c>
      <c r="BN123" s="36">
        <v>66.123170731707319</v>
      </c>
      <c r="BO123" s="52" t="str">
        <f>+IF(BN123&gt;0,FIXED(Fuelbeds_english!BO123*2.54,1,0),BN123)</f>
        <v>4.8</v>
      </c>
    </row>
    <row r="124" spans="1:67" s="50" customFormat="1" x14ac:dyDescent="0.25">
      <c r="A124" s="50">
        <v>123</v>
      </c>
      <c r="B124" s="52" t="s">
        <v>247</v>
      </c>
      <c r="C124" s="68">
        <v>934091</v>
      </c>
      <c r="D124" s="36" t="s">
        <v>5</v>
      </c>
      <c r="E124" s="24" t="s">
        <v>353</v>
      </c>
      <c r="F124" s="39">
        <v>74.099999999999994</v>
      </c>
      <c r="G124" s="36">
        <v>74.099999999999994</v>
      </c>
      <c r="H124" s="45">
        <f>+IF(F124&gt;0,INT(Fuelbeds_english!H124*2.471),F124)</f>
        <v>335</v>
      </c>
      <c r="I124" s="36">
        <f>+IF(F124&gt;0,INT(Fuelbeds_english!I124*0.3048),F124)</f>
        <v>26</v>
      </c>
      <c r="J124" s="45">
        <f>+IF(F124&gt;0,INT(Fuelbeds_english!J124*0.3048),F124)</f>
        <v>13</v>
      </c>
      <c r="K124" s="45">
        <f>+IF(F124&gt;0,INT(Fuelbeds_english!K124*2.54),F124)</f>
        <v>44</v>
      </c>
      <c r="L124" s="36">
        <v>18035</v>
      </c>
      <c r="M124" s="36" t="s">
        <v>370</v>
      </c>
      <c r="N124" s="36">
        <v>100</v>
      </c>
      <c r="O124" s="36">
        <v>30.814756097560974</v>
      </c>
      <c r="P124" s="45">
        <f>+IF(O124&gt;0,INT(Fuelbeds_english!P124*2.471),O124)</f>
        <v>501</v>
      </c>
      <c r="Q124" s="36">
        <f>+IF(O124&gt;0,INT(Fuelbeds_english!Q124*0.3048),O124)</f>
        <v>14</v>
      </c>
      <c r="R124" s="45">
        <f>+IF(O124&gt;0,INT(Fuelbeds_english!R124*0.3048),O124)</f>
        <v>7</v>
      </c>
      <c r="S124" s="45">
        <f>+IF(O124&gt;0,INT(Fuelbeds_english!S124*2.54),O124)</f>
        <v>22</v>
      </c>
      <c r="T124" s="36">
        <v>18031</v>
      </c>
      <c r="U124" s="36" t="s">
        <v>385</v>
      </c>
      <c r="V124" s="36">
        <v>100</v>
      </c>
      <c r="W124" s="36">
        <v>1</v>
      </c>
      <c r="X124" s="98">
        <v>2</v>
      </c>
      <c r="Y124" s="29">
        <v>20.76923076923077</v>
      </c>
      <c r="Z124" s="88" t="str">
        <f>+IF(Y124&gt;0,FIXED(Fuelbeds_english!Z124*0.3048,1,0),Y124)</f>
        <v>1.5</v>
      </c>
      <c r="AA124" s="46">
        <v>85</v>
      </c>
      <c r="AB124" s="50">
        <v>23571</v>
      </c>
      <c r="AC124" s="50" t="s">
        <v>161</v>
      </c>
      <c r="AD124" s="50">
        <v>100</v>
      </c>
      <c r="AE124" s="42">
        <v>16</v>
      </c>
      <c r="AF124" s="52" t="str">
        <f>+IF(AE124&gt;0,FIXED(Fuelbeds_english!AF124*0.3048,1,0),AE124)</f>
        <v>0.5</v>
      </c>
      <c r="AG124" s="45">
        <v>80</v>
      </c>
      <c r="AH124" s="52" t="str">
        <f>+IF(AE124&gt;0,FIXED(Fuelbeds_english!AH124*2.242,1,0),AE124)</f>
        <v>0.3</v>
      </c>
      <c r="AI124" s="45" t="s">
        <v>395</v>
      </c>
      <c r="AJ124" s="45" t="s">
        <v>394</v>
      </c>
      <c r="AK124" s="45" t="s">
        <v>156</v>
      </c>
      <c r="AL124" s="34">
        <v>30.724390243902434</v>
      </c>
      <c r="AM124" s="52" t="str">
        <f>+IF(AL124&gt;0,FIXED(Fuelbeds_english!AM124*2.54,1,0),AL124)</f>
        <v>5.1</v>
      </c>
      <c r="AN124" s="52" t="str">
        <f>+IF($AM124&gt;0,FIXED(Fuelbeds_english!AN124*2.242,1,0),$AM124)</f>
        <v>1.1</v>
      </c>
      <c r="AO124" s="52" t="str">
        <f>+IF($AM124&gt;0,FIXED(Fuelbeds_english!AO124*2.242,1,0),$AM124)</f>
        <v>2.1</v>
      </c>
      <c r="AP124" s="52" t="str">
        <f>+IF($AM124&gt;0,FIXED(Fuelbeds_english!AP124*2.242,1,0),$AM124)</f>
        <v>3.2</v>
      </c>
      <c r="AQ124" s="52" t="str">
        <f>+IF($AM124&gt;0,FIXED(Fuelbeds_english!AQ124*2.242,1,0),$AM124)</f>
        <v>11.3</v>
      </c>
      <c r="AR124" s="55" t="s">
        <v>387</v>
      </c>
      <c r="AS124" s="45" t="s">
        <v>386</v>
      </c>
      <c r="AT124" s="45" t="s">
        <v>388</v>
      </c>
      <c r="AU124" s="44">
        <v>6</v>
      </c>
      <c r="AV124" s="52" t="str">
        <f>+IF(AU124&gt;0,FIXED(Fuelbeds_english!AV124*2.54,1,0),AU124)</f>
        <v>1.3</v>
      </c>
      <c r="AW124" s="88">
        <v>2</v>
      </c>
      <c r="AX124" s="88">
        <v>28</v>
      </c>
      <c r="AY124" s="52" t="str">
        <f>+IF(AX124&gt;0,FIXED(Fuelbeds_english!AY124*2.54,1,0),AX124)</f>
        <v>4.3</v>
      </c>
      <c r="AZ124" s="45">
        <v>1</v>
      </c>
      <c r="BA124" s="36">
        <v>76.63024390243902</v>
      </c>
      <c r="BB124" s="52" t="str">
        <f>+IF(BA124&gt;0,FIXED(Fuelbeds_english!BB124*2.54,1,0),BA124)</f>
        <v>2.5</v>
      </c>
      <c r="BC124" s="45">
        <v>60</v>
      </c>
      <c r="BD124" s="45">
        <v>-1</v>
      </c>
      <c r="BE124" s="45">
        <v>40</v>
      </c>
      <c r="BF124" s="45">
        <v>-1</v>
      </c>
      <c r="BG124" s="45">
        <v>-1</v>
      </c>
      <c r="BH124" s="45">
        <v>-1</v>
      </c>
      <c r="BI124" s="45">
        <v>-1</v>
      </c>
      <c r="BJ124" s="28">
        <v>1</v>
      </c>
      <c r="BK124" s="36">
        <v>85.757195121951199</v>
      </c>
      <c r="BL124" s="52" t="str">
        <f>+IF(BK124&gt;0,FIXED(Fuelbeds_english!BL124*2.54,1,0),BK124)</f>
        <v>4.6</v>
      </c>
      <c r="BM124" s="45">
        <v>3</v>
      </c>
      <c r="BN124" s="36">
        <v>83.046219512195108</v>
      </c>
      <c r="BO124" s="52" t="str">
        <f>+IF(BN124&gt;0,FIXED(Fuelbeds_english!BO124*2.54,1,0),BN124)</f>
        <v>4.8</v>
      </c>
    </row>
    <row r="125" spans="1:67" s="50" customFormat="1" x14ac:dyDescent="0.25">
      <c r="A125" s="50">
        <v>124</v>
      </c>
      <c r="B125" s="52" t="s">
        <v>248</v>
      </c>
      <c r="C125" s="72">
        <v>914092</v>
      </c>
      <c r="D125" s="45" t="s">
        <v>5</v>
      </c>
      <c r="E125" s="76" t="s">
        <v>354</v>
      </c>
      <c r="F125" s="39">
        <v>21.8</v>
      </c>
      <c r="G125" s="36">
        <v>21.8</v>
      </c>
      <c r="H125" s="45">
        <f>+IF(F125&gt;0,INT(Fuelbeds_english!H125*2.471),F125)</f>
        <v>188</v>
      </c>
      <c r="I125" s="36">
        <f>+IF(F125&gt;0,INT(Fuelbeds_english!I125*0.3048),F125)</f>
        <v>16</v>
      </c>
      <c r="J125" s="45">
        <f>+IF(F125&gt;0,INT(Fuelbeds_english!J125*0.3048),F125)</f>
        <v>5</v>
      </c>
      <c r="K125" s="45">
        <f>+IF(F125&gt;0,INT(Fuelbeds_english!K125*2.54),F125)</f>
        <v>20</v>
      </c>
      <c r="L125" s="36">
        <v>183412</v>
      </c>
      <c r="M125" s="36" t="s">
        <v>398</v>
      </c>
      <c r="N125" s="36">
        <v>100</v>
      </c>
      <c r="O125" s="36">
        <v>5.7224999999999993</v>
      </c>
      <c r="P125" s="45">
        <f>+IF(O125&gt;0,INT(Fuelbeds_english!P125*2.471),O125)</f>
        <v>323</v>
      </c>
      <c r="Q125" s="36">
        <f>+IF(O125&gt;0,INT(Fuelbeds_english!Q125*0.3048),O125)</f>
        <v>9</v>
      </c>
      <c r="R125" s="45">
        <f>+IF(O125&gt;0,INT(Fuelbeds_english!R125*0.3048),O125)</f>
        <v>2</v>
      </c>
      <c r="S125" s="45">
        <f>+IF(O125&gt;0,INT(Fuelbeds_english!S125*2.54),O125)</f>
        <v>6</v>
      </c>
      <c r="T125" s="36">
        <v>183412</v>
      </c>
      <c r="U125" s="36" t="s">
        <v>398</v>
      </c>
      <c r="V125" s="36">
        <v>100</v>
      </c>
      <c r="W125" s="36">
        <v>1</v>
      </c>
      <c r="X125" s="98">
        <v>2</v>
      </c>
      <c r="Y125" s="29">
        <v>47.178571428571431</v>
      </c>
      <c r="Z125" s="88" t="str">
        <f>+IF(Y125&gt;0,FIXED(Fuelbeds_english!Z125*0.3048,1,0),Y125)</f>
        <v>0.9</v>
      </c>
      <c r="AA125" s="46">
        <v>90</v>
      </c>
      <c r="AB125" s="50">
        <v>22476</v>
      </c>
      <c r="AC125" s="50" t="s">
        <v>157</v>
      </c>
      <c r="AD125" s="50">
        <v>100</v>
      </c>
      <c r="AE125" s="42">
        <v>18.87142857142857</v>
      </c>
      <c r="AF125" s="52" t="str">
        <f>+IF(AE125&gt;0,FIXED(Fuelbeds_english!AF125*0.3048,1,0),AE125)</f>
        <v>0.4</v>
      </c>
      <c r="AG125" s="45">
        <v>80</v>
      </c>
      <c r="AH125" s="52" t="str">
        <f>+IF(AE125&gt;0,FIXED(Fuelbeds_english!AH125*2.242,1,0),AE125)</f>
        <v>0.2</v>
      </c>
      <c r="AI125" s="45">
        <v>40529</v>
      </c>
      <c r="AJ125" s="45" t="s">
        <v>356</v>
      </c>
      <c r="AK125" s="45">
        <v>100</v>
      </c>
      <c r="AL125" s="34">
        <v>12.535</v>
      </c>
      <c r="AM125" s="52" t="str">
        <f>+IF(AL125&gt;0,FIXED(Fuelbeds_english!AM125*2.54,1,0),AL125)</f>
        <v>2.5</v>
      </c>
      <c r="AN125" s="52" t="str">
        <f>+IF($AM125&gt;0,FIXED(Fuelbeds_english!AN125*2.242,1,0),$AM125)</f>
        <v>0.4</v>
      </c>
      <c r="AO125" s="52" t="str">
        <f>+IF($AM125&gt;0,FIXED(Fuelbeds_english!AO125*2.242,1,0),$AM125)</f>
        <v>1.0</v>
      </c>
      <c r="AP125" s="52" t="str">
        <f>+IF($AM125&gt;0,FIXED(Fuelbeds_english!AP125*2.242,1,0),$AM125)</f>
        <v>2.1</v>
      </c>
      <c r="AQ125" s="52" t="str">
        <f>+IF($AM125&gt;0,FIXED(Fuelbeds_english!AQ125*2.242,1,0),$AM125)</f>
        <v>6.5</v>
      </c>
      <c r="AR125" s="36">
        <v>183412</v>
      </c>
      <c r="AS125" s="45" t="s">
        <v>398</v>
      </c>
      <c r="AT125" s="45">
        <v>100</v>
      </c>
      <c r="AU125" s="44">
        <v>-1</v>
      </c>
      <c r="AV125" s="52">
        <f>+IF(AU125&gt;0,FIXED(Fuelbeds_english!AV125*2.54,1,0),AU125)</f>
        <v>-1</v>
      </c>
      <c r="AW125" s="88">
        <v>1</v>
      </c>
      <c r="AX125" s="88">
        <v>63</v>
      </c>
      <c r="AY125" s="52" t="str">
        <f>+IF(AX125&gt;0,FIXED(Fuelbeds_english!AY125*2.54,1,0),AX125)</f>
        <v>5.8</v>
      </c>
      <c r="AZ125" s="45">
        <v>1</v>
      </c>
      <c r="BA125" s="36">
        <v>21.8</v>
      </c>
      <c r="BB125" s="52" t="str">
        <f>+IF(BA125&gt;0,FIXED(Fuelbeds_english!BB125*2.54,1,0),BA125)</f>
        <v>1.8</v>
      </c>
      <c r="BC125" s="45">
        <v>-1</v>
      </c>
      <c r="BD125" s="45">
        <v>-1</v>
      </c>
      <c r="BE125" s="45">
        <v>100</v>
      </c>
      <c r="BF125" s="45">
        <v>-1</v>
      </c>
      <c r="BG125" s="45">
        <v>-1</v>
      </c>
      <c r="BH125" s="45">
        <v>-1</v>
      </c>
      <c r="BI125" s="45">
        <v>-1</v>
      </c>
      <c r="BJ125" s="28">
        <v>2</v>
      </c>
      <c r="BK125" s="36">
        <v>100</v>
      </c>
      <c r="BL125" s="52" t="str">
        <f>+IF(BK125&gt;0,FIXED(Fuelbeds_english!BL125*2.54,1,0),BK125)</f>
        <v>12.7</v>
      </c>
      <c r="BM125" s="45">
        <v>4</v>
      </c>
      <c r="BN125" s="36">
        <v>100</v>
      </c>
      <c r="BO125" s="52" t="str">
        <f>+IF(BN125&gt;0,FIXED(Fuelbeds_english!BO125*2.54,1,0),BN125)</f>
        <v>12.7</v>
      </c>
    </row>
    <row r="126" spans="1:67" s="50" customFormat="1" x14ac:dyDescent="0.25">
      <c r="A126" s="50">
        <v>125</v>
      </c>
      <c r="B126" s="52" t="s">
        <v>528</v>
      </c>
      <c r="C126" s="72">
        <v>924092</v>
      </c>
      <c r="D126" s="45" t="s">
        <v>5</v>
      </c>
      <c r="E126" s="76" t="s">
        <v>354</v>
      </c>
      <c r="F126" s="39">
        <v>58.4</v>
      </c>
      <c r="G126" s="36">
        <v>58.4</v>
      </c>
      <c r="H126" s="45">
        <f>+IF(F126&gt;0,INT(Fuelbeds_english!H126*2.471),F126)</f>
        <v>505</v>
      </c>
      <c r="I126" s="36">
        <f>+IF(F126&gt;0,INT(Fuelbeds_english!I126*0.3048),F126)</f>
        <v>23</v>
      </c>
      <c r="J126" s="45">
        <f>+IF(F126&gt;0,INT(Fuelbeds_english!J126*0.3048),F126)</f>
        <v>8</v>
      </c>
      <c r="K126" s="45">
        <f>+IF(F126&gt;0,INT(Fuelbeds_english!K126*2.54),F126)</f>
        <v>25</v>
      </c>
      <c r="L126" s="36">
        <v>183412</v>
      </c>
      <c r="M126" s="36" t="s">
        <v>398</v>
      </c>
      <c r="N126" s="36">
        <v>100</v>
      </c>
      <c r="O126" s="36">
        <v>15.329999999999998</v>
      </c>
      <c r="P126" s="45">
        <f>+IF(O126&gt;0,INT(Fuelbeds_english!P126*2.471),O126)</f>
        <v>865</v>
      </c>
      <c r="Q126" s="36">
        <f>+IF(O126&gt;0,INT(Fuelbeds_english!Q126*0.3048),O126)</f>
        <v>13</v>
      </c>
      <c r="R126" s="45">
        <f>+IF(O126&gt;0,INT(Fuelbeds_english!R126*0.3048),O126)</f>
        <v>3</v>
      </c>
      <c r="S126" s="45">
        <f>+IF(O126&gt;0,INT(Fuelbeds_english!S126*2.54),O126)</f>
        <v>8</v>
      </c>
      <c r="T126" s="36">
        <v>183412</v>
      </c>
      <c r="U126" s="36" t="s">
        <v>398</v>
      </c>
      <c r="V126" s="36">
        <v>100</v>
      </c>
      <c r="W126" s="36">
        <v>1</v>
      </c>
      <c r="X126" s="98">
        <v>2</v>
      </c>
      <c r="Y126" s="29">
        <v>26.314285714285717</v>
      </c>
      <c r="Z126" s="88" t="str">
        <f>+IF(Y126&gt;0,FIXED(Fuelbeds_english!Z126*0.3048,1,0),Y126)</f>
        <v>2.3</v>
      </c>
      <c r="AA126" s="46">
        <v>90</v>
      </c>
      <c r="AB126" s="50">
        <v>22476</v>
      </c>
      <c r="AC126" s="50" t="s">
        <v>157</v>
      </c>
      <c r="AD126" s="50">
        <v>100</v>
      </c>
      <c r="AE126" s="42">
        <v>10.525714285714287</v>
      </c>
      <c r="AF126" s="52" t="str">
        <f>+IF(AE126&gt;0,FIXED(Fuelbeds_english!AF126*0.3048,1,0),AE126)</f>
        <v>0.4</v>
      </c>
      <c r="AG126" s="45">
        <v>80</v>
      </c>
      <c r="AH126" s="52" t="str">
        <f>+IF(AE126&gt;0,FIXED(Fuelbeds_english!AH126*2.242,1,0),AE126)</f>
        <v>0.1</v>
      </c>
      <c r="AI126" s="45">
        <v>40529</v>
      </c>
      <c r="AJ126" s="45" t="s">
        <v>356</v>
      </c>
      <c r="AK126" s="45">
        <v>100</v>
      </c>
      <c r="AL126" s="34">
        <v>33.580000000000005</v>
      </c>
      <c r="AM126" s="52" t="str">
        <f>+IF(AL126&gt;0,FIXED(Fuelbeds_english!AM126*2.54,1,0),AL126)</f>
        <v>2.5</v>
      </c>
      <c r="AN126" s="52" t="str">
        <f>+IF($AM126&gt;0,FIXED(Fuelbeds_english!AN126*2.242,1,0),$AM126)</f>
        <v>1.0</v>
      </c>
      <c r="AO126" s="52" t="str">
        <f>+IF($AM126&gt;0,FIXED(Fuelbeds_english!AO126*2.242,1,0),$AM126)</f>
        <v>2.7</v>
      </c>
      <c r="AP126" s="52" t="str">
        <f>+IF($AM126&gt;0,FIXED(Fuelbeds_english!AP126*2.242,1,0),$AM126)</f>
        <v>5.5</v>
      </c>
      <c r="AQ126" s="52" t="str">
        <f>+IF($AM126&gt;0,FIXED(Fuelbeds_english!AQ126*2.242,1,0),$AM126)</f>
        <v>17.3</v>
      </c>
      <c r="AR126" s="36">
        <v>183412</v>
      </c>
      <c r="AS126" s="45" t="s">
        <v>398</v>
      </c>
      <c r="AT126" s="45">
        <v>100</v>
      </c>
      <c r="AU126" s="44">
        <v>-1</v>
      </c>
      <c r="AV126" s="52">
        <f>+IF(AU126&gt;0,FIXED(Fuelbeds_english!AV126*2.54,1,0),AU126)</f>
        <v>-1</v>
      </c>
      <c r="AW126" s="88">
        <v>1</v>
      </c>
      <c r="AX126" s="88">
        <v>63</v>
      </c>
      <c r="AY126" s="52" t="str">
        <f>+IF(AX126&gt;0,FIXED(Fuelbeds_english!AY126*2.54,1,0),AX126)</f>
        <v>5.8</v>
      </c>
      <c r="AZ126" s="45">
        <v>1</v>
      </c>
      <c r="BA126" s="36">
        <v>58.4</v>
      </c>
      <c r="BB126" s="52" t="str">
        <f>+IF(BA126&gt;0,FIXED(Fuelbeds_english!BB126*2.54,1,0),BA126)</f>
        <v>1.8</v>
      </c>
      <c r="BC126" s="45">
        <v>-1</v>
      </c>
      <c r="BD126" s="45">
        <v>-1</v>
      </c>
      <c r="BE126" s="45">
        <v>100</v>
      </c>
      <c r="BF126" s="45">
        <v>-1</v>
      </c>
      <c r="BG126" s="45">
        <v>-1</v>
      </c>
      <c r="BH126" s="45">
        <v>-1</v>
      </c>
      <c r="BI126" s="45">
        <v>-1</v>
      </c>
      <c r="BJ126" s="28">
        <v>2</v>
      </c>
      <c r="BK126" s="36">
        <v>100</v>
      </c>
      <c r="BL126" s="52" t="str">
        <f>+IF(BK126&gt;0,FIXED(Fuelbeds_english!BL126*2.54,1,0),BK126)</f>
        <v>12.7</v>
      </c>
      <c r="BM126" s="45">
        <v>4</v>
      </c>
      <c r="BN126" s="36">
        <v>100</v>
      </c>
      <c r="BO126" s="52" t="str">
        <f>+IF(BN126&gt;0,FIXED(Fuelbeds_english!BO126*2.54,1,0),BN126)</f>
        <v>12.7</v>
      </c>
    </row>
    <row r="127" spans="1:67" s="50" customFormat="1" x14ac:dyDescent="0.25">
      <c r="A127" s="50">
        <v>126</v>
      </c>
      <c r="B127" s="52" t="s">
        <v>249</v>
      </c>
      <c r="C127" s="72">
        <v>934092</v>
      </c>
      <c r="D127" s="36" t="s">
        <v>5</v>
      </c>
      <c r="E127" s="76" t="s">
        <v>354</v>
      </c>
      <c r="F127" s="39">
        <v>72.900000000000006</v>
      </c>
      <c r="G127" s="36">
        <v>72.900000000000006</v>
      </c>
      <c r="H127" s="45">
        <f>+IF(F127&gt;0,INT(Fuelbeds_english!H127*2.471),F127)</f>
        <v>630</v>
      </c>
      <c r="I127" s="36">
        <f>+IF(F127&gt;0,INT(Fuelbeds_english!I127*0.3048),F127)</f>
        <v>25</v>
      </c>
      <c r="J127" s="45">
        <f>+IF(F127&gt;0,INT(Fuelbeds_english!J127*0.3048),F127)</f>
        <v>8</v>
      </c>
      <c r="K127" s="45">
        <f>+IF(F127&gt;0,INT(Fuelbeds_english!K127*2.54),F127)</f>
        <v>25</v>
      </c>
      <c r="L127" s="36">
        <v>183412</v>
      </c>
      <c r="M127" s="36" t="s">
        <v>398</v>
      </c>
      <c r="N127" s="36">
        <v>100</v>
      </c>
      <c r="O127" s="36">
        <v>19.136249999999997</v>
      </c>
      <c r="P127" s="45">
        <f>+IF(O127&gt;0,INT(Fuelbeds_english!P127*2.471),O127)</f>
        <v>1080</v>
      </c>
      <c r="Q127" s="36">
        <f>+IF(O127&gt;0,INT(Fuelbeds_english!Q127*0.3048),O127)</f>
        <v>14</v>
      </c>
      <c r="R127" s="45">
        <f>+IF(O127&gt;0,INT(Fuelbeds_english!R127*0.3048),O127)</f>
        <v>3</v>
      </c>
      <c r="S127" s="45">
        <f>+IF(O127&gt;0,INT(Fuelbeds_english!S127*2.54),O127)</f>
        <v>9</v>
      </c>
      <c r="T127" s="36">
        <v>183412</v>
      </c>
      <c r="U127" s="36" t="s">
        <v>398</v>
      </c>
      <c r="V127" s="36">
        <v>100</v>
      </c>
      <c r="W127" s="36">
        <v>1</v>
      </c>
      <c r="X127" s="98">
        <v>2</v>
      </c>
      <c r="Y127" s="29">
        <v>19.357142857142854</v>
      </c>
      <c r="Z127" s="88" t="str">
        <f>+IF(Y127&gt;0,FIXED(Fuelbeds_english!Z127*0.3048,1,0),Y127)</f>
        <v>2.3</v>
      </c>
      <c r="AA127" s="46">
        <v>90</v>
      </c>
      <c r="AB127" s="50">
        <v>22476</v>
      </c>
      <c r="AC127" s="50" t="s">
        <v>157</v>
      </c>
      <c r="AD127" s="50">
        <v>100</v>
      </c>
      <c r="AE127" s="42">
        <v>7.7428571428571411</v>
      </c>
      <c r="AF127" s="52" t="str">
        <f>+IF(AE127&gt;0,FIXED(Fuelbeds_english!AF127*0.3048,1,0),AE127)</f>
        <v>0.4</v>
      </c>
      <c r="AG127" s="45">
        <v>80</v>
      </c>
      <c r="AH127" s="52" t="str">
        <f>+IF(AE127&gt;0,FIXED(Fuelbeds_english!AH127*2.242,1,0),AE127)</f>
        <v>0.1</v>
      </c>
      <c r="AI127" s="45">
        <v>40529</v>
      </c>
      <c r="AJ127" s="45" t="s">
        <v>356</v>
      </c>
      <c r="AK127" s="45">
        <v>100</v>
      </c>
      <c r="AL127" s="34">
        <v>41.917500000000004</v>
      </c>
      <c r="AM127" s="52" t="str">
        <f>+IF(AL127&gt;0,FIXED(Fuelbeds_english!AM127*2.54,1,0),AL127)</f>
        <v>2.5</v>
      </c>
      <c r="AN127" s="52" t="str">
        <f>+IF($AM127&gt;0,FIXED(Fuelbeds_english!AN127*2.242,1,0),$AM127)</f>
        <v>1.2</v>
      </c>
      <c r="AO127" s="52" t="str">
        <f>+IF($AM127&gt;0,FIXED(Fuelbeds_english!AO127*2.242,1,0),$AM127)</f>
        <v>3.4</v>
      </c>
      <c r="AP127" s="52" t="str">
        <f>+IF($AM127&gt;0,FIXED(Fuelbeds_english!AP127*2.242,1,0),$AM127)</f>
        <v>6.9</v>
      </c>
      <c r="AQ127" s="52" t="str">
        <f>+IF($AM127&gt;0,FIXED(Fuelbeds_english!AQ127*2.242,1,0),$AM127)</f>
        <v>21.5</v>
      </c>
      <c r="AR127" s="36">
        <v>183412</v>
      </c>
      <c r="AS127" s="45" t="s">
        <v>398</v>
      </c>
      <c r="AT127" s="45">
        <v>100</v>
      </c>
      <c r="AU127" s="44">
        <v>-1</v>
      </c>
      <c r="AV127" s="52">
        <f>+IF(AU127&gt;0,FIXED(Fuelbeds_english!AV127*2.54,1,0),AU127)</f>
        <v>-1</v>
      </c>
      <c r="AW127" s="88">
        <v>1</v>
      </c>
      <c r="AX127" s="88">
        <v>63</v>
      </c>
      <c r="AY127" s="52" t="str">
        <f>+IF(AX127&gt;0,FIXED(Fuelbeds_english!AY127*2.54,1,0),AX127)</f>
        <v>5.8</v>
      </c>
      <c r="AZ127" s="45">
        <v>1</v>
      </c>
      <c r="BA127" s="36">
        <v>72.900000000000006</v>
      </c>
      <c r="BB127" s="52" t="str">
        <f>+IF(BA127&gt;0,FIXED(Fuelbeds_english!BB127*2.54,1,0),BA127)</f>
        <v>1.8</v>
      </c>
      <c r="BC127" s="45">
        <v>-1</v>
      </c>
      <c r="BD127" s="45">
        <v>-1</v>
      </c>
      <c r="BE127" s="45">
        <v>100</v>
      </c>
      <c r="BF127" s="45">
        <v>-1</v>
      </c>
      <c r="BG127" s="45">
        <v>-1</v>
      </c>
      <c r="BH127" s="45">
        <v>-1</v>
      </c>
      <c r="BI127" s="45">
        <v>-1</v>
      </c>
      <c r="BJ127" s="28">
        <v>2</v>
      </c>
      <c r="BK127" s="36">
        <v>100</v>
      </c>
      <c r="BL127" s="52" t="str">
        <f>+IF(BK127&gt;0,FIXED(Fuelbeds_english!BL127*2.54,1,0),BK127)</f>
        <v>12.7</v>
      </c>
      <c r="BM127" s="45">
        <v>4</v>
      </c>
      <c r="BN127" s="36">
        <v>75.25</v>
      </c>
      <c r="BO127" s="52" t="str">
        <f>+IF(BN127&gt;0,FIXED(Fuelbeds_english!BO127*2.54,1,0),BN127)</f>
        <v>12.7</v>
      </c>
    </row>
    <row r="128" spans="1:67" s="50" customFormat="1" x14ac:dyDescent="0.25">
      <c r="A128" s="50">
        <v>127</v>
      </c>
      <c r="B128" s="52" t="s">
        <v>250</v>
      </c>
      <c r="C128" s="68">
        <v>914100</v>
      </c>
      <c r="D128" s="45" t="s">
        <v>5</v>
      </c>
      <c r="E128" s="17" t="s">
        <v>134</v>
      </c>
      <c r="F128" s="39">
        <v>26.7</v>
      </c>
      <c r="G128" s="36">
        <v>21.893999999999998</v>
      </c>
      <c r="H128" s="45">
        <f>+IF(F128&gt;0,INT(Fuelbeds_english!H128*2.471),F128)</f>
        <v>64</v>
      </c>
      <c r="I128" s="36">
        <f>+IF(F128&gt;0,INT(Fuelbeds_english!I128*0.3048),F128)</f>
        <v>19</v>
      </c>
      <c r="J128" s="45">
        <f>+IF(F128&gt;0,INT(Fuelbeds_english!J128*0.3048),F128)</f>
        <v>10</v>
      </c>
      <c r="K128" s="45">
        <f>+IF(F128&gt;0,INT(Fuelbeds_english!K128*2.54),F128)</f>
        <v>36</v>
      </c>
      <c r="L128" s="55" t="s">
        <v>390</v>
      </c>
      <c r="M128" s="36" t="s">
        <v>389</v>
      </c>
      <c r="N128" s="55" t="s">
        <v>156</v>
      </c>
      <c r="O128" s="43">
        <v>14.141111111111112</v>
      </c>
      <c r="P128" s="45">
        <f>+IF(O128&gt;0,INT(Fuelbeds_english!P128*2.471),O128)</f>
        <v>165</v>
      </c>
      <c r="Q128" s="36">
        <f>+IF(O128&gt;0,INT(Fuelbeds_english!Q128*0.3048),O128)</f>
        <v>12</v>
      </c>
      <c r="R128" s="45">
        <f>+IF(O128&gt;0,INT(Fuelbeds_english!R128*0.3048),O128)</f>
        <v>5</v>
      </c>
      <c r="S128" s="45">
        <f>+IF(O128&gt;0,INT(Fuelbeds_english!S128*2.54),O128)</f>
        <v>17</v>
      </c>
      <c r="T128" s="36">
        <v>19478</v>
      </c>
      <c r="U128" s="36" t="s">
        <v>352</v>
      </c>
      <c r="V128" s="36">
        <v>100</v>
      </c>
      <c r="W128" s="36">
        <v>-1</v>
      </c>
      <c r="X128" s="98">
        <v>-1</v>
      </c>
      <c r="Y128" s="29">
        <v>22.853081785849515</v>
      </c>
      <c r="Z128" s="88" t="str">
        <f>+IF(Y128&gt;0,FIXED(Fuelbeds_english!Z128*0.3048,1,0),Y128)</f>
        <v>1.2</v>
      </c>
      <c r="AA128" s="46">
        <v>85</v>
      </c>
      <c r="AB128" s="50">
        <v>23571</v>
      </c>
      <c r="AC128" s="50" t="s">
        <v>161</v>
      </c>
      <c r="AD128" s="50">
        <v>100</v>
      </c>
      <c r="AE128" s="42">
        <v>22</v>
      </c>
      <c r="AF128" s="52" t="str">
        <f>+IF(AE128&gt;0,FIXED(Fuelbeds_english!AF128*0.3048,1,0),AE128)</f>
        <v>0.5</v>
      </c>
      <c r="AG128" s="45">
        <v>75</v>
      </c>
      <c r="AH128" s="52" t="str">
        <f>+IF(AE128&gt;0,FIXED(Fuelbeds_english!AH128*2.242,1,0),AE128)</f>
        <v>0.2</v>
      </c>
      <c r="AI128" s="45" t="s">
        <v>395</v>
      </c>
      <c r="AJ128" s="45" t="s">
        <v>394</v>
      </c>
      <c r="AK128" s="45" t="s">
        <v>156</v>
      </c>
      <c r="AL128" s="34">
        <v>8</v>
      </c>
      <c r="AM128" s="52" t="str">
        <f>+IF(AL128&gt;0,FIXED(Fuelbeds_english!AM128*2.54,1,0),AL128)</f>
        <v>4.3</v>
      </c>
      <c r="AN128" s="52" t="str">
        <f>+IF($AM128&gt;0,FIXED(Fuelbeds_english!AN128*2.242,1,0),$AM128)</f>
        <v>0.4</v>
      </c>
      <c r="AO128" s="52" t="str">
        <f>+IF($AM128&gt;0,FIXED(Fuelbeds_english!AO128*2.242,1,0),$AM128)</f>
        <v>0.8</v>
      </c>
      <c r="AP128" s="52" t="str">
        <f>+IF($AM128&gt;0,FIXED(Fuelbeds_english!AP128*2.242,1,0),$AM128)</f>
        <v>1.1</v>
      </c>
      <c r="AQ128" s="52" t="str">
        <f>+IF($AM128&gt;0,FIXED(Fuelbeds_english!AQ128*2.242,1,0),$AM128)</f>
        <v>1.7</v>
      </c>
      <c r="AR128" s="36" t="s">
        <v>390</v>
      </c>
      <c r="AS128" s="45" t="s">
        <v>389</v>
      </c>
      <c r="AT128" s="45" t="s">
        <v>156</v>
      </c>
      <c r="AU128" s="44">
        <v>2</v>
      </c>
      <c r="AV128" s="52" t="str">
        <f>+IF(AU128&gt;0,FIXED(Fuelbeds_english!AV128*2.54,1,0),AU128)</f>
        <v>0.4</v>
      </c>
      <c r="AW128" s="88">
        <v>2</v>
      </c>
      <c r="AX128" s="88">
        <v>3</v>
      </c>
      <c r="AY128" s="52" t="str">
        <f>+IF(AX128&gt;0,FIXED(Fuelbeds_english!AY128*2.54,1,0),AX128)</f>
        <v>1.8</v>
      </c>
      <c r="AZ128" s="59">
        <v>1</v>
      </c>
      <c r="BA128" s="36">
        <v>34</v>
      </c>
      <c r="BB128" s="52" t="str">
        <f>+IF(BA128&gt;0,FIXED(Fuelbeds_english!BB128*2.54,1,0),BA128)</f>
        <v>4.1</v>
      </c>
      <c r="BC128" s="45">
        <v>50</v>
      </c>
      <c r="BD128" s="45">
        <v>-1</v>
      </c>
      <c r="BE128" s="45">
        <v>-1</v>
      </c>
      <c r="BF128" s="45">
        <v>50</v>
      </c>
      <c r="BG128" s="45">
        <v>-1</v>
      </c>
      <c r="BH128" s="45">
        <v>-1</v>
      </c>
      <c r="BI128" s="45">
        <v>-1</v>
      </c>
      <c r="BJ128" s="28">
        <v>1</v>
      </c>
      <c r="BK128" s="67">
        <v>32.89439999999999</v>
      </c>
      <c r="BL128" s="52" t="str">
        <f>+IF(BK128&gt;0,FIXED(Fuelbeds_english!BL128*2.54,1,0),BK128)</f>
        <v>1.8</v>
      </c>
      <c r="BM128" s="45">
        <v>3</v>
      </c>
      <c r="BN128" s="67">
        <v>27.999399999999998</v>
      </c>
      <c r="BO128" s="52" t="str">
        <f>+IF(BN128&gt;0,FIXED(Fuelbeds_english!BO128*2.54,1,0),BN128)</f>
        <v>1.3</v>
      </c>
    </row>
    <row r="129" spans="1:67" s="50" customFormat="1" x14ac:dyDescent="0.25">
      <c r="A129" s="50">
        <v>128</v>
      </c>
      <c r="B129" s="52" t="s">
        <v>251</v>
      </c>
      <c r="C129" s="68">
        <v>924100</v>
      </c>
      <c r="D129" s="45" t="s">
        <v>5</v>
      </c>
      <c r="E129" s="17" t="s">
        <v>134</v>
      </c>
      <c r="F129" s="39">
        <v>59.6</v>
      </c>
      <c r="G129" s="36">
        <v>48.872</v>
      </c>
      <c r="H129" s="45">
        <f>+IF(F129&gt;0,INT(Fuelbeds_english!H129*2.471),F129)</f>
        <v>143</v>
      </c>
      <c r="I129" s="36">
        <f>+IF(F129&gt;0,INT(Fuelbeds_english!I129*0.3048),F129)</f>
        <v>20</v>
      </c>
      <c r="J129" s="45">
        <f>+IF(F129&gt;0,INT(Fuelbeds_english!J129*0.3048),F129)</f>
        <v>11</v>
      </c>
      <c r="K129" s="45">
        <f>+IF(F129&gt;0,INT(Fuelbeds_english!K129*2.54),F129)</f>
        <v>39</v>
      </c>
      <c r="L129" s="55" t="s">
        <v>390</v>
      </c>
      <c r="M129" s="36" t="s">
        <v>389</v>
      </c>
      <c r="N129" s="55" t="s">
        <v>156</v>
      </c>
      <c r="O129" s="43">
        <v>31.565925925925928</v>
      </c>
      <c r="P129" s="45">
        <f>+IF(O129&gt;0,INT(Fuelbeds_english!P129*2.471),O129)</f>
        <v>369</v>
      </c>
      <c r="Q129" s="36">
        <f>+IF(O129&gt;0,INT(Fuelbeds_english!Q129*0.3048),O129)</f>
        <v>13</v>
      </c>
      <c r="R129" s="45">
        <f>+IF(O129&gt;0,INT(Fuelbeds_english!R129*0.3048),O129)</f>
        <v>6</v>
      </c>
      <c r="S129" s="45">
        <f>+IF(O129&gt;0,INT(Fuelbeds_english!S129*2.54),O129)</f>
        <v>20</v>
      </c>
      <c r="T129" s="36">
        <v>19478</v>
      </c>
      <c r="U129" s="36" t="s">
        <v>352</v>
      </c>
      <c r="V129" s="36">
        <v>100</v>
      </c>
      <c r="W129" s="36">
        <v>-1</v>
      </c>
      <c r="X129" s="98">
        <v>-1</v>
      </c>
      <c r="Y129" s="29">
        <v>15.29555204725666</v>
      </c>
      <c r="Z129" s="88" t="str">
        <f>+IF(Y129&gt;0,FIXED(Fuelbeds_english!Z129*0.3048,1,0),Y129)</f>
        <v>1.2</v>
      </c>
      <c r="AA129" s="46">
        <v>85</v>
      </c>
      <c r="AB129" s="50">
        <v>23571</v>
      </c>
      <c r="AC129" s="50" t="s">
        <v>161</v>
      </c>
      <c r="AD129" s="50">
        <v>100</v>
      </c>
      <c r="AE129" s="42">
        <v>15</v>
      </c>
      <c r="AF129" s="52" t="str">
        <f>+IF(AE129&gt;0,FIXED(Fuelbeds_english!AF129*0.3048,1,0),AE129)</f>
        <v>0.5</v>
      </c>
      <c r="AG129" s="45">
        <v>75</v>
      </c>
      <c r="AH129" s="52" t="str">
        <f>+IF(AE129&gt;0,FIXED(Fuelbeds_english!AH129*2.242,1,0),AE129)</f>
        <v>0.1</v>
      </c>
      <c r="AI129" s="45" t="s">
        <v>395</v>
      </c>
      <c r="AJ129" s="45" t="s">
        <v>394</v>
      </c>
      <c r="AK129" s="45" t="s">
        <v>156</v>
      </c>
      <c r="AL129" s="34">
        <v>19</v>
      </c>
      <c r="AM129" s="52" t="str">
        <f>+IF(AL129&gt;0,FIXED(Fuelbeds_english!AM129*2.54,1,0),AL129)</f>
        <v>4.3</v>
      </c>
      <c r="AN129" s="52" t="str">
        <f>+IF($AM129&gt;0,FIXED(Fuelbeds_english!AN129*2.242,1,0),$AM129)</f>
        <v>0.9</v>
      </c>
      <c r="AO129" s="52" t="str">
        <f>+IF($AM129&gt;0,FIXED(Fuelbeds_english!AO129*2.242,1,0),$AM129)</f>
        <v>1.8</v>
      </c>
      <c r="AP129" s="52" t="str">
        <f>+IF($AM129&gt;0,FIXED(Fuelbeds_english!AP129*2.242,1,0),$AM129)</f>
        <v>2.5</v>
      </c>
      <c r="AQ129" s="52" t="str">
        <f>+IF($AM129&gt;0,FIXED(Fuelbeds_english!AQ129*2.242,1,0),$AM129)</f>
        <v>3.7</v>
      </c>
      <c r="AR129" s="36" t="s">
        <v>390</v>
      </c>
      <c r="AS129" s="45" t="s">
        <v>389</v>
      </c>
      <c r="AT129" s="45" t="s">
        <v>156</v>
      </c>
      <c r="AU129" s="44">
        <v>2</v>
      </c>
      <c r="AV129" s="52" t="str">
        <f>+IF(AU129&gt;0,FIXED(Fuelbeds_english!AV129*2.54,1,0),AU129)</f>
        <v>0.4</v>
      </c>
      <c r="AW129" s="88">
        <v>2</v>
      </c>
      <c r="AX129" s="88">
        <v>3</v>
      </c>
      <c r="AY129" s="52" t="str">
        <f>+IF(AX129&gt;0,FIXED(Fuelbeds_english!AY129*2.54,1,0),AX129)</f>
        <v>1.8</v>
      </c>
      <c r="AZ129" s="59">
        <v>1</v>
      </c>
      <c r="BA129" s="36">
        <v>76</v>
      </c>
      <c r="BB129" s="52" t="str">
        <f>+IF(BA129&gt;0,FIXED(Fuelbeds_english!BB129*2.54,1,0),BA129)</f>
        <v>4.1</v>
      </c>
      <c r="BC129" s="45">
        <v>50</v>
      </c>
      <c r="BD129" s="45">
        <v>-1</v>
      </c>
      <c r="BE129" s="45">
        <v>-1</v>
      </c>
      <c r="BF129" s="45">
        <v>50</v>
      </c>
      <c r="BG129" s="45">
        <v>-1</v>
      </c>
      <c r="BH129" s="45">
        <v>-1</v>
      </c>
      <c r="BI129" s="45">
        <v>-1</v>
      </c>
      <c r="BJ129" s="28">
        <v>1</v>
      </c>
      <c r="BK129" s="67">
        <v>73.427199999999999</v>
      </c>
      <c r="BL129" s="52" t="str">
        <f>+IF(BK129&gt;0,FIXED(Fuelbeds_english!BL129*2.54,1,0),BK129)</f>
        <v>1.8</v>
      </c>
      <c r="BM129" s="45">
        <v>3</v>
      </c>
      <c r="BN129" s="67">
        <v>62.500533333333337</v>
      </c>
      <c r="BO129" s="52" t="str">
        <f>+IF(BN129&gt;0,FIXED(Fuelbeds_english!BO129*2.54,1,0),BN129)</f>
        <v>1.3</v>
      </c>
    </row>
    <row r="130" spans="1:67" s="50" customFormat="1" x14ac:dyDescent="0.25">
      <c r="A130" s="50">
        <v>129</v>
      </c>
      <c r="B130" s="52" t="s">
        <v>252</v>
      </c>
      <c r="C130" s="68">
        <v>934100</v>
      </c>
      <c r="D130" s="36" t="s">
        <v>5</v>
      </c>
      <c r="E130" s="17" t="s">
        <v>134</v>
      </c>
      <c r="F130" s="39">
        <v>73.599999999999994</v>
      </c>
      <c r="G130" s="36">
        <v>60.351999999999997</v>
      </c>
      <c r="H130" s="45">
        <f>+IF(F130&gt;0,INT(Fuelbeds_english!H130*2.471),F130)</f>
        <v>177</v>
      </c>
      <c r="I130" s="36">
        <f>+IF(F130&gt;0,INT(Fuelbeds_english!I130*0.3048),F130)</f>
        <v>23</v>
      </c>
      <c r="J130" s="45">
        <f>+IF(F130&gt;0,INT(Fuelbeds_english!J130*0.3048),F130)</f>
        <v>12</v>
      </c>
      <c r="K130" s="45">
        <f>+IF(F130&gt;0,INT(Fuelbeds_english!K130*2.54),F130)</f>
        <v>45</v>
      </c>
      <c r="L130" s="55" t="s">
        <v>390</v>
      </c>
      <c r="M130" s="36" t="s">
        <v>389</v>
      </c>
      <c r="N130" s="55" t="s">
        <v>156</v>
      </c>
      <c r="O130" s="43">
        <v>38.980740740740735</v>
      </c>
      <c r="P130" s="45">
        <f>+IF(O130&gt;0,INT(Fuelbeds_english!P130*2.471),O130)</f>
        <v>456</v>
      </c>
      <c r="Q130" s="36">
        <f>+IF(O130&gt;0,INT(Fuelbeds_english!Q130*0.3048),O130)</f>
        <v>15</v>
      </c>
      <c r="R130" s="45">
        <f>+IF(O130&gt;0,INT(Fuelbeds_english!R130*0.3048),O130)</f>
        <v>6</v>
      </c>
      <c r="S130" s="45">
        <f>+IF(O130&gt;0,INT(Fuelbeds_english!S130*2.54),O130)</f>
        <v>20</v>
      </c>
      <c r="T130" s="36">
        <v>19478</v>
      </c>
      <c r="U130" s="36" t="s">
        <v>352</v>
      </c>
      <c r="V130" s="36">
        <v>100</v>
      </c>
      <c r="W130" s="36">
        <v>-1</v>
      </c>
      <c r="X130" s="98">
        <v>-1</v>
      </c>
      <c r="Y130" s="29">
        <v>27.675161098281944</v>
      </c>
      <c r="Z130" s="88" t="str">
        <f>+IF(Y130&gt;0,FIXED(Fuelbeds_english!Z130*0.3048,1,0),Y130)</f>
        <v>1.2</v>
      </c>
      <c r="AA130" s="46">
        <v>85</v>
      </c>
      <c r="AB130" s="50">
        <v>23571</v>
      </c>
      <c r="AC130" s="50" t="s">
        <v>161</v>
      </c>
      <c r="AD130" s="50">
        <v>100</v>
      </c>
      <c r="AE130" s="42">
        <v>35</v>
      </c>
      <c r="AF130" s="52" t="str">
        <f>+IF(AE130&gt;0,FIXED(Fuelbeds_english!AF130*0.3048,1,0),AE130)</f>
        <v>0.5</v>
      </c>
      <c r="AG130" s="45">
        <v>75</v>
      </c>
      <c r="AH130" s="52" t="str">
        <f>+IF(AE130&gt;0,FIXED(Fuelbeds_english!AH130*2.242,1,0),AE130)</f>
        <v>0.3</v>
      </c>
      <c r="AI130" s="45" t="s">
        <v>395</v>
      </c>
      <c r="AJ130" s="45" t="s">
        <v>394</v>
      </c>
      <c r="AK130" s="45" t="s">
        <v>156</v>
      </c>
      <c r="AL130" s="34">
        <v>23</v>
      </c>
      <c r="AM130" s="52" t="str">
        <f>+IF(AL130&gt;0,FIXED(Fuelbeds_english!AM130*2.54,1,0),AL130)</f>
        <v>4.3</v>
      </c>
      <c r="AN130" s="52" t="str">
        <f>+IF($AM130&gt;0,FIXED(Fuelbeds_english!AN130*2.242,1,0),$AM130)</f>
        <v>1.2</v>
      </c>
      <c r="AO130" s="52" t="str">
        <f>+IF($AM130&gt;0,FIXED(Fuelbeds_english!AO130*2.242,1,0),$AM130)</f>
        <v>2.2</v>
      </c>
      <c r="AP130" s="52" t="str">
        <f>+IF($AM130&gt;0,FIXED(Fuelbeds_english!AP130*2.242,1,0),$AM130)</f>
        <v>3.0</v>
      </c>
      <c r="AQ130" s="52" t="str">
        <f>+IF($AM130&gt;0,FIXED(Fuelbeds_english!AQ130*2.242,1,0),$AM130)</f>
        <v>4.6</v>
      </c>
      <c r="AR130" s="36" t="s">
        <v>390</v>
      </c>
      <c r="AS130" s="45" t="s">
        <v>389</v>
      </c>
      <c r="AT130" s="45" t="s">
        <v>156</v>
      </c>
      <c r="AU130" s="44">
        <v>2</v>
      </c>
      <c r="AV130" s="52" t="str">
        <f>+IF(AU130&gt;0,FIXED(Fuelbeds_english!AV130*2.54,1,0),AU130)</f>
        <v>0.4</v>
      </c>
      <c r="AW130" s="88">
        <v>2</v>
      </c>
      <c r="AX130" s="88">
        <v>3</v>
      </c>
      <c r="AY130" s="52" t="str">
        <f>+IF(AX130&gt;0,FIXED(Fuelbeds_english!AY130*2.54,1,0),AX130)</f>
        <v>1.8</v>
      </c>
      <c r="AZ130" s="59">
        <v>1</v>
      </c>
      <c r="BA130" s="36">
        <v>94</v>
      </c>
      <c r="BB130" s="52" t="str">
        <f>+IF(BA130&gt;0,FIXED(Fuelbeds_english!BB130*2.54,1,0),BA130)</f>
        <v>4.1</v>
      </c>
      <c r="BC130" s="45">
        <v>50</v>
      </c>
      <c r="BD130" s="45">
        <v>-1</v>
      </c>
      <c r="BE130" s="45">
        <v>-1</v>
      </c>
      <c r="BF130" s="45">
        <v>50</v>
      </c>
      <c r="BG130" s="45">
        <v>-1</v>
      </c>
      <c r="BH130" s="45">
        <v>-1</v>
      </c>
      <c r="BI130" s="45">
        <v>-1</v>
      </c>
      <c r="BJ130" s="28">
        <v>1</v>
      </c>
      <c r="BK130" s="67">
        <v>90.67519999999999</v>
      </c>
      <c r="BL130" s="52" t="str">
        <f>+IF(BK130&gt;0,FIXED(Fuelbeds_english!BL130*2.54,1,0),BK130)</f>
        <v>1.8</v>
      </c>
      <c r="BM130" s="45">
        <v>3</v>
      </c>
      <c r="BN130" s="67">
        <v>77.18186666666665</v>
      </c>
      <c r="BO130" s="52" t="str">
        <f>+IF(BN130&gt;0,FIXED(Fuelbeds_english!BO130*2.54,1,0),BN130)</f>
        <v>1.3</v>
      </c>
    </row>
    <row r="131" spans="1:67" s="50" customFormat="1" x14ac:dyDescent="0.25">
      <c r="A131" s="50">
        <v>130</v>
      </c>
      <c r="B131" s="36">
        <v>4102</v>
      </c>
      <c r="C131" s="70">
        <v>4102</v>
      </c>
      <c r="D131" s="45" t="s">
        <v>5</v>
      </c>
      <c r="E131" s="77" t="s">
        <v>406</v>
      </c>
      <c r="F131" s="39">
        <v>60.2</v>
      </c>
      <c r="G131" s="36">
        <v>60.2</v>
      </c>
      <c r="H131" s="45">
        <f>+IF(F131&gt;0,INT(Fuelbeds_english!H131*2.471),F131)</f>
        <v>520</v>
      </c>
      <c r="I131" s="36">
        <f>+IF(F131&gt;0,INT(Fuelbeds_english!I131*0.3048),F131)</f>
        <v>23</v>
      </c>
      <c r="J131" s="45">
        <f>+IF(F131&gt;0,INT(Fuelbeds_english!J131*0.3048),F131)</f>
        <v>8</v>
      </c>
      <c r="K131" s="45">
        <f>+IF(F131&gt;0,INT(Fuelbeds_english!K131*2.54),F131)</f>
        <v>25</v>
      </c>
      <c r="L131" s="55" t="s">
        <v>400</v>
      </c>
      <c r="M131" s="36" t="s">
        <v>399</v>
      </c>
      <c r="N131" s="36" t="s">
        <v>156</v>
      </c>
      <c r="O131" s="36">
        <v>15.802499999999998</v>
      </c>
      <c r="P131" s="45">
        <f>+IF(O131&gt;0,INT(Fuelbeds_english!P131*2.471),O131)</f>
        <v>892</v>
      </c>
      <c r="Q131" s="36">
        <f>+IF(O131&gt;0,INT(Fuelbeds_english!Q131*0.3048),O131)</f>
        <v>13</v>
      </c>
      <c r="R131" s="45">
        <f>+IF(O131&gt;0,INT(Fuelbeds_english!R131*0.3048),O131)</f>
        <v>3</v>
      </c>
      <c r="S131" s="45">
        <f>+IF(O131&gt;0,INT(Fuelbeds_english!S131*2.54),O131)</f>
        <v>9</v>
      </c>
      <c r="T131" s="55" t="s">
        <v>400</v>
      </c>
      <c r="U131" s="36" t="s">
        <v>399</v>
      </c>
      <c r="V131" s="36" t="s">
        <v>156</v>
      </c>
      <c r="W131" s="36">
        <v>1</v>
      </c>
      <c r="X131" s="98">
        <v>2</v>
      </c>
      <c r="Y131" s="29">
        <v>24.464285714285715</v>
      </c>
      <c r="Z131" s="88" t="str">
        <f>+IF(Y131&gt;0,FIXED(Fuelbeds_english!Z131*0.3048,1,0),Y131)</f>
        <v>2.3</v>
      </c>
      <c r="AA131" s="46">
        <v>90</v>
      </c>
      <c r="AB131" s="50">
        <v>22476</v>
      </c>
      <c r="AC131" s="50" t="s">
        <v>157</v>
      </c>
      <c r="AD131" s="50">
        <v>100</v>
      </c>
      <c r="AE131" s="42">
        <v>9.7857142857142865</v>
      </c>
      <c r="AF131" s="52" t="str">
        <f>+IF(AE131&gt;0,FIXED(Fuelbeds_english!AF131*0.3048,1,0),AE131)</f>
        <v>0.4</v>
      </c>
      <c r="AG131" s="45">
        <v>80</v>
      </c>
      <c r="AH131" s="52" t="str">
        <f>+IF(AE131&gt;0,FIXED(Fuelbeds_english!AH131*2.242,1,0),AE131)</f>
        <v>0.1</v>
      </c>
      <c r="AI131" s="45">
        <v>40529</v>
      </c>
      <c r="AJ131" s="45" t="s">
        <v>356</v>
      </c>
      <c r="AK131" s="45">
        <v>100</v>
      </c>
      <c r="AL131" s="34">
        <v>34.615000000000002</v>
      </c>
      <c r="AM131" s="52" t="str">
        <f>+IF(AL131&gt;0,FIXED(Fuelbeds_english!AM131*2.54,1,0),AL131)</f>
        <v>2.5</v>
      </c>
      <c r="AN131" s="52" t="str">
        <f>+IF($AM131&gt;0,FIXED(Fuelbeds_english!AN131*2.242,1,0),$AM131)</f>
        <v>1.0</v>
      </c>
      <c r="AO131" s="52" t="str">
        <f>+IF($AM131&gt;0,FIXED(Fuelbeds_english!AO131*2.242,1,0),$AM131)</f>
        <v>2.8</v>
      </c>
      <c r="AP131" s="52" t="str">
        <f>+IF($AM131&gt;0,FIXED(Fuelbeds_english!AP131*2.242,1,0),$AM131)</f>
        <v>5.7</v>
      </c>
      <c r="AQ131" s="52" t="str">
        <f>+IF($AM131&gt;0,FIXED(Fuelbeds_english!AQ131*2.242,1,0),$AM131)</f>
        <v>17.7</v>
      </c>
      <c r="AR131" s="36" t="s">
        <v>400</v>
      </c>
      <c r="AS131" s="45" t="s">
        <v>399</v>
      </c>
      <c r="AT131" s="45" t="s">
        <v>156</v>
      </c>
      <c r="AU131" s="44">
        <v>-1</v>
      </c>
      <c r="AV131" s="52">
        <f>+IF(AU131&gt;0,FIXED(Fuelbeds_english!AV131*2.54,1,0),AU131)</f>
        <v>-1</v>
      </c>
      <c r="AW131" s="88">
        <v>1</v>
      </c>
      <c r="AX131" s="88">
        <v>63</v>
      </c>
      <c r="AY131" s="52" t="str">
        <f>+IF(AX131&gt;0,FIXED(Fuelbeds_english!AY131*2.54,1,0),AX131)</f>
        <v>5.8</v>
      </c>
      <c r="AZ131" s="59">
        <v>1</v>
      </c>
      <c r="BA131" s="36">
        <v>60.2</v>
      </c>
      <c r="BB131" s="52" t="str">
        <f>+IF(BA131&gt;0,FIXED(Fuelbeds_english!BB131*2.54,1,0),BA131)</f>
        <v>1.8</v>
      </c>
      <c r="BC131" s="45">
        <v>-1</v>
      </c>
      <c r="BD131" s="45">
        <v>-1</v>
      </c>
      <c r="BE131" s="45">
        <v>50</v>
      </c>
      <c r="BF131" s="45">
        <v>50</v>
      </c>
      <c r="BG131" s="45">
        <v>-1</v>
      </c>
      <c r="BH131" s="45">
        <v>-1</v>
      </c>
      <c r="BI131" s="45">
        <v>-1</v>
      </c>
      <c r="BJ131" s="28">
        <v>2</v>
      </c>
      <c r="BK131" s="36">
        <v>24.499999999999996</v>
      </c>
      <c r="BL131" s="52" t="str">
        <f>+IF(BK131&gt;0,FIXED(Fuelbeds_english!BL131*2.54,1,0),BK131)</f>
        <v>12.7</v>
      </c>
      <c r="BM131" s="45">
        <v>4</v>
      </c>
      <c r="BN131" s="36">
        <v>24.499999999999996</v>
      </c>
      <c r="BO131" s="52" t="str">
        <f>+IF(BN131&gt;0,FIXED(Fuelbeds_english!BO131*2.54,1,0),BN131)</f>
        <v>12.7</v>
      </c>
    </row>
    <row r="132" spans="1:67" s="50" customFormat="1" x14ac:dyDescent="0.25">
      <c r="A132" s="50">
        <v>131</v>
      </c>
      <c r="B132" s="52" t="s">
        <v>253</v>
      </c>
      <c r="C132" s="68">
        <v>914110</v>
      </c>
      <c r="D132" s="45" t="s">
        <v>5</v>
      </c>
      <c r="E132" s="12" t="s">
        <v>9</v>
      </c>
      <c r="F132" s="39">
        <v>17</v>
      </c>
      <c r="G132" s="36">
        <v>13.94</v>
      </c>
      <c r="H132" s="45">
        <f>+IF(F132&gt;0,INT(Fuelbeds_english!H132*2.471),F132)</f>
        <v>40</v>
      </c>
      <c r="I132" s="36">
        <f>+IF(F132&gt;0,INT(Fuelbeds_english!I132*0.3048),F132)</f>
        <v>15</v>
      </c>
      <c r="J132" s="45">
        <f>+IF(F132&gt;0,INT(Fuelbeds_english!J132*0.3048),F132)</f>
        <v>8</v>
      </c>
      <c r="K132" s="45">
        <f>+IF(F132&gt;0,INT(Fuelbeds_english!K132*2.54),F132)</f>
        <v>29</v>
      </c>
      <c r="L132" s="55" t="s">
        <v>390</v>
      </c>
      <c r="M132" s="36" t="s">
        <v>389</v>
      </c>
      <c r="N132" s="55" t="s">
        <v>156</v>
      </c>
      <c r="O132" s="43">
        <v>9.0037037037037031</v>
      </c>
      <c r="P132" s="45">
        <f>+IF(O132&gt;0,INT(Fuelbeds_english!P132*2.471),O132)</f>
        <v>105</v>
      </c>
      <c r="Q132" s="36">
        <f>+IF(O132&gt;0,INT(Fuelbeds_english!Q132*0.3048),O132)</f>
        <v>10</v>
      </c>
      <c r="R132" s="45">
        <f>+IF(O132&gt;0,INT(Fuelbeds_english!R132*0.3048),O132)</f>
        <v>4</v>
      </c>
      <c r="S132" s="45">
        <f>+IF(O132&gt;0,INT(Fuelbeds_english!S132*2.54),O132)</f>
        <v>15</v>
      </c>
      <c r="T132" s="36">
        <v>19478</v>
      </c>
      <c r="U132" s="36" t="s">
        <v>352</v>
      </c>
      <c r="V132" s="36">
        <v>100</v>
      </c>
      <c r="W132" s="36">
        <v>-1</v>
      </c>
      <c r="X132" s="98">
        <v>-1</v>
      </c>
      <c r="Y132" s="29">
        <v>32.210675770032452</v>
      </c>
      <c r="Z132" s="88" t="str">
        <f>+IF(Y132&gt;0,FIXED(Fuelbeds_english!Z132*0.3048,1,0),Y132)</f>
        <v>1.2</v>
      </c>
      <c r="AA132" s="46">
        <v>85</v>
      </c>
      <c r="AB132" s="50">
        <v>23571</v>
      </c>
      <c r="AC132" s="50" t="s">
        <v>161</v>
      </c>
      <c r="AD132" s="50">
        <v>100</v>
      </c>
      <c r="AE132" s="42">
        <v>31</v>
      </c>
      <c r="AF132" s="52" t="str">
        <f>+IF(AE132&gt;0,FIXED(Fuelbeds_english!AF132*0.3048,1,0),AE132)</f>
        <v>0.5</v>
      </c>
      <c r="AG132" s="45">
        <v>75</v>
      </c>
      <c r="AH132" s="52" t="str">
        <f>+IF(AE132&gt;0,FIXED(Fuelbeds_english!AH132*2.242,1,0),AE132)</f>
        <v>0.3</v>
      </c>
      <c r="AI132" s="45" t="s">
        <v>395</v>
      </c>
      <c r="AJ132" s="45" t="s">
        <v>394</v>
      </c>
      <c r="AK132" s="45" t="s">
        <v>156</v>
      </c>
      <c r="AL132" s="34">
        <v>5</v>
      </c>
      <c r="AM132" s="52" t="str">
        <f>+IF(AL132&gt;0,FIXED(Fuelbeds_english!AM132*2.54,1,0),AL132)</f>
        <v>4.3</v>
      </c>
      <c r="AN132" s="52" t="str">
        <f>+IF($AM132&gt;0,FIXED(Fuelbeds_english!AN132*2.242,1,0),$AM132)</f>
        <v>0.3</v>
      </c>
      <c r="AO132" s="52" t="str">
        <f>+IF($AM132&gt;0,FIXED(Fuelbeds_english!AO132*2.242,1,0),$AM132)</f>
        <v>0.5</v>
      </c>
      <c r="AP132" s="52" t="str">
        <f>+IF($AM132&gt;0,FIXED(Fuelbeds_english!AP132*2.242,1,0),$AM132)</f>
        <v>0.7</v>
      </c>
      <c r="AQ132" s="52" t="str">
        <f>+IF($AM132&gt;0,FIXED(Fuelbeds_english!AQ132*2.242,1,0),$AM132)</f>
        <v>1.1</v>
      </c>
      <c r="AR132" s="36" t="s">
        <v>390</v>
      </c>
      <c r="AS132" s="45" t="s">
        <v>389</v>
      </c>
      <c r="AT132" s="45" t="s">
        <v>156</v>
      </c>
      <c r="AU132" s="44">
        <v>2</v>
      </c>
      <c r="AV132" s="52" t="str">
        <f>+IF(AU132&gt;0,FIXED(Fuelbeds_english!AV132*2.54,1,0),AU132)</f>
        <v>0.4</v>
      </c>
      <c r="AW132" s="88">
        <v>2</v>
      </c>
      <c r="AX132" s="88">
        <v>3</v>
      </c>
      <c r="AY132" s="52" t="str">
        <f>+IF(AX132&gt;0,FIXED(Fuelbeds_english!AY132*2.54,1,0),AX132)</f>
        <v>1.8</v>
      </c>
      <c r="AZ132" s="59">
        <v>1</v>
      </c>
      <c r="BA132" s="36">
        <v>22</v>
      </c>
      <c r="BB132" s="52" t="str">
        <f>+IF(BA132&gt;0,FIXED(Fuelbeds_english!BB132*2.54,1,0),BA132)</f>
        <v>4.1</v>
      </c>
      <c r="BC132" s="45">
        <v>50</v>
      </c>
      <c r="BD132" s="45">
        <v>-1</v>
      </c>
      <c r="BE132" s="45">
        <v>-1</v>
      </c>
      <c r="BF132" s="45">
        <v>50</v>
      </c>
      <c r="BG132" s="45">
        <v>-1</v>
      </c>
      <c r="BH132" s="45">
        <v>-1</v>
      </c>
      <c r="BI132" s="45">
        <v>-1</v>
      </c>
      <c r="BJ132" s="28">
        <v>1</v>
      </c>
      <c r="BK132" s="67">
        <v>20.943999999999999</v>
      </c>
      <c r="BL132" s="52" t="str">
        <f>+IF(BK132&gt;0,FIXED(Fuelbeds_english!BL132*2.54,1,0),BK132)</f>
        <v>1.8</v>
      </c>
      <c r="BM132" s="45">
        <v>3</v>
      </c>
      <c r="BN132" s="67">
        <v>17.827333333333332</v>
      </c>
      <c r="BO132" s="52" t="str">
        <f>+IF(BN132&gt;0,FIXED(Fuelbeds_english!BO132*2.54,1,0),BN132)</f>
        <v>1.3</v>
      </c>
    </row>
    <row r="133" spans="1:67" s="50" customFormat="1" x14ac:dyDescent="0.25">
      <c r="A133" s="50">
        <v>132</v>
      </c>
      <c r="B133" s="52" t="s">
        <v>254</v>
      </c>
      <c r="C133" s="68">
        <v>924110</v>
      </c>
      <c r="D133" s="45" t="s">
        <v>5</v>
      </c>
      <c r="E133" s="12" t="s">
        <v>9</v>
      </c>
      <c r="F133" s="39">
        <v>55.8</v>
      </c>
      <c r="G133" s="36">
        <v>45.756</v>
      </c>
      <c r="H133" s="45">
        <f>+IF(F133&gt;0,INT(Fuelbeds_english!H133*2.471),F133)</f>
        <v>134</v>
      </c>
      <c r="I133" s="36">
        <f>+IF(F133&gt;0,INT(Fuelbeds_english!I133*0.3048),F133)</f>
        <v>20</v>
      </c>
      <c r="J133" s="45">
        <f>+IF(F133&gt;0,INT(Fuelbeds_english!J133*0.3048),F133)</f>
        <v>11</v>
      </c>
      <c r="K133" s="45">
        <f>+IF(F133&gt;0,INT(Fuelbeds_english!K133*2.54),F133)</f>
        <v>39</v>
      </c>
      <c r="L133" s="55" t="s">
        <v>390</v>
      </c>
      <c r="M133" s="36" t="s">
        <v>389</v>
      </c>
      <c r="N133" s="55" t="s">
        <v>156</v>
      </c>
      <c r="O133" s="43">
        <v>29.553333333333331</v>
      </c>
      <c r="P133" s="45">
        <f>+IF(O133&gt;0,INT(Fuelbeds_english!P133*2.471),O133)</f>
        <v>346</v>
      </c>
      <c r="Q133" s="36">
        <f>+IF(O133&gt;0,INT(Fuelbeds_english!Q133*0.3048),O133)</f>
        <v>13</v>
      </c>
      <c r="R133" s="45">
        <f>+IF(O133&gt;0,INT(Fuelbeds_english!R133*0.3048),O133)</f>
        <v>6</v>
      </c>
      <c r="S133" s="45">
        <f>+IF(O133&gt;0,INT(Fuelbeds_english!S133*2.54),O133)</f>
        <v>20</v>
      </c>
      <c r="T133" s="36">
        <v>19478</v>
      </c>
      <c r="U133" s="36" t="s">
        <v>352</v>
      </c>
      <c r="V133" s="36">
        <v>100</v>
      </c>
      <c r="W133" s="36">
        <v>-1</v>
      </c>
      <c r="X133" s="98">
        <v>-1</v>
      </c>
      <c r="Y133" s="29">
        <v>20.541636656740575</v>
      </c>
      <c r="Z133" s="88" t="str">
        <f>+IF(Y133&gt;0,FIXED(Fuelbeds_english!Z133*0.3048,1,0),Y133)</f>
        <v>1.2</v>
      </c>
      <c r="AA133" s="46">
        <v>85</v>
      </c>
      <c r="AB133" s="50">
        <v>23571</v>
      </c>
      <c r="AC133" s="50" t="s">
        <v>161</v>
      </c>
      <c r="AD133" s="50">
        <v>100</v>
      </c>
      <c r="AE133" s="42">
        <v>20</v>
      </c>
      <c r="AF133" s="52" t="str">
        <f>+IF(AE133&gt;0,FIXED(Fuelbeds_english!AF133*0.3048,1,0),AE133)</f>
        <v>0.5</v>
      </c>
      <c r="AG133" s="45">
        <v>75</v>
      </c>
      <c r="AH133" s="52" t="str">
        <f>+IF(AE133&gt;0,FIXED(Fuelbeds_english!AH133*2.242,1,0),AE133)</f>
        <v>0.2</v>
      </c>
      <c r="AI133" s="45" t="s">
        <v>395</v>
      </c>
      <c r="AJ133" s="45" t="s">
        <v>394</v>
      </c>
      <c r="AK133" s="45" t="s">
        <v>156</v>
      </c>
      <c r="AL133" s="34">
        <v>17</v>
      </c>
      <c r="AM133" s="52" t="str">
        <f>+IF(AL133&gt;0,FIXED(Fuelbeds_english!AM133*2.54,1,0),AL133)</f>
        <v>4.3</v>
      </c>
      <c r="AN133" s="52" t="str">
        <f>+IF($AM133&gt;0,FIXED(Fuelbeds_english!AN133*2.242,1,0),$AM133)</f>
        <v>0.9</v>
      </c>
      <c r="AO133" s="52" t="str">
        <f>+IF($AM133&gt;0,FIXED(Fuelbeds_english!AO133*2.242,1,0),$AM133)</f>
        <v>1.7</v>
      </c>
      <c r="AP133" s="52" t="str">
        <f>+IF($AM133&gt;0,FIXED(Fuelbeds_english!AP133*2.242,1,0),$AM133)</f>
        <v>2.3</v>
      </c>
      <c r="AQ133" s="52" t="str">
        <f>+IF($AM133&gt;0,FIXED(Fuelbeds_english!AQ133*2.242,1,0),$AM133)</f>
        <v>3.5</v>
      </c>
      <c r="AR133" s="36" t="s">
        <v>390</v>
      </c>
      <c r="AS133" s="45" t="s">
        <v>389</v>
      </c>
      <c r="AT133" s="45" t="s">
        <v>156</v>
      </c>
      <c r="AU133" s="44">
        <v>2</v>
      </c>
      <c r="AV133" s="52" t="str">
        <f>+IF(AU133&gt;0,FIXED(Fuelbeds_english!AV133*2.54,1,0),AU133)</f>
        <v>0.4</v>
      </c>
      <c r="AW133" s="88">
        <v>2</v>
      </c>
      <c r="AX133" s="88">
        <v>3</v>
      </c>
      <c r="AY133" s="52" t="str">
        <f>+IF(AX133&gt;0,FIXED(Fuelbeds_english!AY133*2.54,1,0),AX133)</f>
        <v>1.8</v>
      </c>
      <c r="AZ133" s="59">
        <v>1</v>
      </c>
      <c r="BA133" s="36">
        <v>71</v>
      </c>
      <c r="BB133" s="52" t="str">
        <f>+IF(BA133&gt;0,FIXED(Fuelbeds_english!BB133*2.54,1,0),BA133)</f>
        <v>4.1</v>
      </c>
      <c r="BC133" s="45">
        <v>50</v>
      </c>
      <c r="BD133" s="45">
        <v>-1</v>
      </c>
      <c r="BE133" s="45">
        <v>-1</v>
      </c>
      <c r="BF133" s="45">
        <v>50</v>
      </c>
      <c r="BG133" s="45">
        <v>-1</v>
      </c>
      <c r="BH133" s="45">
        <v>-1</v>
      </c>
      <c r="BI133" s="45">
        <v>-1</v>
      </c>
      <c r="BJ133" s="28">
        <v>1</v>
      </c>
      <c r="BK133" s="67">
        <v>68.745599999999996</v>
      </c>
      <c r="BL133" s="52" t="str">
        <f>+IF(BK133&gt;0,FIXED(Fuelbeds_english!BL133*2.54,1,0),BK133)</f>
        <v>1.8</v>
      </c>
      <c r="BM133" s="45">
        <v>3</v>
      </c>
      <c r="BN133" s="67">
        <v>58.515599999999992</v>
      </c>
      <c r="BO133" s="52" t="str">
        <f>+IF(BN133&gt;0,FIXED(Fuelbeds_english!BO133*2.54,1,0),BN133)</f>
        <v>1.3</v>
      </c>
    </row>
    <row r="134" spans="1:67" s="50" customFormat="1" x14ac:dyDescent="0.25">
      <c r="A134" s="50">
        <v>133</v>
      </c>
      <c r="B134" s="52" t="s">
        <v>255</v>
      </c>
      <c r="C134" s="72">
        <v>914112</v>
      </c>
      <c r="D134" s="45" t="s">
        <v>5</v>
      </c>
      <c r="E134" s="30" t="s">
        <v>407</v>
      </c>
      <c r="F134" s="39">
        <v>19.600000000000001</v>
      </c>
      <c r="G134" s="36">
        <v>19.600000000000001</v>
      </c>
      <c r="H134" s="45">
        <f>+IF(F134&gt;0,INT(Fuelbeds_english!H134*2.471),F134)</f>
        <v>169</v>
      </c>
      <c r="I134" s="36">
        <f>+IF(F134&gt;0,INT(Fuelbeds_english!I134*0.3048),F134)</f>
        <v>14</v>
      </c>
      <c r="J134" s="45">
        <f>+IF(F134&gt;0,INT(Fuelbeds_english!J134*0.3048),F134)</f>
        <v>5</v>
      </c>
      <c r="K134" s="45">
        <f>+IF(F134&gt;0,INT(Fuelbeds_english!K134*2.54),F134)</f>
        <v>18</v>
      </c>
      <c r="L134" s="36">
        <v>183412</v>
      </c>
      <c r="M134" s="36" t="s">
        <v>398</v>
      </c>
      <c r="N134" s="36">
        <v>100</v>
      </c>
      <c r="O134" s="36">
        <v>5.1449999999999996</v>
      </c>
      <c r="P134" s="45">
        <f>+IF(O134&gt;0,INT(Fuelbeds_english!P134*2.471),O134)</f>
        <v>290</v>
      </c>
      <c r="Q134" s="36">
        <f>+IF(O134&gt;0,INT(Fuelbeds_english!Q134*0.3048),O134)</f>
        <v>8</v>
      </c>
      <c r="R134" s="45">
        <f>+IF(O134&gt;0,INT(Fuelbeds_english!R134*0.3048),O134)</f>
        <v>1</v>
      </c>
      <c r="S134" s="45">
        <f>+IF(O134&gt;0,INT(Fuelbeds_english!S134*2.54),O134)</f>
        <v>5</v>
      </c>
      <c r="T134" s="36">
        <v>183412</v>
      </c>
      <c r="U134" s="36" t="s">
        <v>398</v>
      </c>
      <c r="V134" s="36">
        <v>100</v>
      </c>
      <c r="W134" s="36">
        <v>1</v>
      </c>
      <c r="X134" s="98">
        <v>2</v>
      </c>
      <c r="Y134" s="29">
        <v>44.2</v>
      </c>
      <c r="Z134" s="88" t="str">
        <f>+IF(Y134&gt;0,FIXED(Fuelbeds_english!Z134*0.3048,1,0),Y134)</f>
        <v>2.3</v>
      </c>
      <c r="AA134" s="46">
        <v>90</v>
      </c>
      <c r="AB134" s="50">
        <v>22476</v>
      </c>
      <c r="AC134" s="50" t="s">
        <v>157</v>
      </c>
      <c r="AD134" s="50">
        <v>100</v>
      </c>
      <c r="AE134" s="42">
        <v>30</v>
      </c>
      <c r="AF134" s="52" t="str">
        <f>+IF(AE134&gt;0,FIXED(Fuelbeds_english!AF134*0.3048,1,0),AE134)</f>
        <v>0.4</v>
      </c>
      <c r="AG134" s="45">
        <v>80</v>
      </c>
      <c r="AH134" s="52" t="str">
        <f>+IF(AE134&gt;0,FIXED(Fuelbeds_english!AH134*2.242,1,0),AE134)</f>
        <v>0.3</v>
      </c>
      <c r="AI134" s="45">
        <v>40529</v>
      </c>
      <c r="AJ134" s="45" t="s">
        <v>356</v>
      </c>
      <c r="AK134" s="45">
        <v>100</v>
      </c>
      <c r="AL134" s="34">
        <v>11.270000000000001</v>
      </c>
      <c r="AM134" s="52" t="str">
        <f>+IF(AL134&gt;0,FIXED(Fuelbeds_english!AM134*2.54,1,0),AL134)</f>
        <v>2.5</v>
      </c>
      <c r="AN134" s="52" t="str">
        <f>+IF($AM134&gt;0,FIXED(Fuelbeds_english!AN134*2.242,1,0),$AM134)</f>
        <v>0.3</v>
      </c>
      <c r="AO134" s="52" t="str">
        <f>+IF($AM134&gt;0,FIXED(Fuelbeds_english!AO134*2.242,1,0),$AM134)</f>
        <v>0.9</v>
      </c>
      <c r="AP134" s="52" t="str">
        <f>+IF($AM134&gt;0,FIXED(Fuelbeds_english!AP134*2.242,1,0),$AM134)</f>
        <v>1.8</v>
      </c>
      <c r="AQ134" s="52" t="str">
        <f>+IF($AM134&gt;0,FIXED(Fuelbeds_english!AQ134*2.242,1,0),$AM134)</f>
        <v>5.8</v>
      </c>
      <c r="AR134" s="36">
        <v>183412</v>
      </c>
      <c r="AS134" s="45" t="s">
        <v>398</v>
      </c>
      <c r="AT134" s="45">
        <v>100</v>
      </c>
      <c r="AU134" s="44">
        <v>-1</v>
      </c>
      <c r="AV134" s="52">
        <f>+IF(AU134&gt;0,FIXED(Fuelbeds_english!AV134*2.54,1,0),AU134)</f>
        <v>-1</v>
      </c>
      <c r="AW134" s="88">
        <v>1</v>
      </c>
      <c r="AX134" s="88">
        <v>63</v>
      </c>
      <c r="AY134" s="52" t="str">
        <f>+IF(AX134&gt;0,FIXED(Fuelbeds_english!AY134*2.54,1,0),AX134)</f>
        <v>5.8</v>
      </c>
      <c r="AZ134" s="59">
        <v>1</v>
      </c>
      <c r="BA134" s="36">
        <v>19.600000000000001</v>
      </c>
      <c r="BB134" s="52" t="str">
        <f>+IF(BA134&gt;0,FIXED(Fuelbeds_english!BB134*2.54,1,0),BA134)</f>
        <v>1.8</v>
      </c>
      <c r="BC134" s="45">
        <v>-1</v>
      </c>
      <c r="BD134" s="45">
        <v>-1</v>
      </c>
      <c r="BE134" s="45">
        <v>100</v>
      </c>
      <c r="BF134" s="45">
        <v>-1</v>
      </c>
      <c r="BG134" s="45">
        <v>-1</v>
      </c>
      <c r="BH134" s="45">
        <v>-1</v>
      </c>
      <c r="BI134" s="45">
        <v>-1</v>
      </c>
      <c r="BJ134" s="28">
        <v>2</v>
      </c>
      <c r="BK134" s="36">
        <v>24.75</v>
      </c>
      <c r="BL134" s="52" t="str">
        <f>+IF(BK134&gt;0,FIXED(Fuelbeds_english!BL134*2.54,1,0),BK134)</f>
        <v>12.7</v>
      </c>
      <c r="BM134" s="45">
        <v>4</v>
      </c>
      <c r="BN134" s="36">
        <v>24.75</v>
      </c>
      <c r="BO134" s="52" t="str">
        <f>+IF(BN134&gt;0,FIXED(Fuelbeds_english!BO134*2.54,1,0),BN134)</f>
        <v>12.7</v>
      </c>
    </row>
    <row r="135" spans="1:67" s="50" customFormat="1" x14ac:dyDescent="0.25">
      <c r="A135" s="50">
        <v>134</v>
      </c>
      <c r="B135" s="52" t="s">
        <v>256</v>
      </c>
      <c r="C135" s="72">
        <v>924112</v>
      </c>
      <c r="D135" s="45" t="s">
        <v>5</v>
      </c>
      <c r="E135" s="30" t="s">
        <v>407</v>
      </c>
      <c r="F135" s="39">
        <v>58.7</v>
      </c>
      <c r="G135" s="36">
        <v>58.7</v>
      </c>
      <c r="H135" s="45">
        <f>+IF(F135&gt;0,INT(Fuelbeds_english!H135*2.471),F135)</f>
        <v>507</v>
      </c>
      <c r="I135" s="36">
        <f>+IF(F135&gt;0,INT(Fuelbeds_english!I135*0.3048),F135)</f>
        <v>22</v>
      </c>
      <c r="J135" s="45">
        <f>+IF(F135&gt;0,INT(Fuelbeds_english!J135*0.3048),F135)</f>
        <v>7</v>
      </c>
      <c r="K135" s="45">
        <f>+IF(F135&gt;0,INT(Fuelbeds_english!K135*2.54),F135)</f>
        <v>25</v>
      </c>
      <c r="L135" s="36">
        <v>183412</v>
      </c>
      <c r="M135" s="36" t="s">
        <v>398</v>
      </c>
      <c r="N135" s="36">
        <v>100</v>
      </c>
      <c r="O135" s="36">
        <v>15.40875</v>
      </c>
      <c r="P135" s="45">
        <f>+IF(O135&gt;0,INT(Fuelbeds_english!P135*2.471),O135)</f>
        <v>870</v>
      </c>
      <c r="Q135" s="36">
        <f>+IF(O135&gt;0,INT(Fuelbeds_english!Q135*0.3048),O135)</f>
        <v>12</v>
      </c>
      <c r="R135" s="45">
        <f>+IF(O135&gt;0,INT(Fuelbeds_english!R135*0.3048),O135)</f>
        <v>2</v>
      </c>
      <c r="S135" s="45">
        <f>+IF(O135&gt;0,INT(Fuelbeds_english!S135*2.54),O135)</f>
        <v>8</v>
      </c>
      <c r="T135" s="36">
        <v>183412</v>
      </c>
      <c r="U135" s="36" t="s">
        <v>398</v>
      </c>
      <c r="V135" s="36">
        <v>100</v>
      </c>
      <c r="W135" s="36">
        <v>1</v>
      </c>
      <c r="X135" s="98">
        <v>2</v>
      </c>
      <c r="Y135" s="29">
        <v>9.36</v>
      </c>
      <c r="Z135" s="88" t="str">
        <f>+IF(Y135&gt;0,FIXED(Fuelbeds_english!Z135*0.3048,1,0),Y135)</f>
        <v>2.3</v>
      </c>
      <c r="AA135" s="46">
        <v>90</v>
      </c>
      <c r="AB135" s="50">
        <v>22476</v>
      </c>
      <c r="AC135" s="50" t="s">
        <v>157</v>
      </c>
      <c r="AD135" s="50">
        <v>100</v>
      </c>
      <c r="AE135" s="42">
        <v>30</v>
      </c>
      <c r="AF135" s="52" t="str">
        <f>+IF(AE135&gt;0,FIXED(Fuelbeds_english!AF135*0.3048,1,0),AE135)</f>
        <v>0.4</v>
      </c>
      <c r="AG135" s="45">
        <v>80</v>
      </c>
      <c r="AH135" s="52" t="str">
        <f>+IF(AE135&gt;0,FIXED(Fuelbeds_english!AH135*2.242,1,0),AE135)</f>
        <v>0.3</v>
      </c>
      <c r="AI135" s="45">
        <v>40529</v>
      </c>
      <c r="AJ135" s="45" t="s">
        <v>356</v>
      </c>
      <c r="AK135" s="45">
        <v>100</v>
      </c>
      <c r="AL135" s="34">
        <v>33.752500000000005</v>
      </c>
      <c r="AM135" s="52" t="str">
        <f>+IF(AL135&gt;0,FIXED(Fuelbeds_english!AM135*2.54,1,0),AL135)</f>
        <v>2.5</v>
      </c>
      <c r="AN135" s="52" t="str">
        <f>+IF($AM135&gt;0,FIXED(Fuelbeds_english!AN135*2.242,1,0),$AM135)</f>
        <v>1.0</v>
      </c>
      <c r="AO135" s="52" t="str">
        <f>+IF($AM135&gt;0,FIXED(Fuelbeds_english!AO135*2.242,1,0),$AM135)</f>
        <v>2.7</v>
      </c>
      <c r="AP135" s="52" t="str">
        <f>+IF($AM135&gt;0,FIXED(Fuelbeds_english!AP135*2.242,1,0),$AM135)</f>
        <v>5.5</v>
      </c>
      <c r="AQ135" s="52" t="str">
        <f>+IF($AM135&gt;0,FIXED(Fuelbeds_english!AQ135*2.242,1,0),$AM135)</f>
        <v>17.3</v>
      </c>
      <c r="AR135" s="36">
        <v>183412</v>
      </c>
      <c r="AS135" s="45" t="s">
        <v>398</v>
      </c>
      <c r="AT135" s="45">
        <v>100</v>
      </c>
      <c r="AU135" s="44">
        <v>-1</v>
      </c>
      <c r="AV135" s="52">
        <f>+IF(AU135&gt;0,FIXED(Fuelbeds_english!AV135*2.54,1,0),AU135)</f>
        <v>-1</v>
      </c>
      <c r="AW135" s="88">
        <v>1</v>
      </c>
      <c r="AX135" s="88">
        <v>63</v>
      </c>
      <c r="AY135" s="52" t="str">
        <f>+IF(AX135&gt;0,FIXED(Fuelbeds_english!AY135*2.54,1,0),AX135)</f>
        <v>5.8</v>
      </c>
      <c r="AZ135" s="59">
        <v>1</v>
      </c>
      <c r="BA135" s="36">
        <v>58.7</v>
      </c>
      <c r="BB135" s="52" t="str">
        <f>+IF(BA135&gt;0,FIXED(Fuelbeds_english!BB135*2.54,1,0),BA135)</f>
        <v>1.8</v>
      </c>
      <c r="BC135" s="45">
        <v>-1</v>
      </c>
      <c r="BD135" s="45">
        <v>-1</v>
      </c>
      <c r="BE135" s="45">
        <v>100</v>
      </c>
      <c r="BF135" s="45">
        <v>-1</v>
      </c>
      <c r="BG135" s="45">
        <v>-1</v>
      </c>
      <c r="BH135" s="45">
        <v>-1</v>
      </c>
      <c r="BI135" s="45">
        <v>-1</v>
      </c>
      <c r="BJ135" s="28">
        <v>2</v>
      </c>
      <c r="BK135" s="36">
        <v>100</v>
      </c>
      <c r="BL135" s="52" t="str">
        <f>+IF(BK135&gt;0,FIXED(Fuelbeds_english!BL135*2.54,1,0),BK135)</f>
        <v>12.7</v>
      </c>
      <c r="BM135" s="45">
        <v>4</v>
      </c>
      <c r="BN135" s="36">
        <v>100</v>
      </c>
      <c r="BO135" s="52" t="str">
        <f>+IF(BN135&gt;0,FIXED(Fuelbeds_english!BO135*2.54,1,0),BN135)</f>
        <v>12.7</v>
      </c>
    </row>
    <row r="136" spans="1:67" s="50" customFormat="1" x14ac:dyDescent="0.25">
      <c r="A136" s="50">
        <v>135</v>
      </c>
      <c r="B136" s="52" t="s">
        <v>257</v>
      </c>
      <c r="C136" s="68">
        <v>914120</v>
      </c>
      <c r="D136" s="45" t="s">
        <v>5</v>
      </c>
      <c r="E136" s="13" t="s">
        <v>8</v>
      </c>
      <c r="F136" s="39">
        <v>22</v>
      </c>
      <c r="G136" s="36">
        <v>18.040000000000003</v>
      </c>
      <c r="H136" s="45">
        <f>+IF(F136&gt;0,INT(Fuelbeds_english!H136*2.471),F136)</f>
        <v>52</v>
      </c>
      <c r="I136" s="36">
        <f>+IF(F136&gt;0,INT(Fuelbeds_english!I136*0.3048),F136)</f>
        <v>19</v>
      </c>
      <c r="J136" s="45">
        <f>+IF(F136&gt;0,INT(Fuelbeds_english!J136*0.3048),F136)</f>
        <v>10</v>
      </c>
      <c r="K136" s="45">
        <f>+IF(F136&gt;0,INT(Fuelbeds_english!K136*2.54),F136)</f>
        <v>36</v>
      </c>
      <c r="L136" s="55" t="s">
        <v>390</v>
      </c>
      <c r="M136" s="36" t="s">
        <v>389</v>
      </c>
      <c r="N136" s="55" t="s">
        <v>156</v>
      </c>
      <c r="O136" s="43">
        <v>11.651851851851854</v>
      </c>
      <c r="P136" s="45">
        <f>+IF(O136&gt;0,INT(Fuelbeds_english!P136*2.471),O136)</f>
        <v>136</v>
      </c>
      <c r="Q136" s="36">
        <f>+IF(O136&gt;0,INT(Fuelbeds_english!Q136*0.3048),O136)</f>
        <v>12</v>
      </c>
      <c r="R136" s="45">
        <f>+IF(O136&gt;0,INT(Fuelbeds_english!R136*0.3048),O136)</f>
        <v>5</v>
      </c>
      <c r="S136" s="45">
        <f>+IF(O136&gt;0,INT(Fuelbeds_english!S136*2.54),O136)</f>
        <v>20</v>
      </c>
      <c r="T136" s="36">
        <v>19478</v>
      </c>
      <c r="U136" s="36" t="s">
        <v>352</v>
      </c>
      <c r="V136" s="36">
        <v>100</v>
      </c>
      <c r="W136" s="36">
        <v>-1</v>
      </c>
      <c r="X136" s="98">
        <v>-1</v>
      </c>
      <c r="Y136" s="29">
        <v>30.585977469114638</v>
      </c>
      <c r="Z136" s="88" t="str">
        <f>+IF(Y136&gt;0,FIXED(Fuelbeds_english!Z136*0.3048,1,0),Y136)</f>
        <v>1.2</v>
      </c>
      <c r="AA136" s="46">
        <v>85</v>
      </c>
      <c r="AB136" s="50">
        <v>23571</v>
      </c>
      <c r="AC136" s="50" t="s">
        <v>161</v>
      </c>
      <c r="AD136" s="50">
        <v>100</v>
      </c>
      <c r="AE136" s="42">
        <v>30</v>
      </c>
      <c r="AF136" s="52" t="str">
        <f>+IF(AE136&gt;0,FIXED(Fuelbeds_english!AF136*0.3048,1,0),AE136)</f>
        <v>0.5</v>
      </c>
      <c r="AG136" s="45">
        <v>75</v>
      </c>
      <c r="AH136" s="52" t="str">
        <f>+IF(AE136&gt;0,FIXED(Fuelbeds_english!AH136*2.242,1,0),AE136)</f>
        <v>0.3</v>
      </c>
      <c r="AI136" s="45" t="s">
        <v>395</v>
      </c>
      <c r="AJ136" s="45" t="s">
        <v>394</v>
      </c>
      <c r="AK136" s="45" t="s">
        <v>156</v>
      </c>
      <c r="AL136" s="34">
        <v>7</v>
      </c>
      <c r="AM136" s="52" t="str">
        <f>+IF(AL136&gt;0,FIXED(Fuelbeds_english!AM136*2.54,1,0),AL136)</f>
        <v>4.3</v>
      </c>
      <c r="AN136" s="52" t="str">
        <f>+IF($AM136&gt;0,FIXED(Fuelbeds_english!AN136*2.242,1,0),$AM136)</f>
        <v>0.3</v>
      </c>
      <c r="AO136" s="52" t="str">
        <f>+IF($AM136&gt;0,FIXED(Fuelbeds_english!AO136*2.242,1,0),$AM136)</f>
        <v>0.7</v>
      </c>
      <c r="AP136" s="52" t="str">
        <f>+IF($AM136&gt;0,FIXED(Fuelbeds_english!AP136*2.242,1,0),$AM136)</f>
        <v>0.9</v>
      </c>
      <c r="AQ136" s="52" t="str">
        <f>+IF($AM136&gt;0,FIXED(Fuelbeds_english!AQ136*2.242,1,0),$AM136)</f>
        <v>1.4</v>
      </c>
      <c r="AR136" s="36" t="s">
        <v>390</v>
      </c>
      <c r="AS136" s="45" t="s">
        <v>389</v>
      </c>
      <c r="AT136" s="45" t="s">
        <v>156</v>
      </c>
      <c r="AU136" s="44">
        <v>2</v>
      </c>
      <c r="AV136" s="52" t="str">
        <f>+IF(AU136&gt;0,FIXED(Fuelbeds_english!AV136*2.54,1,0),AU136)</f>
        <v>0.4</v>
      </c>
      <c r="AW136" s="88">
        <v>2</v>
      </c>
      <c r="AX136" s="88">
        <v>3</v>
      </c>
      <c r="AY136" s="52" t="str">
        <f>+IF(AX136&gt;0,FIXED(Fuelbeds_english!AY136*2.54,1,0),AX136)</f>
        <v>1.8</v>
      </c>
      <c r="AZ136" s="59">
        <v>1</v>
      </c>
      <c r="BA136" s="36">
        <v>28</v>
      </c>
      <c r="BB136" s="52" t="str">
        <f>+IF(BA136&gt;0,FIXED(Fuelbeds_english!BB136*2.54,1,0),BA136)</f>
        <v>4.1</v>
      </c>
      <c r="BC136" s="45">
        <v>50</v>
      </c>
      <c r="BD136" s="45">
        <v>-1</v>
      </c>
      <c r="BE136" s="45">
        <v>-1</v>
      </c>
      <c r="BF136" s="45">
        <v>50</v>
      </c>
      <c r="BG136" s="45">
        <v>-1</v>
      </c>
      <c r="BH136" s="45">
        <v>-1</v>
      </c>
      <c r="BI136" s="45">
        <v>-1</v>
      </c>
      <c r="BJ136" s="28">
        <v>1</v>
      </c>
      <c r="BK136" s="67">
        <v>27.103999999999999</v>
      </c>
      <c r="BL136" s="52" t="str">
        <f>+IF(BK136&gt;0,FIXED(Fuelbeds_english!BL136*2.54,1,0),BK136)</f>
        <v>1.8</v>
      </c>
      <c r="BM136" s="45">
        <v>3</v>
      </c>
      <c r="BN136" s="67">
        <v>23.070666666666664</v>
      </c>
      <c r="BO136" s="52" t="str">
        <f>+IF(BN136&gt;0,FIXED(Fuelbeds_english!BO136*2.54,1,0),BN136)</f>
        <v>1.3</v>
      </c>
    </row>
    <row r="137" spans="1:67" s="50" customFormat="1" x14ac:dyDescent="0.25">
      <c r="A137" s="50">
        <v>136</v>
      </c>
      <c r="B137" s="52" t="s">
        <v>258</v>
      </c>
      <c r="C137" s="68">
        <v>924120</v>
      </c>
      <c r="D137" s="45" t="s">
        <v>5</v>
      </c>
      <c r="E137" s="13" t="s">
        <v>8</v>
      </c>
      <c r="F137" s="39">
        <v>58.9</v>
      </c>
      <c r="G137" s="36">
        <v>48.298000000000002</v>
      </c>
      <c r="H137" s="45">
        <f>+IF(F137&gt;0,INT(Fuelbeds_english!H137*2.471),F137)</f>
        <v>141</v>
      </c>
      <c r="I137" s="36">
        <f>+IF(F137&gt;0,INT(Fuelbeds_english!I137*0.3048),F137)</f>
        <v>24</v>
      </c>
      <c r="J137" s="45">
        <f>+IF(F137&gt;0,INT(Fuelbeds_english!J137*0.3048),F137)</f>
        <v>13</v>
      </c>
      <c r="K137" s="45">
        <f>+IF(F137&gt;0,INT(Fuelbeds_english!K137*2.54),F137)</f>
        <v>46</v>
      </c>
      <c r="L137" s="55" t="s">
        <v>390</v>
      </c>
      <c r="M137" s="36" t="s">
        <v>389</v>
      </c>
      <c r="N137" s="55" t="s">
        <v>156</v>
      </c>
      <c r="O137" s="43">
        <v>31.195185185185188</v>
      </c>
      <c r="P137" s="45">
        <f>+IF(O137&gt;0,INT(Fuelbeds_english!P137*2.471),O137)</f>
        <v>365</v>
      </c>
      <c r="Q137" s="36">
        <f>+IF(O137&gt;0,INT(Fuelbeds_english!Q137*0.3048),O137)</f>
        <v>16</v>
      </c>
      <c r="R137" s="45">
        <f>+IF(O137&gt;0,INT(Fuelbeds_english!R137*0.3048),O137)</f>
        <v>7</v>
      </c>
      <c r="S137" s="45">
        <f>+IF(O137&gt;0,INT(Fuelbeds_english!S137*2.54),O137)</f>
        <v>20</v>
      </c>
      <c r="T137" s="36">
        <v>19478</v>
      </c>
      <c r="U137" s="36" t="s">
        <v>352</v>
      </c>
      <c r="V137" s="36">
        <v>100</v>
      </c>
      <c r="W137" s="36">
        <v>-1</v>
      </c>
      <c r="X137" s="98">
        <v>-1</v>
      </c>
      <c r="Y137" s="29">
        <v>17.520905225704919</v>
      </c>
      <c r="Z137" s="88" t="str">
        <f>+IF(Y137&gt;0,FIXED(Fuelbeds_english!Z137*0.3048,1,0),Y137)</f>
        <v>1.2</v>
      </c>
      <c r="AA137" s="46">
        <v>85</v>
      </c>
      <c r="AB137" s="50">
        <v>23571</v>
      </c>
      <c r="AC137" s="50" t="s">
        <v>161</v>
      </c>
      <c r="AD137" s="50">
        <v>100</v>
      </c>
      <c r="AE137" s="42">
        <v>17</v>
      </c>
      <c r="AF137" s="52" t="str">
        <f>+IF(AE137&gt;0,FIXED(Fuelbeds_english!AF137*0.3048,1,0),AE137)</f>
        <v>0.5</v>
      </c>
      <c r="AG137" s="45">
        <v>75</v>
      </c>
      <c r="AH137" s="52" t="str">
        <f>+IF(AE137&gt;0,FIXED(Fuelbeds_english!AH137*2.242,1,0),AE137)</f>
        <v>0.2</v>
      </c>
      <c r="AI137" s="45" t="s">
        <v>395</v>
      </c>
      <c r="AJ137" s="45" t="s">
        <v>394</v>
      </c>
      <c r="AK137" s="45" t="s">
        <v>156</v>
      </c>
      <c r="AL137" s="34">
        <v>18</v>
      </c>
      <c r="AM137" s="52" t="str">
        <f>+IF(AL137&gt;0,FIXED(Fuelbeds_english!AM137*2.54,1,0),AL137)</f>
        <v>4.3</v>
      </c>
      <c r="AN137" s="52" t="str">
        <f>+IF($AM137&gt;0,FIXED(Fuelbeds_english!AN137*2.242,1,0),$AM137)</f>
        <v>0.9</v>
      </c>
      <c r="AO137" s="52" t="str">
        <f>+IF($AM137&gt;0,FIXED(Fuelbeds_english!AO137*2.242,1,0),$AM137)</f>
        <v>1.7</v>
      </c>
      <c r="AP137" s="52" t="str">
        <f>+IF($AM137&gt;0,FIXED(Fuelbeds_english!AP137*2.242,1,0),$AM137)</f>
        <v>2.4</v>
      </c>
      <c r="AQ137" s="52" t="str">
        <f>+IF($AM137&gt;0,FIXED(Fuelbeds_english!AQ137*2.242,1,0),$AM137)</f>
        <v>3.6</v>
      </c>
      <c r="AR137" s="36" t="s">
        <v>390</v>
      </c>
      <c r="AS137" s="45" t="s">
        <v>389</v>
      </c>
      <c r="AT137" s="45" t="s">
        <v>156</v>
      </c>
      <c r="AU137" s="44">
        <v>2</v>
      </c>
      <c r="AV137" s="52" t="str">
        <f>+IF(AU137&gt;0,FIXED(Fuelbeds_english!AV137*2.54,1,0),AU137)</f>
        <v>0.4</v>
      </c>
      <c r="AW137" s="88">
        <v>2</v>
      </c>
      <c r="AX137" s="88">
        <v>3</v>
      </c>
      <c r="AY137" s="52" t="str">
        <f>+IF(AX137&gt;0,FIXED(Fuelbeds_english!AY137*2.54,1,0),AX137)</f>
        <v>1.8</v>
      </c>
      <c r="AZ137" s="59">
        <v>1</v>
      </c>
      <c r="BA137" s="36">
        <v>75</v>
      </c>
      <c r="BB137" s="52" t="str">
        <f>+IF(BA137&gt;0,FIXED(Fuelbeds_english!BB137*2.54,1,0),BA137)</f>
        <v>4.1</v>
      </c>
      <c r="BC137" s="45">
        <v>50</v>
      </c>
      <c r="BD137" s="45">
        <v>-1</v>
      </c>
      <c r="BE137" s="45">
        <v>-1</v>
      </c>
      <c r="BF137" s="45">
        <v>50</v>
      </c>
      <c r="BG137" s="45">
        <v>-1</v>
      </c>
      <c r="BH137" s="45">
        <v>-1</v>
      </c>
      <c r="BI137" s="45">
        <v>-1</v>
      </c>
      <c r="BJ137" s="28">
        <v>1</v>
      </c>
      <c r="BK137" s="67">
        <v>72.564799999999991</v>
      </c>
      <c r="BL137" s="52" t="str">
        <f>+IF(BK137&gt;0,FIXED(Fuelbeds_english!BL137*2.54,1,0),BK137)</f>
        <v>1.8</v>
      </c>
      <c r="BM137" s="45">
        <v>3</v>
      </c>
      <c r="BN137" s="67">
        <v>61.766466666666652</v>
      </c>
      <c r="BO137" s="52" t="str">
        <f>+IF(BN137&gt;0,FIXED(Fuelbeds_english!BO137*2.54,1,0),BN137)</f>
        <v>1.3</v>
      </c>
    </row>
    <row r="138" spans="1:67" s="50" customFormat="1" x14ac:dyDescent="0.25">
      <c r="A138" s="50">
        <v>137</v>
      </c>
      <c r="B138" s="52" t="s">
        <v>259</v>
      </c>
      <c r="C138" s="72">
        <v>914122</v>
      </c>
      <c r="D138" s="45" t="s">
        <v>5</v>
      </c>
      <c r="E138" s="78" t="s">
        <v>409</v>
      </c>
      <c r="F138" s="39">
        <v>19.8</v>
      </c>
      <c r="G138" s="36">
        <v>19.8</v>
      </c>
      <c r="H138" s="45">
        <f>+IF(F138&gt;0,INT(Fuelbeds_english!H138*2.471),F138)</f>
        <v>171</v>
      </c>
      <c r="I138" s="36">
        <f>+IF(F138&gt;0,INT(Fuelbeds_english!I138*0.3048),F138)</f>
        <v>14</v>
      </c>
      <c r="J138" s="45">
        <f>+IF(F138&gt;0,INT(Fuelbeds_english!J138*0.3048),F138)</f>
        <v>5</v>
      </c>
      <c r="K138" s="45">
        <f>+IF(F138&gt;0,INT(Fuelbeds_english!K138*2.54),F138)</f>
        <v>18</v>
      </c>
      <c r="L138" s="36">
        <v>183412</v>
      </c>
      <c r="M138" s="36" t="s">
        <v>398</v>
      </c>
      <c r="N138" s="36">
        <v>100</v>
      </c>
      <c r="O138" s="36">
        <v>5.1974999999999998</v>
      </c>
      <c r="P138" s="45">
        <f>+IF(O138&gt;0,INT(Fuelbeds_english!P138*2.471),O138)</f>
        <v>293</v>
      </c>
      <c r="Q138" s="36">
        <f>+IF(O138&gt;0,INT(Fuelbeds_english!Q138*0.3048),O138)</f>
        <v>8</v>
      </c>
      <c r="R138" s="45">
        <f>+IF(O138&gt;0,INT(Fuelbeds_english!R138*0.3048),O138)</f>
        <v>1</v>
      </c>
      <c r="S138" s="45">
        <f>+IF(O138&gt;0,INT(Fuelbeds_english!S138*2.54),O138)</f>
        <v>5</v>
      </c>
      <c r="T138" s="36">
        <v>183412</v>
      </c>
      <c r="U138" s="36" t="s">
        <v>398</v>
      </c>
      <c r="V138" s="36">
        <v>100</v>
      </c>
      <c r="W138" s="36">
        <v>1</v>
      </c>
      <c r="X138" s="98">
        <v>2</v>
      </c>
      <c r="Y138" s="29">
        <v>14.049999999999997</v>
      </c>
      <c r="Z138" s="88" t="str">
        <f>+IF(Y138&gt;0,FIXED(Fuelbeds_english!Z138*0.3048,1,0),Y138)</f>
        <v>2.3</v>
      </c>
      <c r="AA138" s="46">
        <v>90</v>
      </c>
      <c r="AB138" s="50">
        <v>22476</v>
      </c>
      <c r="AC138" s="50" t="s">
        <v>157</v>
      </c>
      <c r="AD138" s="50">
        <v>100</v>
      </c>
      <c r="AE138" s="42">
        <v>60</v>
      </c>
      <c r="AF138" s="52" t="str">
        <f>+IF(AE138&gt;0,FIXED(Fuelbeds_english!AF138*0.3048,1,0),AE138)</f>
        <v>0.4</v>
      </c>
      <c r="AG138" s="45">
        <v>80</v>
      </c>
      <c r="AH138" s="52" t="str">
        <f>+IF(AE138&gt;0,FIXED(Fuelbeds_english!AH138*2.242,1,0),AE138)</f>
        <v>0.6</v>
      </c>
      <c r="AI138" s="45">
        <v>40529</v>
      </c>
      <c r="AJ138" s="45" t="s">
        <v>356</v>
      </c>
      <c r="AK138" s="45">
        <v>100</v>
      </c>
      <c r="AL138" s="34">
        <v>11.385000000000002</v>
      </c>
      <c r="AM138" s="52" t="str">
        <f>+IF(AL138&gt;0,FIXED(Fuelbeds_english!AM138*2.54,1,0),AL138)</f>
        <v>2.5</v>
      </c>
      <c r="AN138" s="52" t="str">
        <f>+IF($AM138&gt;0,FIXED(Fuelbeds_english!AN138*2.242,1,0),$AM138)</f>
        <v>0.3</v>
      </c>
      <c r="AO138" s="52" t="str">
        <f>+IF($AM138&gt;0,FIXED(Fuelbeds_english!AO138*2.242,1,0),$AM138)</f>
        <v>0.9</v>
      </c>
      <c r="AP138" s="52" t="str">
        <f>+IF($AM138&gt;0,FIXED(Fuelbeds_english!AP138*2.242,1,0),$AM138)</f>
        <v>1.9</v>
      </c>
      <c r="AQ138" s="52" t="str">
        <f>+IF($AM138&gt;0,FIXED(Fuelbeds_english!AQ138*2.242,1,0),$AM138)</f>
        <v>5.8</v>
      </c>
      <c r="AR138" s="36">
        <v>183412</v>
      </c>
      <c r="AS138" s="45" t="s">
        <v>398</v>
      </c>
      <c r="AT138" s="45">
        <v>100</v>
      </c>
      <c r="AU138" s="44">
        <v>-1</v>
      </c>
      <c r="AV138" s="52">
        <f>+IF(AU138&gt;0,FIXED(Fuelbeds_english!AV138*2.54,1,0),AU138)</f>
        <v>-1</v>
      </c>
      <c r="AW138" s="88">
        <v>1</v>
      </c>
      <c r="AX138" s="88">
        <v>63</v>
      </c>
      <c r="AY138" s="52" t="str">
        <f>+IF(AX138&gt;0,FIXED(Fuelbeds_english!AY138*2.54,1,0),AX138)</f>
        <v>5.8</v>
      </c>
      <c r="AZ138" s="59">
        <v>1</v>
      </c>
      <c r="BA138" s="36">
        <v>19.8</v>
      </c>
      <c r="BB138" s="52" t="str">
        <f>+IF(BA138&gt;0,FIXED(Fuelbeds_english!BB138*2.54,1,0),BA138)</f>
        <v>1.8</v>
      </c>
      <c r="BC138" s="45">
        <v>-1</v>
      </c>
      <c r="BD138" s="45">
        <v>-1</v>
      </c>
      <c r="BE138" s="45">
        <v>100</v>
      </c>
      <c r="BF138" s="45">
        <v>-1</v>
      </c>
      <c r="BG138" s="45">
        <v>-1</v>
      </c>
      <c r="BH138" s="45">
        <v>-1</v>
      </c>
      <c r="BI138" s="45">
        <v>-1</v>
      </c>
      <c r="BJ138" s="28">
        <v>2</v>
      </c>
      <c r="BK138" s="36">
        <v>31.6</v>
      </c>
      <c r="BL138" s="52" t="str">
        <f>+IF(BK138&gt;0,FIXED(Fuelbeds_english!BL138*2.54,1,0),BK138)</f>
        <v>12.7</v>
      </c>
      <c r="BM138" s="45">
        <v>4</v>
      </c>
      <c r="BN138" s="36">
        <v>31.6</v>
      </c>
      <c r="BO138" s="52" t="str">
        <f>+IF(BN138&gt;0,FIXED(Fuelbeds_english!BO138*2.54,1,0),BN138)</f>
        <v>12.7</v>
      </c>
    </row>
    <row r="139" spans="1:67" s="50" customFormat="1" x14ac:dyDescent="0.25">
      <c r="A139" s="50">
        <v>138</v>
      </c>
      <c r="B139" s="52" t="s">
        <v>260</v>
      </c>
      <c r="C139" s="72">
        <v>924122</v>
      </c>
      <c r="D139" s="45" t="s">
        <v>5</v>
      </c>
      <c r="E139" s="78" t="s">
        <v>409</v>
      </c>
      <c r="F139" s="39">
        <v>58.5</v>
      </c>
      <c r="G139" s="36">
        <v>58.5</v>
      </c>
      <c r="H139" s="45">
        <f>+IF(F139&gt;0,INT(Fuelbeds_english!H139*2.471),F139)</f>
        <v>505</v>
      </c>
      <c r="I139" s="36">
        <f>+IF(F139&gt;0,INT(Fuelbeds_english!I139*0.3048),F139)</f>
        <v>21</v>
      </c>
      <c r="J139" s="45">
        <f>+IF(F139&gt;0,INT(Fuelbeds_english!J139*0.3048),F139)</f>
        <v>7</v>
      </c>
      <c r="K139" s="45">
        <f>+IF(F139&gt;0,INT(Fuelbeds_english!K139*2.54),F139)</f>
        <v>25</v>
      </c>
      <c r="L139" s="36">
        <v>183412</v>
      </c>
      <c r="M139" s="36" t="s">
        <v>398</v>
      </c>
      <c r="N139" s="36">
        <v>100</v>
      </c>
      <c r="O139" s="36">
        <v>15.356249999999999</v>
      </c>
      <c r="P139" s="45">
        <f>+IF(O139&gt;0,INT(Fuelbeds_english!P139*2.471),O139)</f>
        <v>867</v>
      </c>
      <c r="Q139" s="36">
        <f>+IF(O139&gt;0,INT(Fuelbeds_english!Q139*0.3048),O139)</f>
        <v>12</v>
      </c>
      <c r="R139" s="45">
        <f>+IF(O139&gt;0,INT(Fuelbeds_english!R139*0.3048),O139)</f>
        <v>2</v>
      </c>
      <c r="S139" s="45">
        <f>+IF(O139&gt;0,INT(Fuelbeds_english!S139*2.54),O139)</f>
        <v>8</v>
      </c>
      <c r="T139" s="36">
        <v>183412</v>
      </c>
      <c r="U139" s="36" t="s">
        <v>398</v>
      </c>
      <c r="V139" s="36">
        <v>100</v>
      </c>
      <c r="W139" s="36">
        <v>1</v>
      </c>
      <c r="X139" s="98">
        <v>2</v>
      </c>
      <c r="Y139" s="81">
        <v>-1</v>
      </c>
      <c r="Z139" s="88">
        <f>+IF(Y139&gt;0,FIXED(Fuelbeds_english!Z139*0.3048,1,0),Y139)</f>
        <v>-1</v>
      </c>
      <c r="AA139" s="48">
        <v>-1</v>
      </c>
      <c r="AB139" s="10">
        <v>-1</v>
      </c>
      <c r="AC139" s="10">
        <v>-1</v>
      </c>
      <c r="AD139" s="10">
        <v>-1</v>
      </c>
      <c r="AE139" s="42">
        <v>41.5</v>
      </c>
      <c r="AF139" s="52" t="str">
        <f>+IF(AE139&gt;0,FIXED(Fuelbeds_english!AF139*0.3048,1,0),AE139)</f>
        <v>0.4</v>
      </c>
      <c r="AG139" s="45">
        <v>80</v>
      </c>
      <c r="AH139" s="52" t="str">
        <f>+IF(AE139&gt;0,FIXED(Fuelbeds_english!AH139*2.242,1,0),AE139)</f>
        <v>0.4</v>
      </c>
      <c r="AI139" s="45">
        <v>40529</v>
      </c>
      <c r="AJ139" s="45" t="s">
        <v>356</v>
      </c>
      <c r="AK139" s="45">
        <v>100</v>
      </c>
      <c r="AL139" s="34">
        <v>33.637499999999996</v>
      </c>
      <c r="AM139" s="52" t="str">
        <f>+IF(AL139&gt;0,FIXED(Fuelbeds_english!AM139*2.54,1,0),AL139)</f>
        <v>2.5</v>
      </c>
      <c r="AN139" s="52" t="str">
        <f>+IF($AM139&gt;0,FIXED(Fuelbeds_english!AN139*2.242,1,0),$AM139)</f>
        <v>1.0</v>
      </c>
      <c r="AO139" s="52" t="str">
        <f>+IF($AM139&gt;0,FIXED(Fuelbeds_english!AO139*2.242,1,0),$AM139)</f>
        <v>2.7</v>
      </c>
      <c r="AP139" s="52" t="str">
        <f>+IF($AM139&gt;0,FIXED(Fuelbeds_english!AP139*2.242,1,0),$AM139)</f>
        <v>5.5</v>
      </c>
      <c r="AQ139" s="52" t="str">
        <f>+IF($AM139&gt;0,FIXED(Fuelbeds_english!AQ139*2.242,1,0),$AM139)</f>
        <v>17.3</v>
      </c>
      <c r="AR139" s="36">
        <v>183412</v>
      </c>
      <c r="AS139" s="45" t="s">
        <v>398</v>
      </c>
      <c r="AT139" s="45">
        <v>100</v>
      </c>
      <c r="AU139" s="44">
        <v>-1</v>
      </c>
      <c r="AV139" s="52">
        <f>+IF(AU139&gt;0,FIXED(Fuelbeds_english!AV139*2.54,1,0),AU139)</f>
        <v>-1</v>
      </c>
      <c r="AW139" s="88">
        <v>1</v>
      </c>
      <c r="AX139" s="88">
        <v>63</v>
      </c>
      <c r="AY139" s="52" t="str">
        <f>+IF(AX139&gt;0,FIXED(Fuelbeds_english!AY139*2.54,1,0),AX139)</f>
        <v>5.8</v>
      </c>
      <c r="AZ139" s="45">
        <v>1</v>
      </c>
      <c r="BA139" s="36">
        <v>58.5</v>
      </c>
      <c r="BB139" s="52" t="str">
        <f>+IF(BA139&gt;0,FIXED(Fuelbeds_english!BB139*2.54,1,0),BA139)</f>
        <v>1.8</v>
      </c>
      <c r="BC139" s="45">
        <v>-1</v>
      </c>
      <c r="BD139" s="45">
        <v>-1</v>
      </c>
      <c r="BE139" s="45">
        <v>100</v>
      </c>
      <c r="BF139" s="45">
        <v>-1</v>
      </c>
      <c r="BG139" s="45">
        <v>-1</v>
      </c>
      <c r="BH139" s="45">
        <v>-1</v>
      </c>
      <c r="BI139" s="45">
        <v>-1</v>
      </c>
      <c r="BJ139" s="28">
        <v>2</v>
      </c>
      <c r="BK139" s="36">
        <v>100</v>
      </c>
      <c r="BL139" s="52" t="str">
        <f>+IF(BK139&gt;0,FIXED(Fuelbeds_english!BL139*2.54,1,0),BK139)</f>
        <v>12.7</v>
      </c>
      <c r="BM139" s="45">
        <v>4</v>
      </c>
      <c r="BN139" s="36">
        <v>100</v>
      </c>
      <c r="BO139" s="52" t="str">
        <f>+IF(BN139&gt;0,FIXED(Fuelbeds_english!BO139*2.54,1,0),BN139)</f>
        <v>12.7</v>
      </c>
    </row>
    <row r="140" spans="1:67" s="50" customFormat="1" x14ac:dyDescent="0.25">
      <c r="A140" s="50">
        <v>139</v>
      </c>
      <c r="B140" s="36">
        <v>4123</v>
      </c>
      <c r="C140" s="71">
        <v>4123</v>
      </c>
      <c r="D140" s="45" t="s">
        <v>5</v>
      </c>
      <c r="E140" s="32" t="s">
        <v>403</v>
      </c>
      <c r="F140" s="39">
        <v>8</v>
      </c>
      <c r="G140" s="36">
        <v>8</v>
      </c>
      <c r="H140" s="45">
        <f>+IF(F140&gt;0,INT(Fuelbeds_english!H140*2.471),F140)</f>
        <v>2</v>
      </c>
      <c r="I140" s="36">
        <f>+IF(F140&gt;0,INT(Fuelbeds_english!I140*0.3048),F140)</f>
        <v>13</v>
      </c>
      <c r="J140" s="45">
        <f>+IF(F140&gt;0,INT(Fuelbeds_english!J140*0.3048),F140)</f>
        <v>8</v>
      </c>
      <c r="K140" s="45">
        <f>+IF(F140&gt;0,INT(Fuelbeds_english!K140*2.54),F140)</f>
        <v>40</v>
      </c>
      <c r="L140" s="36">
        <v>27189</v>
      </c>
      <c r="M140" s="36" t="s">
        <v>401</v>
      </c>
      <c r="N140" s="36">
        <v>100</v>
      </c>
      <c r="O140" s="36">
        <v>4</v>
      </c>
      <c r="P140" s="45">
        <f>+IF(O140&gt;0,INT(Fuelbeds_english!P140*2.471),O140)</f>
        <v>24</v>
      </c>
      <c r="Q140" s="36">
        <f>+IF(O140&gt;0,INT(Fuelbeds_english!Q140*0.3048),O140)</f>
        <v>6</v>
      </c>
      <c r="R140" s="45">
        <f>+IF(O140&gt;0,INT(Fuelbeds_english!R140*0.3048),O140)</f>
        <v>3</v>
      </c>
      <c r="S140" s="45">
        <f>+IF(O140&gt;0,INT(Fuelbeds_english!S140*2.54),O140)</f>
        <v>15</v>
      </c>
      <c r="T140" s="45">
        <v>27189</v>
      </c>
      <c r="U140" s="36" t="s">
        <v>401</v>
      </c>
      <c r="V140" s="36">
        <v>100</v>
      </c>
      <c r="W140" s="36">
        <v>1</v>
      </c>
      <c r="X140" s="98">
        <v>4</v>
      </c>
      <c r="Y140" s="29">
        <v>43.771428569999998</v>
      </c>
      <c r="Z140" s="88" t="str">
        <f>+IF(Y140&gt;0,FIXED(Fuelbeds_english!Z140*0.3048,1,0),Y140)</f>
        <v>0.3</v>
      </c>
      <c r="AA140" s="46">
        <v>90</v>
      </c>
      <c r="AB140" s="50">
        <v>28675</v>
      </c>
      <c r="AC140" s="50" t="s">
        <v>375</v>
      </c>
      <c r="AD140" s="50">
        <v>100</v>
      </c>
      <c r="AE140" s="42">
        <v>33</v>
      </c>
      <c r="AF140" s="52" t="str">
        <f>+IF(AE140&gt;0,FIXED(Fuelbeds_english!AF140*0.3048,1,0),AE140)</f>
        <v>0.2</v>
      </c>
      <c r="AG140" s="45">
        <v>80</v>
      </c>
      <c r="AH140" s="52" t="str">
        <f>+IF(AE140&gt;0,FIXED(Fuelbeds_english!AH140*2.242,1,0),AE140)</f>
        <v>0.6</v>
      </c>
      <c r="AI140" s="45">
        <v>39369</v>
      </c>
      <c r="AJ140" s="45" t="s">
        <v>391</v>
      </c>
      <c r="AK140" s="45">
        <v>100</v>
      </c>
      <c r="AL140" s="34">
        <v>7.9</v>
      </c>
      <c r="AM140" s="52" t="str">
        <f>+IF(AL140&gt;0,FIXED(Fuelbeds_english!AM140*2.54,1,0),AL140)</f>
        <v>7.6</v>
      </c>
      <c r="AN140" s="52" t="str">
        <f>+IF($AM140&gt;0,FIXED(Fuelbeds_english!AN140*2.242,1,0),$AM140)</f>
        <v>0.2</v>
      </c>
      <c r="AO140" s="52" t="str">
        <f>+IF($AM140&gt;0,FIXED(Fuelbeds_english!AO140*2.242,1,0),$AM140)</f>
        <v>0.7</v>
      </c>
      <c r="AP140" s="52" t="str">
        <f>+IF($AM140&gt;0,FIXED(Fuelbeds_english!AP140*2.242,1,0),$AM140)</f>
        <v>0.9</v>
      </c>
      <c r="AQ140" s="52" t="str">
        <f>+IF($AM140&gt;0,FIXED(Fuelbeds_english!AQ140*2.242,1,0),$AM140)</f>
        <v>0.9</v>
      </c>
      <c r="AR140" s="36">
        <v>27189</v>
      </c>
      <c r="AS140" s="45" t="s">
        <v>401</v>
      </c>
      <c r="AT140" s="45">
        <v>100</v>
      </c>
      <c r="AU140" s="44">
        <v>-1</v>
      </c>
      <c r="AV140" s="52">
        <f>+IF(AU140&gt;0,FIXED(Fuelbeds_english!AV140*2.54,1,0),AU140)</f>
        <v>-1</v>
      </c>
      <c r="AW140" s="52">
        <v>-1</v>
      </c>
      <c r="AX140" s="52">
        <v>-1</v>
      </c>
      <c r="AY140" s="52">
        <f>+IF(AX140&gt;0,FIXED(Fuelbeds_english!AY140*2.54,1,0),AX140)</f>
        <v>-1</v>
      </c>
      <c r="AZ140" s="59">
        <v>1</v>
      </c>
      <c r="BA140" s="36">
        <v>10</v>
      </c>
      <c r="BB140" s="52" t="str">
        <f>+IF(BA140&gt;0,FIXED(Fuelbeds_english!BB140*2.54,1,0),BA140)</f>
        <v>4.6</v>
      </c>
      <c r="BC140" s="45">
        <v>-1</v>
      </c>
      <c r="BD140" s="45">
        <v>-1</v>
      </c>
      <c r="BE140" s="45">
        <v>-1</v>
      </c>
      <c r="BF140" s="45">
        <v>-1</v>
      </c>
      <c r="BG140" s="45">
        <v>100</v>
      </c>
      <c r="BH140" s="45">
        <v>-1</v>
      </c>
      <c r="BI140" s="45">
        <v>-1</v>
      </c>
      <c r="BJ140" s="28">
        <v>1</v>
      </c>
      <c r="BK140" s="36">
        <v>9.6999999999999993</v>
      </c>
      <c r="BL140" s="52" t="str">
        <f>+IF(BK140&gt;0,FIXED(Fuelbeds_english!BL140*2.54,1,0),BK140)</f>
        <v>5.1</v>
      </c>
      <c r="BM140" s="45">
        <v>3</v>
      </c>
      <c r="BN140" s="36">
        <v>9.6999999999999993</v>
      </c>
      <c r="BO140" s="52" t="str">
        <f>+IF(BN140&gt;0,FIXED(Fuelbeds_english!BO140*2.54,1,0),BN140)</f>
        <v>5.1</v>
      </c>
    </row>
    <row r="141" spans="1:67" s="50" customFormat="1" x14ac:dyDescent="0.25">
      <c r="A141" s="50">
        <v>140</v>
      </c>
      <c r="B141" s="36">
        <v>4130</v>
      </c>
      <c r="C141" s="46">
        <v>4130</v>
      </c>
      <c r="D141" s="45" t="s">
        <v>5</v>
      </c>
      <c r="E141" s="14" t="s">
        <v>10</v>
      </c>
      <c r="F141" s="39">
        <v>-3</v>
      </c>
      <c r="G141" s="45">
        <v>-3</v>
      </c>
      <c r="H141" s="45">
        <f>+IF(F141&gt;0,INT(Fuelbeds_english!H141*2.471),F141)</f>
        <v>-3</v>
      </c>
      <c r="I141" s="36">
        <f>+IF(F141&gt;0,INT(Fuelbeds_english!I141*0.3048),F141)</f>
        <v>-3</v>
      </c>
      <c r="J141" s="45">
        <f>+IF(F141&gt;0,INT(Fuelbeds_english!J141*0.3048),F141)</f>
        <v>-3</v>
      </c>
      <c r="K141" s="45">
        <f>+IF(F141&gt;0,INT(Fuelbeds_english!K141*2.54),F141)</f>
        <v>-3</v>
      </c>
      <c r="L141" s="45">
        <v>-3</v>
      </c>
      <c r="M141" s="45">
        <v>-3</v>
      </c>
      <c r="N141" s="45">
        <v>-3</v>
      </c>
      <c r="O141" s="45">
        <v>-3</v>
      </c>
      <c r="P141" s="45">
        <f>+IF(O141&gt;0,INT(Fuelbeds_english!P141*2.471),O141)</f>
        <v>-3</v>
      </c>
      <c r="Q141" s="36">
        <f>+IF(O141&gt;0,INT(Fuelbeds_english!Q141*0.3048),O141)</f>
        <v>-3</v>
      </c>
      <c r="R141" s="45">
        <f>+IF(O141&gt;0,INT(Fuelbeds_english!R141*0.3048),O141)</f>
        <v>-3</v>
      </c>
      <c r="S141" s="45">
        <f>+IF(O141&gt;0,INT(Fuelbeds_english!S141*2.54),O141)</f>
        <v>-3</v>
      </c>
      <c r="T141" s="45">
        <v>-3</v>
      </c>
      <c r="U141" s="45">
        <v>-3</v>
      </c>
      <c r="V141" s="45">
        <v>-3</v>
      </c>
      <c r="W141" s="45">
        <v>-3</v>
      </c>
      <c r="X141" s="99">
        <v>-3</v>
      </c>
      <c r="Y141" s="29">
        <v>60</v>
      </c>
      <c r="Z141" s="88" t="str">
        <f>+IF(Y141&gt;0,FIXED(Fuelbeds_english!Z141*0.3048,1,0),Y141)</f>
        <v>1.2</v>
      </c>
      <c r="AA141" s="46">
        <v>90</v>
      </c>
      <c r="AB141" s="50">
        <v>23571</v>
      </c>
      <c r="AC141" s="50" t="s">
        <v>161</v>
      </c>
      <c r="AD141" s="50">
        <v>100</v>
      </c>
      <c r="AE141" s="42">
        <v>-3</v>
      </c>
      <c r="AF141" s="52">
        <f>+IF(AE141&gt;0,FIXED(Fuelbeds_english!AF141*0.3048,1,0),AE141)</f>
        <v>-3</v>
      </c>
      <c r="AG141" s="45">
        <v>-3</v>
      </c>
      <c r="AH141" s="52">
        <f>+IF(AE141&gt;0,FIXED(Fuelbeds_english!AH141*2.242,1,0),AE141)</f>
        <v>-3</v>
      </c>
      <c r="AI141" s="45">
        <v>-3</v>
      </c>
      <c r="AJ141" s="45">
        <v>-3</v>
      </c>
      <c r="AK141" s="45">
        <v>-3</v>
      </c>
      <c r="AL141" s="34">
        <v>5</v>
      </c>
      <c r="AM141" s="52" t="str">
        <f>+IF(AL141&gt;0,FIXED(Fuelbeds_english!AM141*2.54,1,0),AL141)</f>
        <v>1.9</v>
      </c>
      <c r="AN141" s="52" t="str">
        <f>+IF($AM141&gt;0,FIXED(Fuelbeds_english!AN141*2.242,1,0),$AM141)</f>
        <v>0.4</v>
      </c>
      <c r="AO141" s="52" t="str">
        <f>+IF($AM141&gt;0,FIXED(Fuelbeds_english!AO141*2.242,1,0),$AM141)</f>
        <v>1.6</v>
      </c>
      <c r="AP141" s="52" t="str">
        <f>+IF($AM141&gt;0,FIXED(Fuelbeds_english!AP141*2.242,1,0),$AM141)</f>
        <v>3.0</v>
      </c>
      <c r="AQ141" s="52" t="str">
        <f>+IF($AM141&gt;0,FIXED(Fuelbeds_english!AQ141*2.242,1,0),$AM141)</f>
        <v>0.0</v>
      </c>
      <c r="AR141" s="36">
        <v>23571</v>
      </c>
      <c r="AS141" s="45" t="s">
        <v>161</v>
      </c>
      <c r="AT141" s="45">
        <v>100</v>
      </c>
      <c r="AU141" s="44">
        <v>2.5</v>
      </c>
      <c r="AV141" s="52" t="str">
        <f>+IF(AU141&gt;0,FIXED(Fuelbeds_english!AV141*2.54,1,0),AU141)</f>
        <v>0.6</v>
      </c>
      <c r="AW141" s="88">
        <v>1</v>
      </c>
      <c r="AX141" s="88">
        <v>15</v>
      </c>
      <c r="AY141" s="52" t="str">
        <f>+IF(AX141&gt;0,FIXED(Fuelbeds_english!AY141*2.54,1,0),AX141)</f>
        <v>2.5</v>
      </c>
      <c r="AZ141" s="45">
        <v>1</v>
      </c>
      <c r="BA141" s="36">
        <v>70</v>
      </c>
      <c r="BB141" s="52" t="str">
        <f>+IF(BA141&gt;0,FIXED(Fuelbeds_english!BB141*2.54,1,0),BA141)</f>
        <v>3.2</v>
      </c>
      <c r="BC141" s="45">
        <v>-1</v>
      </c>
      <c r="BD141" s="45">
        <v>-1</v>
      </c>
      <c r="BE141" s="45">
        <v>-1</v>
      </c>
      <c r="BF141" s="45">
        <v>-1</v>
      </c>
      <c r="BG141" s="45">
        <v>100</v>
      </c>
      <c r="BH141" s="45">
        <v>-1</v>
      </c>
      <c r="BI141" s="45">
        <v>-1</v>
      </c>
      <c r="BJ141" s="28">
        <v>1</v>
      </c>
      <c r="BK141" s="36">
        <v>70</v>
      </c>
      <c r="BL141" s="52" t="str">
        <f>+IF(BK141&gt;0,FIXED(Fuelbeds_english!BL141*2.54,1,0),BK141)</f>
        <v>1.3</v>
      </c>
      <c r="BM141" s="45">
        <v>3</v>
      </c>
      <c r="BN141" s="36">
        <v>55</v>
      </c>
      <c r="BO141" s="52" t="str">
        <f>+IF(BN141&gt;0,FIXED(Fuelbeds_english!BO141*2.54,1,0),BN141)</f>
        <v>3.2</v>
      </c>
    </row>
    <row r="142" spans="1:67" s="50" customFormat="1" x14ac:dyDescent="0.25">
      <c r="A142" s="50">
        <v>141</v>
      </c>
      <c r="B142" s="36">
        <v>4133</v>
      </c>
      <c r="C142" s="71">
        <v>4133</v>
      </c>
      <c r="D142" s="45" t="s">
        <v>5</v>
      </c>
      <c r="E142" s="31" t="s">
        <v>405</v>
      </c>
      <c r="F142" s="39">
        <v>-3</v>
      </c>
      <c r="G142" s="45">
        <v>-3</v>
      </c>
      <c r="H142" s="45">
        <f>+IF(F142&gt;0,INT(Fuelbeds_english!H142*2.471),F142)</f>
        <v>-3</v>
      </c>
      <c r="I142" s="36">
        <f>+IF(F142&gt;0,INT(Fuelbeds_english!I142*0.3048),F142)</f>
        <v>-3</v>
      </c>
      <c r="J142" s="45">
        <f>+IF(F142&gt;0,INT(Fuelbeds_english!J142*0.3048),F142)</f>
        <v>-3</v>
      </c>
      <c r="K142" s="45">
        <f>+IF(F142&gt;0,INT(Fuelbeds_english!K142*2.54),F142)</f>
        <v>-3</v>
      </c>
      <c r="L142" s="45">
        <v>-3</v>
      </c>
      <c r="M142" s="45">
        <v>-3</v>
      </c>
      <c r="N142" s="45">
        <v>-3</v>
      </c>
      <c r="O142" s="45">
        <v>-3</v>
      </c>
      <c r="P142" s="45">
        <f>+IF(O142&gt;0,INT(Fuelbeds_english!P142*2.471),O142)</f>
        <v>-3</v>
      </c>
      <c r="Q142" s="36">
        <f>+IF(O142&gt;0,INT(Fuelbeds_english!Q142*0.3048),O142)</f>
        <v>-3</v>
      </c>
      <c r="R142" s="45">
        <f>+IF(O142&gt;0,INT(Fuelbeds_english!R142*0.3048),O142)</f>
        <v>-3</v>
      </c>
      <c r="S142" s="45">
        <f>+IF(O142&gt;0,INT(Fuelbeds_english!S142*2.54),O142)</f>
        <v>-3</v>
      </c>
      <c r="T142" s="45">
        <v>-3</v>
      </c>
      <c r="U142" s="45">
        <v>-3</v>
      </c>
      <c r="V142" s="45">
        <v>-3</v>
      </c>
      <c r="W142" s="45">
        <v>-3</v>
      </c>
      <c r="X142" s="99">
        <v>-3</v>
      </c>
      <c r="Y142" s="29">
        <v>78.13</v>
      </c>
      <c r="Z142" s="88" t="str">
        <f>+IF(Y142&gt;0,FIXED(Fuelbeds_english!Z142*0.3048,1,0),Y142)</f>
        <v>1.5</v>
      </c>
      <c r="AA142" s="46">
        <v>80</v>
      </c>
      <c r="AB142" s="50">
        <v>26417</v>
      </c>
      <c r="AC142" s="50" t="s">
        <v>147</v>
      </c>
      <c r="AD142" s="50">
        <v>100</v>
      </c>
      <c r="AE142" s="42">
        <v>-3</v>
      </c>
      <c r="AF142" s="52">
        <f>+IF(AE142&gt;0,FIXED(Fuelbeds_english!AF142*0.3048,1,0),AE142)</f>
        <v>-3</v>
      </c>
      <c r="AG142" s="45">
        <v>-3</v>
      </c>
      <c r="AH142" s="52">
        <f>+IF(AE142&gt;0,FIXED(Fuelbeds_english!AH142*2.242,1,0),AE142)</f>
        <v>-3</v>
      </c>
      <c r="AI142" s="45">
        <v>-3</v>
      </c>
      <c r="AJ142" s="45">
        <v>-3</v>
      </c>
      <c r="AK142" s="45">
        <v>-3</v>
      </c>
      <c r="AL142" s="34">
        <v>25.616512037037037</v>
      </c>
      <c r="AM142" s="52" t="str">
        <f>+IF(AL142&gt;0,FIXED(Fuelbeds_english!AM142*2.54,1,0),AL142)</f>
        <v>3.8</v>
      </c>
      <c r="AN142" s="52" t="str">
        <f>+IF($AM142&gt;0,FIXED(Fuelbeds_english!AN142*2.242,1,0),$AM142)</f>
        <v>1.0</v>
      </c>
      <c r="AO142" s="52" t="str">
        <f>+IF($AM142&gt;0,FIXED(Fuelbeds_english!AO142*2.242,1,0),$AM142)</f>
        <v>1.8</v>
      </c>
      <c r="AP142" s="52" t="str">
        <f>+IF($AM142&gt;0,FIXED(Fuelbeds_english!AP142*2.242,1,0),$AM142)</f>
        <v>0.8</v>
      </c>
      <c r="AQ142" s="52" t="str">
        <f>+IF($AM142&gt;0,FIXED(Fuelbeds_english!AQ142*2.242,1,0),$AM142)</f>
        <v>0.2</v>
      </c>
      <c r="AR142" s="45">
        <v>26417</v>
      </c>
      <c r="AS142" s="45" t="s">
        <v>147</v>
      </c>
      <c r="AT142" s="45">
        <v>100</v>
      </c>
      <c r="AU142" s="44">
        <v>-1</v>
      </c>
      <c r="AV142" s="52">
        <f>+IF(AU142&gt;0,FIXED(Fuelbeds_english!AV142*2.54,1,0),AU142)</f>
        <v>-1</v>
      </c>
      <c r="AW142" s="52">
        <v>-1</v>
      </c>
      <c r="AX142" s="52">
        <v>-1</v>
      </c>
      <c r="AY142" s="52">
        <f>+IF(AX142&gt;0,FIXED(Fuelbeds_english!AY142*2.54,1,0),AX142)</f>
        <v>-1</v>
      </c>
      <c r="AZ142" s="59">
        <v>1</v>
      </c>
      <c r="BA142" s="36">
        <v>100</v>
      </c>
      <c r="BB142" s="52" t="str">
        <f>+IF(BA142&gt;0,FIXED(Fuelbeds_english!BB142*2.54,1,0),BA142)</f>
        <v>1.9</v>
      </c>
      <c r="BC142" s="45">
        <v>-1</v>
      </c>
      <c r="BD142" s="45">
        <v>-1</v>
      </c>
      <c r="BE142" s="45">
        <v>-1</v>
      </c>
      <c r="BF142" s="45">
        <v>-1</v>
      </c>
      <c r="BG142" s="45">
        <v>100</v>
      </c>
      <c r="BH142" s="45">
        <v>-1</v>
      </c>
      <c r="BI142" s="45">
        <v>-1</v>
      </c>
      <c r="BJ142" s="28">
        <v>-1</v>
      </c>
      <c r="BK142" s="36">
        <v>-1</v>
      </c>
      <c r="BL142" s="52">
        <f>+IF(BK142&gt;0,FIXED(Fuelbeds_english!BL142*2.54,1,0),BK142)</f>
        <v>-1</v>
      </c>
      <c r="BM142" s="36">
        <v>-1</v>
      </c>
      <c r="BN142" s="36">
        <v>-1</v>
      </c>
      <c r="BO142" s="52">
        <f>+IF(BN142&gt;0,FIXED(Fuelbeds_english!BO142*2.54,1,0),BN142)</f>
        <v>-1</v>
      </c>
    </row>
    <row r="143" spans="1:67" s="50" customFormat="1" x14ac:dyDescent="0.25">
      <c r="A143" s="50">
        <v>142</v>
      </c>
      <c r="B143" s="36">
        <v>4140</v>
      </c>
      <c r="C143" s="46">
        <v>4140</v>
      </c>
      <c r="D143" s="45" t="s">
        <v>5</v>
      </c>
      <c r="E143" s="15" t="s">
        <v>14</v>
      </c>
      <c r="F143" s="39">
        <v>-3</v>
      </c>
      <c r="G143" s="45">
        <v>-3</v>
      </c>
      <c r="H143" s="45">
        <f>+IF(F143&gt;0,INT(Fuelbeds_english!H143*2.471),F143)</f>
        <v>-3</v>
      </c>
      <c r="I143" s="36">
        <f>+IF(F143&gt;0,INT(Fuelbeds_english!I143*0.3048),F143)</f>
        <v>-3</v>
      </c>
      <c r="J143" s="45">
        <f>+IF(F143&gt;0,INT(Fuelbeds_english!J143*0.3048),F143)</f>
        <v>-3</v>
      </c>
      <c r="K143" s="45">
        <f>+IF(F143&gt;0,INT(Fuelbeds_english!K143*2.54),F143)</f>
        <v>-3</v>
      </c>
      <c r="L143" s="45">
        <v>-3</v>
      </c>
      <c r="M143" s="45">
        <v>-3</v>
      </c>
      <c r="N143" s="45">
        <v>-3</v>
      </c>
      <c r="O143" s="45">
        <v>-3</v>
      </c>
      <c r="P143" s="45">
        <f>+IF(O143&gt;0,INT(Fuelbeds_english!P143*2.471),O143)</f>
        <v>-3</v>
      </c>
      <c r="Q143" s="36">
        <f>+IF(O143&gt;0,INT(Fuelbeds_english!Q143*0.3048),O143)</f>
        <v>-3</v>
      </c>
      <c r="R143" s="45">
        <f>+IF(O143&gt;0,INT(Fuelbeds_english!R143*0.3048),O143)</f>
        <v>-3</v>
      </c>
      <c r="S143" s="45">
        <f>+IF(O143&gt;0,INT(Fuelbeds_english!S143*2.54),O143)</f>
        <v>-3</v>
      </c>
      <c r="T143" s="45">
        <v>-3</v>
      </c>
      <c r="U143" s="45">
        <v>-3</v>
      </c>
      <c r="V143" s="45">
        <v>-3</v>
      </c>
      <c r="W143" s="45">
        <v>-3</v>
      </c>
      <c r="X143" s="99">
        <v>-3</v>
      </c>
      <c r="Y143" s="81">
        <v>-3</v>
      </c>
      <c r="Z143" s="88">
        <f>+IF(Y143&gt;0,FIXED(Fuelbeds_english!Z143*0.3048,1,0),Y143)</f>
        <v>-3</v>
      </c>
      <c r="AA143" s="48">
        <v>-3</v>
      </c>
      <c r="AB143" s="10">
        <v>-3</v>
      </c>
      <c r="AC143" s="10">
        <v>-3</v>
      </c>
      <c r="AD143" s="10">
        <v>-3</v>
      </c>
      <c r="AE143" s="42">
        <v>80</v>
      </c>
      <c r="AF143" s="52" t="str">
        <f>+IF(AE143&gt;0,FIXED(Fuelbeds_english!AF143*0.3048,1,0),AE143)</f>
        <v>1.5</v>
      </c>
      <c r="AG143" s="45">
        <v>70</v>
      </c>
      <c r="AH143" s="52" t="str">
        <f>+IF(AE143&gt;0,FIXED(Fuelbeds_english!AH143*2.242,1,0),AE143)</f>
        <v>6.7</v>
      </c>
      <c r="AI143" s="45">
        <v>40450</v>
      </c>
      <c r="AJ143" s="45" t="s">
        <v>148</v>
      </c>
      <c r="AK143" s="45">
        <v>100</v>
      </c>
      <c r="AL143" s="34">
        <v>-3</v>
      </c>
      <c r="AM143" s="52">
        <f>+IF(AL143&gt;0,FIXED(Fuelbeds_english!AM143*2.54,1,0),AL143)</f>
        <v>-3</v>
      </c>
      <c r="AN143" s="52">
        <f>+IF(AM143&gt;0,FIXED(Fuelbeds_english!AN143*0.3048,1,0),AM143)</f>
        <v>-3</v>
      </c>
      <c r="AO143" s="52">
        <f>+IF(AN143&gt;0,FIXED(Fuelbeds_english!AO143*0.3048,1,0),AN143)</f>
        <v>-3</v>
      </c>
      <c r="AP143" s="52">
        <f>+IF(AO143&gt;0,FIXED(Fuelbeds_english!AP143*0.3048,1,0),AO143)</f>
        <v>-3</v>
      </c>
      <c r="AQ143" s="52">
        <f>+IF(AP143&gt;0,FIXED(Fuelbeds_english!AQ143*0.3048,1,0),AP143)</f>
        <v>-3</v>
      </c>
      <c r="AR143" s="36">
        <v>-3</v>
      </c>
      <c r="AS143" s="45">
        <v>-3</v>
      </c>
      <c r="AT143" s="45">
        <v>-3</v>
      </c>
      <c r="AU143" s="44">
        <v>-1</v>
      </c>
      <c r="AV143" s="52">
        <f>+IF(AU143&gt;0,FIXED(Fuelbeds_english!AV143*2.54,1,0),AU143)</f>
        <v>-1</v>
      </c>
      <c r="AW143" s="88">
        <v>2</v>
      </c>
      <c r="AX143" s="88">
        <v>20</v>
      </c>
      <c r="AY143" s="52" t="str">
        <f>+IF(AX143&gt;0,FIXED(Fuelbeds_english!AY143*2.54,1,0),AX143)</f>
        <v>2.9</v>
      </c>
      <c r="AZ143" s="45">
        <v>1</v>
      </c>
      <c r="BA143" s="36">
        <v>90</v>
      </c>
      <c r="BB143" s="52" t="str">
        <f>+IF(BA143&gt;0,FIXED(Fuelbeds_english!BB143*2.54,1,0),BA143)</f>
        <v>5.7</v>
      </c>
      <c r="BC143" s="45">
        <v>-1</v>
      </c>
      <c r="BD143" s="45">
        <v>-1</v>
      </c>
      <c r="BE143" s="45">
        <v>-1</v>
      </c>
      <c r="BF143" s="45">
        <v>-1</v>
      </c>
      <c r="BG143" s="45">
        <v>-1</v>
      </c>
      <c r="BH143" s="45">
        <v>-1</v>
      </c>
      <c r="BI143" s="45">
        <v>100</v>
      </c>
      <c r="BJ143" s="28">
        <v>1</v>
      </c>
      <c r="BK143" s="36">
        <v>30</v>
      </c>
      <c r="BL143" s="52" t="str">
        <f>+IF(BK143&gt;0,FIXED(Fuelbeds_english!BL143*2.54,1,0),BK143)</f>
        <v>1.3</v>
      </c>
      <c r="BM143" s="45">
        <v>-1</v>
      </c>
      <c r="BN143" s="36">
        <v>-1</v>
      </c>
      <c r="BO143" s="52">
        <f>+IF(BN143&gt;0,FIXED(Fuelbeds_english!BO143*2.54,1,0),BN143)</f>
        <v>-1</v>
      </c>
    </row>
    <row r="144" spans="1:67" s="50" customFormat="1" x14ac:dyDescent="0.25">
      <c r="A144" s="50">
        <v>143</v>
      </c>
      <c r="B144" s="36">
        <v>4150</v>
      </c>
      <c r="C144" s="46">
        <v>4150</v>
      </c>
      <c r="D144" s="45" t="s">
        <v>5</v>
      </c>
      <c r="E144" s="18" t="s">
        <v>15</v>
      </c>
      <c r="F144" s="39">
        <v>-3</v>
      </c>
      <c r="G144" s="45">
        <v>-3</v>
      </c>
      <c r="H144" s="45">
        <f>+IF(F144&gt;0,INT(Fuelbeds_english!H144*2.471),F144)</f>
        <v>-3</v>
      </c>
      <c r="I144" s="36">
        <f>+IF(F144&gt;0,INT(Fuelbeds_english!I144*0.3048),F144)</f>
        <v>-3</v>
      </c>
      <c r="J144" s="45">
        <f>+IF(F144&gt;0,INT(Fuelbeds_english!J144*0.3048),F144)</f>
        <v>-3</v>
      </c>
      <c r="K144" s="45">
        <f>+IF(F144&gt;0,INT(Fuelbeds_english!K144*2.54),F144)</f>
        <v>-3</v>
      </c>
      <c r="L144" s="45">
        <v>-3</v>
      </c>
      <c r="M144" s="45">
        <v>-3</v>
      </c>
      <c r="N144" s="45">
        <v>-3</v>
      </c>
      <c r="O144" s="45">
        <v>-3</v>
      </c>
      <c r="P144" s="45">
        <f>+IF(O144&gt;0,INT(Fuelbeds_english!P144*2.471),O144)</f>
        <v>-3</v>
      </c>
      <c r="Q144" s="36">
        <f>+IF(O144&gt;0,INT(Fuelbeds_english!Q144*0.3048),O144)</f>
        <v>-3</v>
      </c>
      <c r="R144" s="45">
        <f>+IF(O144&gt;0,INT(Fuelbeds_english!R144*0.3048),O144)</f>
        <v>-3</v>
      </c>
      <c r="S144" s="45">
        <f>+IF(O144&gt;0,INT(Fuelbeds_english!S144*2.54),O144)</f>
        <v>-3</v>
      </c>
      <c r="T144" s="45">
        <v>-3</v>
      </c>
      <c r="U144" s="45">
        <v>-3</v>
      </c>
      <c r="V144" s="45">
        <v>-3</v>
      </c>
      <c r="W144" s="45">
        <v>-3</v>
      </c>
      <c r="X144" s="99">
        <v>-3</v>
      </c>
      <c r="Y144" s="29">
        <v>7</v>
      </c>
      <c r="Z144" s="88" t="str">
        <f>+IF(Y144&gt;0,FIXED(Fuelbeds_english!Z144*0.3048,1,0),Y144)</f>
        <v>1.2</v>
      </c>
      <c r="AA144" s="46">
        <v>90</v>
      </c>
      <c r="AB144" s="50">
        <v>23571</v>
      </c>
      <c r="AC144" s="50" t="s">
        <v>161</v>
      </c>
      <c r="AD144" s="50">
        <v>100</v>
      </c>
      <c r="AE144" s="42">
        <v>8</v>
      </c>
      <c r="AF144" s="52" t="str">
        <f>+IF(AE144&gt;0,FIXED(Fuelbeds_english!AF144*0.3048,1,0),AE144)</f>
        <v>1.5</v>
      </c>
      <c r="AG144" s="45">
        <v>70</v>
      </c>
      <c r="AH144" s="52" t="str">
        <f>+IF(AE144&gt;0,FIXED(Fuelbeds_english!AH144*2.242,1,0),AE144)</f>
        <v>1.1</v>
      </c>
      <c r="AI144" s="45">
        <v>40450</v>
      </c>
      <c r="AJ144" s="45" t="s">
        <v>148</v>
      </c>
      <c r="AK144" s="45">
        <v>100</v>
      </c>
      <c r="AL144" s="34">
        <v>1.0416666666666667</v>
      </c>
      <c r="AM144" s="52" t="str">
        <f>+IF(AL144&gt;0,FIXED(Fuelbeds_english!AM144*2.54,1,0),AL144)</f>
        <v>1.9</v>
      </c>
      <c r="AN144" s="52" t="str">
        <f>+IF($AM144&gt;0,FIXED(Fuelbeds_english!AN144*2.242,1,0),$AM144)</f>
        <v>0.1</v>
      </c>
      <c r="AO144" s="52" t="str">
        <f>+IF($AM144&gt;0,FIXED(Fuelbeds_english!AO144*2.242,1,0),$AM144)</f>
        <v>0.3</v>
      </c>
      <c r="AP144" s="52" t="str">
        <f>+IF($AM144&gt;0,FIXED(Fuelbeds_english!AP144*2.242,1,0),$AM144)</f>
        <v>0.6</v>
      </c>
      <c r="AQ144" s="52" t="str">
        <f>+IF($AM144&gt;0,FIXED(Fuelbeds_english!AQ144*2.242,1,0),$AM144)</f>
        <v>0.0</v>
      </c>
      <c r="AR144" s="36">
        <v>23571</v>
      </c>
      <c r="AS144" s="45" t="s">
        <v>161</v>
      </c>
      <c r="AT144" s="45">
        <v>100</v>
      </c>
      <c r="AU144" s="44">
        <v>-1</v>
      </c>
      <c r="AV144" s="52">
        <f>+IF(AU144&gt;0,FIXED(Fuelbeds_english!AV144*2.54,1,0),AU144)</f>
        <v>-1</v>
      </c>
      <c r="AW144" s="88">
        <v>2</v>
      </c>
      <c r="AX144" s="88">
        <v>17.5</v>
      </c>
      <c r="AY144" s="52" t="str">
        <f>+IF(AX144&gt;0,FIXED(Fuelbeds_english!AY144*2.54,1,0),AX144)</f>
        <v>2.7</v>
      </c>
      <c r="AZ144" s="59">
        <v>1</v>
      </c>
      <c r="BA144" s="36">
        <v>20</v>
      </c>
      <c r="BB144" s="52" t="str">
        <f>+IF(BA144&gt;0,FIXED(Fuelbeds_english!BB144*2.54,1,0),BA144)</f>
        <v>4.4</v>
      </c>
      <c r="BC144" s="45">
        <v>-1</v>
      </c>
      <c r="BD144" s="45">
        <v>-1</v>
      </c>
      <c r="BE144" s="45">
        <v>-1</v>
      </c>
      <c r="BF144" s="45">
        <v>-1</v>
      </c>
      <c r="BG144" s="45">
        <v>50</v>
      </c>
      <c r="BH144" s="45">
        <v>-1</v>
      </c>
      <c r="BI144" s="45">
        <v>50</v>
      </c>
      <c r="BJ144" s="28">
        <v>1</v>
      </c>
      <c r="BK144" s="36">
        <v>50</v>
      </c>
      <c r="BL144" s="52" t="str">
        <f>+IF(BK144&gt;0,FIXED(Fuelbeds_english!BL144*2.54,1,0),BK144)</f>
        <v>1.3</v>
      </c>
      <c r="BM144" s="45">
        <v>3</v>
      </c>
      <c r="BN144" s="36">
        <v>27.5</v>
      </c>
      <c r="BO144" s="52" t="str">
        <f>+IF(BN144&gt;0,FIXED(Fuelbeds_english!BO144*2.54,1,0),BN144)</f>
        <v>1.6</v>
      </c>
    </row>
    <row r="145" spans="1:67" s="50" customFormat="1" x14ac:dyDescent="0.25">
      <c r="A145" s="50">
        <v>144</v>
      </c>
      <c r="B145" s="36">
        <v>4180</v>
      </c>
      <c r="C145" s="46">
        <v>4180</v>
      </c>
      <c r="D145" s="45" t="s">
        <v>5</v>
      </c>
      <c r="E145" s="16" t="s">
        <v>13</v>
      </c>
      <c r="F145" s="39">
        <v>-3</v>
      </c>
      <c r="G145" s="45">
        <v>-3</v>
      </c>
      <c r="H145" s="45">
        <f>+IF(F145&gt;0,INT(Fuelbeds_english!H145*2.471),F145)</f>
        <v>-3</v>
      </c>
      <c r="I145" s="36">
        <f>+IF(F145&gt;0,INT(Fuelbeds_english!I145*0.3048),F145)</f>
        <v>-3</v>
      </c>
      <c r="J145" s="45">
        <f>+IF(F145&gt;0,INT(Fuelbeds_english!J145*0.3048),F145)</f>
        <v>-3</v>
      </c>
      <c r="K145" s="45">
        <f>+IF(F145&gt;0,INT(Fuelbeds_english!K145*2.54),F145)</f>
        <v>-3</v>
      </c>
      <c r="L145" s="45">
        <v>-3</v>
      </c>
      <c r="M145" s="45">
        <v>-3</v>
      </c>
      <c r="N145" s="45">
        <v>-3</v>
      </c>
      <c r="O145" s="45">
        <v>-3</v>
      </c>
      <c r="P145" s="45">
        <f>+IF(O145&gt;0,INT(Fuelbeds_english!P145*2.471),O145)</f>
        <v>-3</v>
      </c>
      <c r="Q145" s="36">
        <f>+IF(O145&gt;0,INT(Fuelbeds_english!Q145*0.3048),O145)</f>
        <v>-3</v>
      </c>
      <c r="R145" s="45">
        <f>+IF(O145&gt;0,INT(Fuelbeds_english!R145*0.3048),O145)</f>
        <v>-3</v>
      </c>
      <c r="S145" s="45">
        <f>+IF(O145&gt;0,INT(Fuelbeds_english!S145*2.54),O145)</f>
        <v>-3</v>
      </c>
      <c r="T145" s="45">
        <v>-3</v>
      </c>
      <c r="U145" s="45">
        <v>-3</v>
      </c>
      <c r="V145" s="45">
        <v>-3</v>
      </c>
      <c r="W145" s="45">
        <v>-3</v>
      </c>
      <c r="X145" s="99">
        <v>-3</v>
      </c>
      <c r="Y145" s="29">
        <v>18.345727999999998</v>
      </c>
      <c r="Z145" s="88" t="str">
        <f>+IF(Y145&gt;0,FIXED(Fuelbeds_english!Z145*0.3048,1,0),Y145)</f>
        <v>0.9</v>
      </c>
      <c r="AA145" s="46">
        <v>85</v>
      </c>
      <c r="AB145" s="50">
        <v>565123</v>
      </c>
      <c r="AC145" s="50" t="s">
        <v>392</v>
      </c>
      <c r="AD145" s="50">
        <v>100</v>
      </c>
      <c r="AE145" s="42">
        <v>39</v>
      </c>
      <c r="AF145" s="52" t="str">
        <f>+IF(AE145&gt;0,FIXED(Fuelbeds_english!AF145*0.3048,1,0),AE145)</f>
        <v>0.9</v>
      </c>
      <c r="AG145" s="45">
        <v>65</v>
      </c>
      <c r="AH145" s="52" t="str">
        <f>+IF(AE145&gt;0,FIXED(Fuelbeds_english!AH145*2.242,1,0),AE145)</f>
        <v>1.3</v>
      </c>
      <c r="AI145" s="45">
        <v>39369</v>
      </c>
      <c r="AJ145" s="45" t="s">
        <v>391</v>
      </c>
      <c r="AK145" s="45">
        <v>100</v>
      </c>
      <c r="AL145" s="34">
        <v>-1</v>
      </c>
      <c r="AM145" s="52">
        <f>+IF(AL145&gt;0,FIXED(Fuelbeds_english!AM145*2.54,1,0),AL145)</f>
        <v>-1</v>
      </c>
      <c r="AN145" s="52">
        <f>+IF(AM145&gt;0,FIXED(Fuelbeds_english!AN145*0.3048,1,0),AM145)</f>
        <v>-1</v>
      </c>
      <c r="AO145" s="52">
        <f>+IF(AN145&gt;0,FIXED(Fuelbeds_english!AO145*0.3048,1,0),AN145)</f>
        <v>-1</v>
      </c>
      <c r="AP145" s="52">
        <f>+IF(AO145&gt;0,FIXED(Fuelbeds_english!AP145*0.3048,1,0),AO145)</f>
        <v>-1</v>
      </c>
      <c r="AQ145" s="52">
        <f>+IF(AP145&gt;0,FIXED(Fuelbeds_english!AQ145*0.3048,1,0),AP145)</f>
        <v>-1</v>
      </c>
      <c r="AR145" s="36">
        <v>-1</v>
      </c>
      <c r="AS145" s="36">
        <v>-1</v>
      </c>
      <c r="AT145" s="36">
        <v>-1</v>
      </c>
      <c r="AU145" s="44">
        <v>-1</v>
      </c>
      <c r="AV145" s="52">
        <f>+IF(AU145&gt;0,FIXED(Fuelbeds_english!AV145*2.54,1,0),AU145)</f>
        <v>-1</v>
      </c>
      <c r="AW145" s="88">
        <v>2</v>
      </c>
      <c r="AX145" s="88">
        <v>20</v>
      </c>
      <c r="AY145" s="52" t="str">
        <f>+IF(AX145&gt;0,FIXED(Fuelbeds_english!AY145*2.54,1,0),AX145)</f>
        <v>1.3</v>
      </c>
      <c r="AZ145" s="45">
        <v>1</v>
      </c>
      <c r="BA145" s="36">
        <v>57</v>
      </c>
      <c r="BB145" s="52" t="str">
        <f>+IF(BA145&gt;0,FIXED(Fuelbeds_english!BB145*2.54,1,0),BA145)</f>
        <v>2.5</v>
      </c>
      <c r="BC145" s="45">
        <v>-1</v>
      </c>
      <c r="BD145" s="45">
        <v>-1</v>
      </c>
      <c r="BE145" s="45">
        <v>-1</v>
      </c>
      <c r="BF145" s="45">
        <v>25</v>
      </c>
      <c r="BG145" s="45">
        <v>-1</v>
      </c>
      <c r="BH145" s="45">
        <v>-1</v>
      </c>
      <c r="BI145" s="45">
        <v>75</v>
      </c>
      <c r="BJ145" s="28">
        <v>2</v>
      </c>
      <c r="BK145" s="36">
        <v>75</v>
      </c>
      <c r="BL145" s="52" t="str">
        <f>+IF(BK145&gt;0,FIXED(Fuelbeds_english!BL145*2.54,1,0),BK145)</f>
        <v>2.5</v>
      </c>
      <c r="BM145" s="45">
        <v>4</v>
      </c>
      <c r="BN145" s="36">
        <v>75</v>
      </c>
      <c r="BO145" s="52" t="str">
        <f>+IF(BN145&gt;0,FIXED(Fuelbeds_english!BO145*2.54,1,0),BN145)</f>
        <v>5.1</v>
      </c>
    </row>
    <row r="146" spans="1:67" s="50" customFormat="1" x14ac:dyDescent="0.25">
      <c r="A146" s="50">
        <v>145</v>
      </c>
      <c r="B146" s="36">
        <v>5015</v>
      </c>
      <c r="C146" s="46">
        <v>5010</v>
      </c>
      <c r="D146" s="22" t="s">
        <v>202</v>
      </c>
      <c r="E146" s="25" t="s">
        <v>410</v>
      </c>
      <c r="F146" s="39">
        <v>-3</v>
      </c>
      <c r="G146" s="45">
        <v>-3</v>
      </c>
      <c r="H146" s="45">
        <f>+IF(F146&gt;0,INT(Fuelbeds_english!H146*2.471),F146)</f>
        <v>-3</v>
      </c>
      <c r="I146" s="36">
        <f>+IF(F146&gt;0,INT(Fuelbeds_english!I146*0.3048),F146)</f>
        <v>-3</v>
      </c>
      <c r="J146" s="45">
        <f>+IF(F146&gt;0,INT(Fuelbeds_english!J146*0.3048),F146)</f>
        <v>-3</v>
      </c>
      <c r="K146" s="45">
        <f>+IF(F146&gt;0,INT(Fuelbeds_english!K146*2.54),F146)</f>
        <v>-3</v>
      </c>
      <c r="L146" s="45">
        <v>-3</v>
      </c>
      <c r="M146" s="45">
        <v>-3</v>
      </c>
      <c r="N146" s="45">
        <v>-3</v>
      </c>
      <c r="O146" s="45">
        <v>-3</v>
      </c>
      <c r="P146" s="45">
        <f>+IF(O146&gt;0,INT(Fuelbeds_english!P146*2.471),O146)</f>
        <v>-3</v>
      </c>
      <c r="Q146" s="36">
        <f>+IF(O146&gt;0,INT(Fuelbeds_english!Q146*0.3048),O146)</f>
        <v>-3</v>
      </c>
      <c r="R146" s="45">
        <f>+IF(O146&gt;0,INT(Fuelbeds_english!R146*0.3048),O146)</f>
        <v>-3</v>
      </c>
      <c r="S146" s="45">
        <f>+IF(O146&gt;0,INT(Fuelbeds_english!S146*2.54),O146)</f>
        <v>-3</v>
      </c>
      <c r="T146" s="45">
        <v>-3</v>
      </c>
      <c r="U146" s="45">
        <v>-3</v>
      </c>
      <c r="V146" s="45">
        <v>-3</v>
      </c>
      <c r="W146" s="45">
        <v>-3</v>
      </c>
      <c r="X146" s="99">
        <v>-3</v>
      </c>
      <c r="Y146" s="81">
        <v>-3</v>
      </c>
      <c r="Z146" s="88">
        <f>+IF(Y146&gt;0,FIXED(Fuelbeds_english!Z146*0.3048,1,0),Y146)</f>
        <v>-3</v>
      </c>
      <c r="AA146" s="48">
        <v>-3</v>
      </c>
      <c r="AB146" s="10">
        <v>-3</v>
      </c>
      <c r="AC146" s="10">
        <v>-3</v>
      </c>
      <c r="AD146" s="10">
        <v>-3</v>
      </c>
      <c r="AE146" s="42">
        <v>100</v>
      </c>
      <c r="AF146" s="52" t="str">
        <f>+IF(AE146&gt;0,FIXED(Fuelbeds_english!AF146*0.3048,1,0),AE146)</f>
        <v>0.2</v>
      </c>
      <c r="AG146" s="36">
        <v>0</v>
      </c>
      <c r="AH146" s="52" t="str">
        <f>+IF(AE146&gt;0,FIXED(Fuelbeds_english!AH146*2.242,1,0),AE146)</f>
        <v>0.4</v>
      </c>
      <c r="AI146" s="45">
        <v>42236</v>
      </c>
      <c r="AJ146" s="45" t="s">
        <v>207</v>
      </c>
      <c r="AK146" s="45">
        <v>100</v>
      </c>
      <c r="AL146" s="34">
        <v>-3</v>
      </c>
      <c r="AM146" s="52">
        <f>+IF(AL146&gt;0,FIXED(Fuelbeds_english!AM146*2.54,1,0),AL146)</f>
        <v>-3</v>
      </c>
      <c r="AN146" s="52">
        <f>+IF(AM146&gt;0,FIXED(Fuelbeds_english!AN146*0.3048,1,0),AM146)</f>
        <v>-3</v>
      </c>
      <c r="AO146" s="52">
        <f>+IF(AN146&gt;0,FIXED(Fuelbeds_english!AO146*0.3048,1,0),AN146)</f>
        <v>-3</v>
      </c>
      <c r="AP146" s="52">
        <f>+IF(AO146&gt;0,FIXED(Fuelbeds_english!AP146*0.3048,1,0),AO146)</f>
        <v>-3</v>
      </c>
      <c r="AQ146" s="52">
        <f>+IF(AP146&gt;0,FIXED(Fuelbeds_english!AQ146*0.3048,1,0),AP146)</f>
        <v>-3</v>
      </c>
      <c r="AR146" s="36">
        <v>-3</v>
      </c>
      <c r="AS146" s="36">
        <v>-3</v>
      </c>
      <c r="AT146" s="36">
        <v>-3</v>
      </c>
      <c r="AU146" s="44">
        <v>-1</v>
      </c>
      <c r="AV146" s="52">
        <f>+IF(AU146&gt;0,FIXED(Fuelbeds_english!AV146*2.54,1,0),AU146)</f>
        <v>-1</v>
      </c>
      <c r="AW146" s="52">
        <v>-1</v>
      </c>
      <c r="AX146" s="52">
        <v>-1</v>
      </c>
      <c r="AY146" s="52">
        <f>+IF(AX146&gt;0,FIXED(Fuelbeds_english!AY146*2.54,1,0),AX146)</f>
        <v>-1</v>
      </c>
      <c r="AZ146" s="45">
        <v>2</v>
      </c>
      <c r="BA146" s="36">
        <v>65</v>
      </c>
      <c r="BB146" s="52" t="str">
        <f>+IF(BA146&gt;0,FIXED(Fuelbeds_english!BB146*2.54,1,0),BA146)</f>
        <v>1.3</v>
      </c>
      <c r="BC146" s="53">
        <v>-1</v>
      </c>
      <c r="BD146" s="53">
        <v>-1</v>
      </c>
      <c r="BE146" s="53">
        <v>-1</v>
      </c>
      <c r="BF146" s="53">
        <v>-1</v>
      </c>
      <c r="BG146" s="53">
        <v>-1</v>
      </c>
      <c r="BH146" s="53">
        <v>-1</v>
      </c>
      <c r="BI146" s="45">
        <v>100</v>
      </c>
      <c r="BJ146" s="28">
        <v>-1</v>
      </c>
      <c r="BK146" s="36">
        <v>-1</v>
      </c>
      <c r="BL146" s="52">
        <f>+IF(BK146&gt;0,FIXED(Fuelbeds_english!BL146*2.54,1,0),BK146)</f>
        <v>-1</v>
      </c>
      <c r="BM146" s="36">
        <v>-1</v>
      </c>
      <c r="BN146" s="36">
        <v>-1</v>
      </c>
      <c r="BO146" s="52">
        <f>+IF(BN146&gt;0,FIXED(Fuelbeds_english!BO146*2.54,1,0),BN146)</f>
        <v>-1</v>
      </c>
    </row>
    <row r="147" spans="1:67" s="50" customFormat="1" x14ac:dyDescent="0.25">
      <c r="A147" s="50">
        <v>146</v>
      </c>
      <c r="B147" s="36">
        <v>5012</v>
      </c>
      <c r="C147" s="46">
        <v>5012</v>
      </c>
      <c r="D147" s="22" t="s">
        <v>202</v>
      </c>
      <c r="E147" s="25" t="s">
        <v>412</v>
      </c>
      <c r="F147" s="39">
        <v>-3</v>
      </c>
      <c r="G147" s="45">
        <v>-3</v>
      </c>
      <c r="H147" s="45">
        <f>+IF(F147&gt;0,INT(Fuelbeds_english!H147*2.471),F147)</f>
        <v>-3</v>
      </c>
      <c r="I147" s="36">
        <f>+IF(F147&gt;0,INT(Fuelbeds_english!I147*0.3048),F147)</f>
        <v>-3</v>
      </c>
      <c r="J147" s="45">
        <f>+IF(F147&gt;0,INT(Fuelbeds_english!J147*0.3048),F147)</f>
        <v>-3</v>
      </c>
      <c r="K147" s="45">
        <f>+IF(F147&gt;0,INT(Fuelbeds_english!K147*2.54),F147)</f>
        <v>-3</v>
      </c>
      <c r="L147" s="45">
        <v>-3</v>
      </c>
      <c r="M147" s="45">
        <v>-3</v>
      </c>
      <c r="N147" s="45">
        <v>-3</v>
      </c>
      <c r="O147" s="45">
        <v>-3</v>
      </c>
      <c r="P147" s="45">
        <f>+IF(O147&gt;0,INT(Fuelbeds_english!P147*2.471),O147)</f>
        <v>-3</v>
      </c>
      <c r="Q147" s="36">
        <f>+IF(O147&gt;0,INT(Fuelbeds_english!Q147*0.3048),O147)</f>
        <v>-3</v>
      </c>
      <c r="R147" s="45">
        <f>+IF(O147&gt;0,INT(Fuelbeds_english!R147*0.3048),O147)</f>
        <v>-3</v>
      </c>
      <c r="S147" s="45">
        <f>+IF(O147&gt;0,INT(Fuelbeds_english!S147*2.54),O147)</f>
        <v>-3</v>
      </c>
      <c r="T147" s="45">
        <v>-3</v>
      </c>
      <c r="U147" s="45">
        <v>-3</v>
      </c>
      <c r="V147" s="45">
        <v>-3</v>
      </c>
      <c r="W147" s="45">
        <v>-3</v>
      </c>
      <c r="X147" s="99">
        <v>-3</v>
      </c>
      <c r="Y147" s="81">
        <v>-3</v>
      </c>
      <c r="Z147" s="88">
        <f>+IF(Y147&gt;0,FIXED(Fuelbeds_english!Z147*0.3048,1,0),Y147)</f>
        <v>-3</v>
      </c>
      <c r="AA147" s="48">
        <v>-3</v>
      </c>
      <c r="AB147" s="10">
        <v>-3</v>
      </c>
      <c r="AC147" s="10">
        <v>-3</v>
      </c>
      <c r="AD147" s="10">
        <v>-3</v>
      </c>
      <c r="AE147" s="42">
        <v>100</v>
      </c>
      <c r="AF147" s="52" t="str">
        <f>+IF(AE147&gt;0,FIXED(Fuelbeds_english!AF147*0.3048,1,0),AE147)</f>
        <v>0.2</v>
      </c>
      <c r="AG147" s="62">
        <v>0</v>
      </c>
      <c r="AH147" s="52" t="str">
        <f>+IF(AE147&gt;0,FIXED(Fuelbeds_english!AH147*2.242,1,0),AE147)</f>
        <v>1.1</v>
      </c>
      <c r="AI147" s="45">
        <v>42269</v>
      </c>
      <c r="AJ147" s="45" t="s">
        <v>206</v>
      </c>
      <c r="AK147" s="45">
        <v>100</v>
      </c>
      <c r="AL147" s="34">
        <v>-3</v>
      </c>
      <c r="AM147" s="52">
        <f>+IF(AL147&gt;0,FIXED(Fuelbeds_english!AM147*2.54,1,0),AL147)</f>
        <v>-3</v>
      </c>
      <c r="AN147" s="52">
        <f>+IF(AM147&gt;0,FIXED(Fuelbeds_english!AN147*0.3048,1,0),AM147)</f>
        <v>-3</v>
      </c>
      <c r="AO147" s="52">
        <f>+IF(AN147&gt;0,FIXED(Fuelbeds_english!AO147*0.3048,1,0),AN147)</f>
        <v>-3</v>
      </c>
      <c r="AP147" s="52">
        <f>+IF(AO147&gt;0,FIXED(Fuelbeds_english!AP147*0.3048,1,0),AO147)</f>
        <v>-3</v>
      </c>
      <c r="AQ147" s="52">
        <f>+IF(AP147&gt;0,FIXED(Fuelbeds_english!AQ147*0.3048,1,0),AP147)</f>
        <v>-3</v>
      </c>
      <c r="AR147" s="36">
        <v>-3</v>
      </c>
      <c r="AS147" s="36">
        <v>-3</v>
      </c>
      <c r="AT147" s="36">
        <v>-3</v>
      </c>
      <c r="AU147" s="44">
        <v>-1</v>
      </c>
      <c r="AV147" s="52">
        <f>+IF(AU147&gt;0,FIXED(Fuelbeds_english!AV147*2.54,1,0),AU147)</f>
        <v>-1</v>
      </c>
      <c r="AW147" s="52">
        <v>-1</v>
      </c>
      <c r="AX147" s="52">
        <v>-1</v>
      </c>
      <c r="AY147" s="52">
        <f>+IF(AX147&gt;0,FIXED(Fuelbeds_english!AY147*2.54,1,0),AX147)</f>
        <v>-1</v>
      </c>
      <c r="AZ147" s="45">
        <v>2</v>
      </c>
      <c r="BA147" s="36">
        <v>65</v>
      </c>
      <c r="BB147" s="52" t="str">
        <f>+IF(BA147&gt;0,FIXED(Fuelbeds_english!BB147*2.54,1,0),BA147)</f>
        <v>1.3</v>
      </c>
      <c r="BC147" s="53">
        <v>-1</v>
      </c>
      <c r="BD147" s="53">
        <v>-1</v>
      </c>
      <c r="BE147" s="53">
        <v>-1</v>
      </c>
      <c r="BF147" s="53">
        <v>-1</v>
      </c>
      <c r="BG147" s="53">
        <v>-1</v>
      </c>
      <c r="BH147" s="53">
        <v>-1</v>
      </c>
      <c r="BI147" s="45">
        <v>100</v>
      </c>
      <c r="BJ147" s="28">
        <v>-1</v>
      </c>
      <c r="BK147" s="36">
        <v>-1</v>
      </c>
      <c r="BL147" s="52">
        <f>+IF(BK147&gt;0,FIXED(Fuelbeds_english!BL147*2.54,1,0),BK147)</f>
        <v>-1</v>
      </c>
      <c r="BM147" s="36">
        <v>-1</v>
      </c>
      <c r="BN147" s="36">
        <v>-1</v>
      </c>
      <c r="BO147" s="52">
        <f>+IF(BN147&gt;0,FIXED(Fuelbeds_english!BO147*2.54,1,0),BN147)</f>
        <v>-1</v>
      </c>
    </row>
    <row r="148" spans="1:67" s="50" customFormat="1" x14ac:dyDescent="0.25">
      <c r="A148" s="50">
        <v>147</v>
      </c>
      <c r="B148" s="36">
        <v>5020</v>
      </c>
      <c r="C148" s="36">
        <v>5020</v>
      </c>
      <c r="D148" s="22" t="s">
        <v>202</v>
      </c>
      <c r="E148" s="38" t="s">
        <v>427</v>
      </c>
      <c r="F148" s="39">
        <v>10.1409</v>
      </c>
      <c r="G148" s="36">
        <v>10.1409</v>
      </c>
      <c r="H148" s="45">
        <f>+IF(F148&gt;0,INT(Fuelbeds_english!H148*2.471),F148)</f>
        <v>20</v>
      </c>
      <c r="I148" s="36">
        <f>+IF(F148&gt;0,INT(Fuelbeds_english!I148*0.3048),F148)</f>
        <v>15</v>
      </c>
      <c r="J148" s="45">
        <f>+IF(F148&gt;0,INT(Fuelbeds_english!J148*0.3048),F148)</f>
        <v>7</v>
      </c>
      <c r="K148" s="45">
        <f>+IF(F148&gt;0,INT(Fuelbeds_english!K148*2.54),F148)</f>
        <v>30</v>
      </c>
      <c r="L148" s="55" t="s">
        <v>397</v>
      </c>
      <c r="M148" s="36" t="s">
        <v>396</v>
      </c>
      <c r="N148" s="36" t="s">
        <v>156</v>
      </c>
      <c r="O148" s="36">
        <v>5.5651280487804877</v>
      </c>
      <c r="P148" s="45">
        <f>+IF(O148&gt;0,INT(Fuelbeds_english!P148*2.471),O148)</f>
        <v>55</v>
      </c>
      <c r="Q148" s="36">
        <f>+IF(O148&gt;0,INT(Fuelbeds_english!Q148*0.3048),O148)</f>
        <v>9</v>
      </c>
      <c r="R148" s="45">
        <f>+IF(O148&gt;0,INT(Fuelbeds_english!R148*0.3048),O148)</f>
        <v>4</v>
      </c>
      <c r="S148" s="45">
        <f>+IF(O148&gt;0,INT(Fuelbeds_english!S148*2.54),O148)</f>
        <v>18</v>
      </c>
      <c r="T148" s="36" t="s">
        <v>397</v>
      </c>
      <c r="U148" s="36" t="s">
        <v>396</v>
      </c>
      <c r="V148" s="36" t="s">
        <v>156</v>
      </c>
      <c r="W148" s="36">
        <v>-1</v>
      </c>
      <c r="X148" s="98">
        <v>-1</v>
      </c>
      <c r="Y148" s="29">
        <v>29.859099999999998</v>
      </c>
      <c r="Z148" s="88" t="str">
        <f>+IF(Y148&gt;0,FIXED(Fuelbeds_english!Z148*0.3048,1,0),Y148)</f>
        <v>2.0</v>
      </c>
      <c r="AA148" s="46">
        <v>85</v>
      </c>
      <c r="AB148" s="50">
        <v>23700</v>
      </c>
      <c r="AC148" s="50" t="s">
        <v>393</v>
      </c>
      <c r="AD148" s="50">
        <v>100</v>
      </c>
      <c r="AE148" s="42">
        <v>60</v>
      </c>
      <c r="AF148" s="52" t="str">
        <f>+IF(AE148&gt;0,FIXED(Fuelbeds_english!AF148*0.3048,1,0),AE148)</f>
        <v>0.2</v>
      </c>
      <c r="AG148" s="45">
        <v>0</v>
      </c>
      <c r="AH148" s="52" t="str">
        <f>+IF(AE148&gt;0,FIXED(Fuelbeds_english!AH148*2.242,1,0),AE148)</f>
        <v>0.2</v>
      </c>
      <c r="AI148" s="45">
        <v>42236</v>
      </c>
      <c r="AJ148" s="45" t="s">
        <v>207</v>
      </c>
      <c r="AK148" s="45">
        <v>100</v>
      </c>
      <c r="AL148" s="34">
        <v>3.8337548780487807</v>
      </c>
      <c r="AM148" s="52" t="str">
        <f>+IF(AL148&gt;0,FIXED(Fuelbeds_english!AM148*2.54,1,0),AL148)</f>
        <v>0.8</v>
      </c>
      <c r="AN148" s="52" t="str">
        <f>+IF($AM148&gt;0,FIXED(Fuelbeds_english!AN148*2.242,1,0),$AM148)</f>
        <v>0.2</v>
      </c>
      <c r="AO148" s="52" t="str">
        <f>+IF($AM148&gt;0,FIXED(Fuelbeds_english!AO148*2.242,1,0),$AM148)</f>
        <v>0.3</v>
      </c>
      <c r="AP148" s="52" t="str">
        <f>+IF($AM148&gt;0,FIXED(Fuelbeds_english!AP148*2.242,1,0),$AM148)</f>
        <v>0.5</v>
      </c>
      <c r="AQ148" s="52" t="str">
        <f>+IF($AM148&gt;0,FIXED(Fuelbeds_english!AQ148*2.242,1,0),$AM148)</f>
        <v>0.6</v>
      </c>
      <c r="AR148" s="36" t="s">
        <v>397</v>
      </c>
      <c r="AS148" s="45" t="s">
        <v>396</v>
      </c>
      <c r="AT148" s="45" t="s">
        <v>156</v>
      </c>
      <c r="AU148" s="44">
        <v>1.7</v>
      </c>
      <c r="AV148" s="52" t="str">
        <f>+IF(AU148&gt;0,FIXED(Fuelbeds_english!AV148*2.54,1,0),AU148)</f>
        <v>0.5</v>
      </c>
      <c r="AW148" s="88">
        <v>2</v>
      </c>
      <c r="AX148" s="88">
        <v>2.5</v>
      </c>
      <c r="AY148" s="52" t="str">
        <f>+IF(AX148&gt;0,FIXED(Fuelbeds_english!AY148*2.54,1,0),AX148)</f>
        <v>1.5</v>
      </c>
      <c r="AZ148" s="45">
        <v>2</v>
      </c>
      <c r="BA148" s="36">
        <v>50</v>
      </c>
      <c r="BB148" s="52" t="str">
        <f>+IF(BA148&gt;0,FIXED(Fuelbeds_english!BB148*2.54,1,0),BA148)</f>
        <v>3.8</v>
      </c>
      <c r="BC148" s="53">
        <v>20</v>
      </c>
      <c r="BD148" s="53">
        <v>-1</v>
      </c>
      <c r="BE148" s="53">
        <v>-1</v>
      </c>
      <c r="BF148" s="53">
        <v>20</v>
      </c>
      <c r="BG148" s="53">
        <v>-1</v>
      </c>
      <c r="BH148" s="53">
        <v>-1</v>
      </c>
      <c r="BI148" s="45">
        <v>60</v>
      </c>
      <c r="BJ148" s="28">
        <v>1</v>
      </c>
      <c r="BK148" s="55">
        <v>12</v>
      </c>
      <c r="BL148" s="52" t="str">
        <f>+IF(BK148&gt;0,FIXED(Fuelbeds_english!BL148*2.54,1,0),BK148)</f>
        <v>1.8</v>
      </c>
      <c r="BM148" s="45">
        <v>3</v>
      </c>
      <c r="BN148" s="55">
        <v>10</v>
      </c>
      <c r="BO148" s="52" t="str">
        <f>+IF(BN148&gt;0,FIXED(Fuelbeds_english!BO148*2.54,1,0),BN148)</f>
        <v>1.8</v>
      </c>
    </row>
    <row r="149" spans="1:67" s="50" customFormat="1" x14ac:dyDescent="0.25">
      <c r="A149" s="50">
        <v>148</v>
      </c>
      <c r="B149" s="36">
        <v>5022</v>
      </c>
      <c r="C149" s="46">
        <v>5022</v>
      </c>
      <c r="D149" s="22" t="s">
        <v>202</v>
      </c>
      <c r="E149" s="38" t="s">
        <v>428</v>
      </c>
      <c r="F149" s="39">
        <v>18.609300000000001</v>
      </c>
      <c r="G149" s="36">
        <v>18.609300000000001</v>
      </c>
      <c r="H149" s="45">
        <f>+IF(F149&gt;0,INT(Fuelbeds_english!H149*2.471),F149)</f>
        <v>36</v>
      </c>
      <c r="I149" s="36">
        <f>+IF(F149&gt;0,INT(Fuelbeds_english!I149*0.3048),F149)</f>
        <v>21</v>
      </c>
      <c r="J149" s="45">
        <f>+IF(F149&gt;0,INT(Fuelbeds_english!J149*0.3048),F149)</f>
        <v>10</v>
      </c>
      <c r="K149" s="45">
        <f>+IF(F149&gt;0,INT(Fuelbeds_english!K149*2.54),F149)</f>
        <v>41</v>
      </c>
      <c r="L149" s="55" t="s">
        <v>397</v>
      </c>
      <c r="M149" s="36" t="s">
        <v>396</v>
      </c>
      <c r="N149" s="36" t="s">
        <v>156</v>
      </c>
      <c r="O149" s="36">
        <v>10.212420731707319</v>
      </c>
      <c r="P149" s="45">
        <f>+IF(O149&gt;0,INT(Fuelbeds_english!P149*2.471),O149)</f>
        <v>100</v>
      </c>
      <c r="Q149" s="36">
        <f>+IF(O149&gt;0,INT(Fuelbeds_english!Q149*0.3048),O149)</f>
        <v>13</v>
      </c>
      <c r="R149" s="45">
        <f>+IF(O149&gt;0,INT(Fuelbeds_english!R149*0.3048),O149)</f>
        <v>5</v>
      </c>
      <c r="S149" s="45">
        <f>+IF(O149&gt;0,INT(Fuelbeds_english!S149*2.54),O149)</f>
        <v>25</v>
      </c>
      <c r="T149" s="55" t="s">
        <v>397</v>
      </c>
      <c r="U149" s="36" t="s">
        <v>396</v>
      </c>
      <c r="V149" s="36" t="s">
        <v>156</v>
      </c>
      <c r="W149" s="36">
        <v>-1</v>
      </c>
      <c r="X149" s="98">
        <v>-1</v>
      </c>
      <c r="Y149" s="29">
        <v>21.390699999999995</v>
      </c>
      <c r="Z149" s="88" t="str">
        <f>+IF(Y149&gt;0,FIXED(Fuelbeds_english!Z149*0.3048,1,0),Y149)</f>
        <v>2.0</v>
      </c>
      <c r="AA149" s="46">
        <v>85</v>
      </c>
      <c r="AB149" s="50">
        <v>23700</v>
      </c>
      <c r="AC149" s="50" t="s">
        <v>393</v>
      </c>
      <c r="AD149" s="50">
        <v>100</v>
      </c>
      <c r="AE149" s="42">
        <v>60</v>
      </c>
      <c r="AF149" s="52" t="str">
        <f>+IF(AE149&gt;0,FIXED(Fuelbeds_english!AF149*0.3048,1,0),AE149)</f>
        <v>0.2</v>
      </c>
      <c r="AG149" s="45">
        <v>0</v>
      </c>
      <c r="AH149" s="52" t="str">
        <f>+IF(AE149&gt;0,FIXED(Fuelbeds_english!AH149*2.242,1,0),AE149)</f>
        <v>0.6</v>
      </c>
      <c r="AI149" s="45">
        <v>42269</v>
      </c>
      <c r="AJ149" s="45" t="s">
        <v>206</v>
      </c>
      <c r="AK149" s="45">
        <v>100</v>
      </c>
      <c r="AL149" s="34">
        <v>7.0352231707317081</v>
      </c>
      <c r="AM149" s="52" t="str">
        <f>+IF(AL149&gt;0,FIXED(Fuelbeds_english!AM149*2.54,1,0),AL149)</f>
        <v>1.4</v>
      </c>
      <c r="AN149" s="52" t="str">
        <f>+IF($AM149&gt;0,FIXED(Fuelbeds_english!AN149*2.242,1,0),$AM149)</f>
        <v>0.3</v>
      </c>
      <c r="AO149" s="52" t="str">
        <f>+IF($AM149&gt;0,FIXED(Fuelbeds_english!AO149*2.242,1,0),$AM149)</f>
        <v>0.6</v>
      </c>
      <c r="AP149" s="52" t="str">
        <f>+IF($AM149&gt;0,FIXED(Fuelbeds_english!AP149*2.242,1,0),$AM149)</f>
        <v>0.8</v>
      </c>
      <c r="AQ149" s="52" t="str">
        <f>+IF($AM149&gt;0,FIXED(Fuelbeds_english!AQ149*2.242,1,0),$AM149)</f>
        <v>1.1</v>
      </c>
      <c r="AR149" s="36" t="s">
        <v>397</v>
      </c>
      <c r="AS149" s="45" t="s">
        <v>396</v>
      </c>
      <c r="AT149" s="45" t="s">
        <v>156</v>
      </c>
      <c r="AU149" s="44">
        <v>1.7</v>
      </c>
      <c r="AV149" s="52" t="str">
        <f>+IF(AU149&gt;0,FIXED(Fuelbeds_english!AV149*2.54,1,0),AU149)</f>
        <v>0.5</v>
      </c>
      <c r="AW149" s="88">
        <v>2</v>
      </c>
      <c r="AX149" s="88">
        <v>2.5</v>
      </c>
      <c r="AY149" s="52" t="str">
        <f>+IF(AX149&gt;0,FIXED(Fuelbeds_english!AY149*2.54,1,0),AX149)</f>
        <v>1.5</v>
      </c>
      <c r="AZ149" s="45">
        <v>2</v>
      </c>
      <c r="BA149" s="36">
        <v>60</v>
      </c>
      <c r="BB149" s="52" t="str">
        <f>+IF(BA149&gt;0,FIXED(Fuelbeds_english!BB149*2.54,1,0),BA149)</f>
        <v>3.8</v>
      </c>
      <c r="BC149" s="53">
        <v>20</v>
      </c>
      <c r="BD149" s="53">
        <v>-1</v>
      </c>
      <c r="BE149" s="53">
        <v>-1</v>
      </c>
      <c r="BF149" s="53">
        <v>20</v>
      </c>
      <c r="BG149" s="53">
        <v>-1</v>
      </c>
      <c r="BH149" s="53">
        <v>-1</v>
      </c>
      <c r="BI149" s="45">
        <v>60</v>
      </c>
      <c r="BJ149" s="28">
        <v>1</v>
      </c>
      <c r="BK149" s="55">
        <v>22</v>
      </c>
      <c r="BL149" s="52" t="str">
        <f>+IF(BK149&gt;0,FIXED(Fuelbeds_english!BL149*2.54,1,0),BK149)</f>
        <v>1.8</v>
      </c>
      <c r="BM149" s="45">
        <v>3</v>
      </c>
      <c r="BN149" s="55">
        <v>19</v>
      </c>
      <c r="BO149" s="52" t="str">
        <f>+IF(BN149&gt;0,FIXED(Fuelbeds_english!BO149*2.54,1,0),BN149)</f>
        <v>1.8</v>
      </c>
    </row>
    <row r="150" spans="1:67" s="50" customFormat="1" x14ac:dyDescent="0.25">
      <c r="A150" s="50">
        <v>149</v>
      </c>
      <c r="B150" s="36">
        <v>5030</v>
      </c>
      <c r="C150" s="36">
        <v>5030</v>
      </c>
      <c r="D150" s="22" t="s">
        <v>202</v>
      </c>
      <c r="E150" s="39" t="s">
        <v>461</v>
      </c>
      <c r="F150" s="39">
        <v>7.7796700000000003</v>
      </c>
      <c r="G150" s="36">
        <v>7.7796700000000003</v>
      </c>
      <c r="H150" s="45">
        <f>+IF(F150&gt;0,INT(Fuelbeds_english!H150*2.471),F150)</f>
        <v>15</v>
      </c>
      <c r="I150" s="36">
        <f>+IF(F150&gt;0,INT(Fuelbeds_english!I150*0.3048),F150)</f>
        <v>14</v>
      </c>
      <c r="J150" s="45">
        <f>+IF(F150&gt;0,INT(Fuelbeds_english!J150*0.3048),F150)</f>
        <v>7</v>
      </c>
      <c r="K150" s="45">
        <f>+IF(F150&gt;0,INT(Fuelbeds_english!K150*2.54),F150)</f>
        <v>28</v>
      </c>
      <c r="L150" s="36" t="s">
        <v>397</v>
      </c>
      <c r="M150" s="36" t="s">
        <v>396</v>
      </c>
      <c r="N150" s="36" t="s">
        <v>156</v>
      </c>
      <c r="O150" s="36">
        <v>4.2693310975609764</v>
      </c>
      <c r="P150" s="45">
        <f>+IF(O150&gt;0,INT(Fuelbeds_english!P150*2.471),O150)</f>
        <v>42</v>
      </c>
      <c r="Q150" s="36">
        <f>+IF(O150&gt;0,INT(Fuelbeds_english!Q150*0.3048),O150)</f>
        <v>9</v>
      </c>
      <c r="R150" s="45">
        <f>+IF(O150&gt;0,INT(Fuelbeds_english!R150*0.3048),O150)</f>
        <v>3</v>
      </c>
      <c r="S150" s="45">
        <f>+IF(O150&gt;0,INT(Fuelbeds_english!S150*2.54),O150)</f>
        <v>17</v>
      </c>
      <c r="T150" s="36" t="s">
        <v>397</v>
      </c>
      <c r="U150" s="36" t="s">
        <v>396</v>
      </c>
      <c r="V150" s="36" t="s">
        <v>156</v>
      </c>
      <c r="W150" s="36">
        <v>-1</v>
      </c>
      <c r="X150" s="98">
        <v>-1</v>
      </c>
      <c r="Y150" s="29">
        <v>62.220330000000004</v>
      </c>
      <c r="Z150" s="88" t="str">
        <f>+IF(Y150&gt;0,FIXED(Fuelbeds_english!Z150*0.3048,1,0),Y150)</f>
        <v>2.0</v>
      </c>
      <c r="AA150" s="46">
        <v>85</v>
      </c>
      <c r="AB150" s="50">
        <v>23700</v>
      </c>
      <c r="AC150" s="50" t="s">
        <v>393</v>
      </c>
      <c r="AD150" s="50">
        <v>100</v>
      </c>
      <c r="AE150" s="42">
        <v>30</v>
      </c>
      <c r="AF150" s="52" t="str">
        <f>+IF(AE150&gt;0,FIXED(Fuelbeds_english!AF150*0.3048,1,0),AE150)</f>
        <v>0.2</v>
      </c>
      <c r="AG150" s="45">
        <v>0</v>
      </c>
      <c r="AH150" s="52" t="str">
        <f>+IF(AE150&gt;0,FIXED(Fuelbeds_english!AH150*2.242,1,0),AE150)</f>
        <v>0.1</v>
      </c>
      <c r="AI150" s="45">
        <v>42236</v>
      </c>
      <c r="AJ150" s="45" t="s">
        <v>207</v>
      </c>
      <c r="AK150" s="45">
        <v>100</v>
      </c>
      <c r="AL150" s="34">
        <v>2.9410947560975611</v>
      </c>
      <c r="AM150" s="52" t="str">
        <f>+IF(AL150&gt;0,FIXED(Fuelbeds_english!AM150*2.54,1,0),AL150)</f>
        <v>0.6</v>
      </c>
      <c r="AN150" s="52" t="str">
        <f>+IF($AM150&gt;0,FIXED(Fuelbeds_english!AN150*2.242,1,0),$AM150)</f>
        <v>0.1</v>
      </c>
      <c r="AO150" s="52" t="str">
        <f>+IF($AM150&gt;0,FIXED(Fuelbeds_english!AO150*2.242,1,0),$AM150)</f>
        <v>0.2</v>
      </c>
      <c r="AP150" s="52" t="str">
        <f>+IF($AM150&gt;0,FIXED(Fuelbeds_english!AP150*2.242,1,0),$AM150)</f>
        <v>0.4</v>
      </c>
      <c r="AQ150" s="52" t="str">
        <f>+IF($AM150&gt;0,FIXED(Fuelbeds_english!AQ150*2.242,1,0),$AM150)</f>
        <v>0.5</v>
      </c>
      <c r="AR150" s="36" t="s">
        <v>397</v>
      </c>
      <c r="AS150" s="45" t="s">
        <v>396</v>
      </c>
      <c r="AT150" s="45" t="s">
        <v>156</v>
      </c>
      <c r="AU150" s="44">
        <v>1.7</v>
      </c>
      <c r="AV150" s="52" t="str">
        <f>+IF(AU150&gt;0,FIXED(Fuelbeds_english!AV150*2.54,1,0),AU150)</f>
        <v>0.5</v>
      </c>
      <c r="AW150" s="88">
        <v>2</v>
      </c>
      <c r="AX150" s="88">
        <v>2.5</v>
      </c>
      <c r="AY150" s="52" t="str">
        <f>+IF(AX150&gt;0,FIXED(Fuelbeds_english!AY150*2.54,1,0),AX150)</f>
        <v>1.5</v>
      </c>
      <c r="AZ150" s="45">
        <v>1</v>
      </c>
      <c r="BA150" s="36">
        <v>28</v>
      </c>
      <c r="BB150" s="52" t="str">
        <f>+IF(BA150&gt;0,FIXED(Fuelbeds_english!BB150*2.54,1,0),BA150)</f>
        <v>3.8</v>
      </c>
      <c r="BC150" s="53">
        <v>35</v>
      </c>
      <c r="BD150" s="53">
        <v>-1</v>
      </c>
      <c r="BE150" s="53">
        <v>-1</v>
      </c>
      <c r="BF150" s="53">
        <v>35</v>
      </c>
      <c r="BG150" s="53">
        <v>-1</v>
      </c>
      <c r="BH150" s="53">
        <v>-1</v>
      </c>
      <c r="BI150" s="45">
        <v>30</v>
      </c>
      <c r="BJ150" s="28">
        <v>1</v>
      </c>
      <c r="BK150" s="55">
        <v>9</v>
      </c>
      <c r="BL150" s="52" t="str">
        <f>+IF(BK150&gt;0,FIXED(Fuelbeds_english!BL150*2.54,1,0),BK150)</f>
        <v>1.8</v>
      </c>
      <c r="BM150" s="45">
        <v>3</v>
      </c>
      <c r="BN150" s="55">
        <v>8</v>
      </c>
      <c r="BO150" s="52" t="str">
        <f>+IF(BN150&gt;0,FIXED(Fuelbeds_english!BO150*2.54,1,0),BN150)</f>
        <v>1.8</v>
      </c>
    </row>
    <row r="151" spans="1:67" s="50" customFormat="1" x14ac:dyDescent="0.25">
      <c r="A151" s="50">
        <v>150</v>
      </c>
      <c r="B151" s="36">
        <v>5032</v>
      </c>
      <c r="C151" s="46">
        <v>5032</v>
      </c>
      <c r="D151" s="22" t="s">
        <v>202</v>
      </c>
      <c r="E151" s="39" t="s">
        <v>462</v>
      </c>
      <c r="F151" s="39">
        <v>22.135100000000001</v>
      </c>
      <c r="G151" s="36">
        <v>22.135100000000001</v>
      </c>
      <c r="H151" s="45">
        <f>+IF(F151&gt;0,INT(Fuelbeds_english!H151*2.471),F151)</f>
        <v>43</v>
      </c>
      <c r="I151" s="36">
        <f>+IF(F151&gt;0,INT(Fuelbeds_english!I151*0.3048),F151)</f>
        <v>24</v>
      </c>
      <c r="J151" s="45">
        <f>+IF(F151&gt;0,INT(Fuelbeds_english!J151*0.3048),F151)</f>
        <v>12</v>
      </c>
      <c r="K151" s="45">
        <f>+IF(F151&gt;0,INT(Fuelbeds_english!K151*2.54),F151)</f>
        <v>48</v>
      </c>
      <c r="L151" s="55" t="s">
        <v>397</v>
      </c>
      <c r="M151" s="36" t="s">
        <v>396</v>
      </c>
      <c r="N151" s="36" t="s">
        <v>156</v>
      </c>
      <c r="O151" s="36">
        <v>12.147310975609757</v>
      </c>
      <c r="P151" s="45">
        <f>+IF(O151&gt;0,INT(Fuelbeds_english!P151*2.471),O151)</f>
        <v>120</v>
      </c>
      <c r="Q151" s="36">
        <f>+IF(O151&gt;0,INT(Fuelbeds_english!Q151*0.3048),O151)</f>
        <v>15</v>
      </c>
      <c r="R151" s="45">
        <f>+IF(O151&gt;0,INT(Fuelbeds_english!R151*0.3048),O151)</f>
        <v>6</v>
      </c>
      <c r="S151" s="45">
        <f>+IF(O151&gt;0,INT(Fuelbeds_english!S151*2.54),O151)</f>
        <v>29</v>
      </c>
      <c r="T151" s="55" t="s">
        <v>397</v>
      </c>
      <c r="U151" s="36" t="s">
        <v>396</v>
      </c>
      <c r="V151" s="36" t="s">
        <v>156</v>
      </c>
      <c r="W151" s="36">
        <v>-1</v>
      </c>
      <c r="X151" s="98">
        <v>-1</v>
      </c>
      <c r="Y151" s="29">
        <v>47.864900000000006</v>
      </c>
      <c r="Z151" s="88" t="str">
        <f>+IF(Y151&gt;0,FIXED(Fuelbeds_english!Z151*0.3048,1,0),Y151)</f>
        <v>2.0</v>
      </c>
      <c r="AA151" s="46">
        <v>85</v>
      </c>
      <c r="AB151" s="50">
        <v>23700</v>
      </c>
      <c r="AC151" s="50" t="s">
        <v>393</v>
      </c>
      <c r="AD151" s="50">
        <v>100</v>
      </c>
      <c r="AE151" s="42">
        <v>30</v>
      </c>
      <c r="AF151" s="52" t="str">
        <f>+IF(AE151&gt;0,FIXED(Fuelbeds_english!AF151*0.3048,1,0),AE151)</f>
        <v>0.2</v>
      </c>
      <c r="AG151" s="45">
        <v>0</v>
      </c>
      <c r="AH151" s="52" t="str">
        <f>+IF(AE151&gt;0,FIXED(Fuelbeds_english!AH151*2.242,1,0),AE151)</f>
        <v>0.3</v>
      </c>
      <c r="AI151" s="45">
        <v>42269</v>
      </c>
      <c r="AJ151" s="45" t="s">
        <v>206</v>
      </c>
      <c r="AK151" s="45">
        <v>100</v>
      </c>
      <c r="AL151" s="34">
        <v>8.3681475609756113</v>
      </c>
      <c r="AM151" s="52" t="str">
        <f>+IF(AL151&gt;0,FIXED(Fuelbeds_english!AM151*2.54,1,0),AL151)</f>
        <v>1.7</v>
      </c>
      <c r="AN151" s="52" t="str">
        <f>+IF($AM151&gt;0,FIXED(Fuelbeds_english!AN151*2.242,1,0),$AM151)</f>
        <v>0.4</v>
      </c>
      <c r="AO151" s="52" t="str">
        <f>+IF($AM151&gt;0,FIXED(Fuelbeds_english!AO151*2.242,1,0),$AM151)</f>
        <v>0.7</v>
      </c>
      <c r="AP151" s="52" t="str">
        <f>+IF($AM151&gt;0,FIXED(Fuelbeds_english!AP151*2.242,1,0),$AM151)</f>
        <v>1.0</v>
      </c>
      <c r="AQ151" s="52" t="str">
        <f>+IF($AM151&gt;0,FIXED(Fuelbeds_english!AQ151*2.242,1,0),$AM151)</f>
        <v>1.3</v>
      </c>
      <c r="AR151" s="36" t="s">
        <v>397</v>
      </c>
      <c r="AS151" s="45" t="s">
        <v>396</v>
      </c>
      <c r="AT151" s="45" t="s">
        <v>156</v>
      </c>
      <c r="AU151" s="44">
        <v>1.7</v>
      </c>
      <c r="AV151" s="52" t="str">
        <f>+IF(AU151&gt;0,FIXED(Fuelbeds_english!AV151*2.54,1,0),AU151)</f>
        <v>0.5</v>
      </c>
      <c r="AW151" s="88">
        <v>2</v>
      </c>
      <c r="AX151" s="88">
        <v>2.5</v>
      </c>
      <c r="AY151" s="52" t="str">
        <f>+IF(AX151&gt;0,FIXED(Fuelbeds_english!AY151*2.54,1,0),AX151)</f>
        <v>1.5</v>
      </c>
      <c r="AZ151" s="45">
        <v>1</v>
      </c>
      <c r="BA151" s="36">
        <v>44</v>
      </c>
      <c r="BB151" s="52" t="str">
        <f>+IF(BA151&gt;0,FIXED(Fuelbeds_english!BB151*2.54,1,0),BA151)</f>
        <v>3.8</v>
      </c>
      <c r="BC151" s="53">
        <v>35</v>
      </c>
      <c r="BD151" s="53">
        <v>-1</v>
      </c>
      <c r="BE151" s="53">
        <v>-1</v>
      </c>
      <c r="BF151" s="53">
        <v>35</v>
      </c>
      <c r="BG151" s="53">
        <v>-1</v>
      </c>
      <c r="BH151" s="53">
        <v>-1</v>
      </c>
      <c r="BI151" s="45">
        <v>30</v>
      </c>
      <c r="BJ151" s="28">
        <v>1</v>
      </c>
      <c r="BK151" s="55">
        <v>26</v>
      </c>
      <c r="BL151" s="52" t="str">
        <f>+IF(BK151&gt;0,FIXED(Fuelbeds_english!BL151*2.54,1,0),BK151)</f>
        <v>1.8</v>
      </c>
      <c r="BM151" s="45">
        <v>3</v>
      </c>
      <c r="BN151" s="55">
        <v>22</v>
      </c>
      <c r="BO151" s="52" t="str">
        <f>+IF(BN151&gt;0,FIXED(Fuelbeds_english!BO151*2.54,1,0),BN151)</f>
        <v>1.8</v>
      </c>
    </row>
    <row r="152" spans="1:67" s="50" customFormat="1" x14ac:dyDescent="0.25">
      <c r="A152" s="50">
        <v>151</v>
      </c>
      <c r="B152" s="36">
        <v>5033</v>
      </c>
      <c r="C152" s="46">
        <v>5033</v>
      </c>
      <c r="D152" s="22" t="s">
        <v>202</v>
      </c>
      <c r="E152" s="39" t="s">
        <v>463</v>
      </c>
      <c r="F152" s="39">
        <v>13.8172</v>
      </c>
      <c r="G152" s="36">
        <v>13.8172</v>
      </c>
      <c r="H152" s="45">
        <f>+IF(F152&gt;0,INT(Fuelbeds_english!H152*2.471),F152)</f>
        <v>27</v>
      </c>
      <c r="I152" s="36">
        <f>+IF(F152&gt;0,INT(Fuelbeds_english!I152*0.3048),F152)</f>
        <v>14</v>
      </c>
      <c r="J152" s="45">
        <f>+IF(F152&gt;0,INT(Fuelbeds_english!J152*0.3048),F152)</f>
        <v>7</v>
      </c>
      <c r="K152" s="45">
        <f>+IF(F152&gt;0,INT(Fuelbeds_english!K152*2.54),F152)</f>
        <v>28</v>
      </c>
      <c r="L152" s="55" t="s">
        <v>397</v>
      </c>
      <c r="M152" s="36" t="s">
        <v>396</v>
      </c>
      <c r="N152" s="36" t="s">
        <v>156</v>
      </c>
      <c r="O152" s="36">
        <v>7.5826097560975612</v>
      </c>
      <c r="P152" s="45">
        <f>+IF(O152&gt;0,INT(Fuelbeds_english!P152*2.471),O152)</f>
        <v>74</v>
      </c>
      <c r="Q152" s="36">
        <f>+IF(O152&gt;0,INT(Fuelbeds_english!Q152*0.3048),O152)</f>
        <v>9</v>
      </c>
      <c r="R152" s="45">
        <f>+IF(O152&gt;0,INT(Fuelbeds_english!R152*0.3048),O152)</f>
        <v>3</v>
      </c>
      <c r="S152" s="45">
        <f>+IF(O152&gt;0,INT(Fuelbeds_english!S152*2.54),O152)</f>
        <v>17</v>
      </c>
      <c r="T152" s="55" t="s">
        <v>397</v>
      </c>
      <c r="U152" s="36" t="s">
        <v>396</v>
      </c>
      <c r="V152" s="36" t="s">
        <v>156</v>
      </c>
      <c r="W152" s="36">
        <v>-1</v>
      </c>
      <c r="X152" s="98">
        <v>-1</v>
      </c>
      <c r="Y152" s="29">
        <v>56.1828</v>
      </c>
      <c r="Z152" s="88" t="str">
        <f>+IF(Y152&gt;0,FIXED(Fuelbeds_english!Z152*0.3048,1,0),Y152)</f>
        <v>2.0</v>
      </c>
      <c r="AA152" s="46">
        <v>85</v>
      </c>
      <c r="AB152" s="50">
        <v>23700</v>
      </c>
      <c r="AC152" s="50" t="s">
        <v>393</v>
      </c>
      <c r="AD152" s="50">
        <v>100</v>
      </c>
      <c r="AE152" s="42">
        <v>30</v>
      </c>
      <c r="AF152" s="52" t="str">
        <f>+IF(AE152&gt;0,FIXED(Fuelbeds_english!AF152*0.3048,1,0),AE152)</f>
        <v>0.2</v>
      </c>
      <c r="AG152" s="45">
        <v>0</v>
      </c>
      <c r="AH152" s="52" t="str">
        <f>+IF(AE152&gt;0,FIXED(Fuelbeds_english!AH152*2.242,1,0),AE152)</f>
        <v>0.1</v>
      </c>
      <c r="AI152" s="45">
        <v>26716</v>
      </c>
      <c r="AJ152" s="45" t="s">
        <v>208</v>
      </c>
      <c r="AK152" s="45">
        <v>100</v>
      </c>
      <c r="AL152" s="34">
        <v>5.2235756097560975</v>
      </c>
      <c r="AM152" s="52" t="str">
        <f>+IF(AL152&gt;0,FIXED(Fuelbeds_english!AM152*2.54,1,0),AL152)</f>
        <v>1.0</v>
      </c>
      <c r="AN152" s="52" t="str">
        <f>+IF($AM152&gt;0,FIXED(Fuelbeds_english!AN152*2.242,1,0),$AM152)</f>
        <v>0.2</v>
      </c>
      <c r="AO152" s="52" t="str">
        <f>+IF($AM152&gt;0,FIXED(Fuelbeds_english!AO152*2.242,1,0),$AM152)</f>
        <v>0.4</v>
      </c>
      <c r="AP152" s="52" t="str">
        <f>+IF($AM152&gt;0,FIXED(Fuelbeds_english!AP152*2.242,1,0),$AM152)</f>
        <v>0.6</v>
      </c>
      <c r="AQ152" s="52" t="str">
        <f>+IF($AM152&gt;0,FIXED(Fuelbeds_english!AQ152*2.242,1,0),$AM152)</f>
        <v>0.8</v>
      </c>
      <c r="AR152" s="36" t="s">
        <v>397</v>
      </c>
      <c r="AS152" s="45" t="s">
        <v>396</v>
      </c>
      <c r="AT152" s="45" t="s">
        <v>156</v>
      </c>
      <c r="AU152" s="44">
        <v>1.7</v>
      </c>
      <c r="AV152" s="52" t="str">
        <f>+IF(AU152&gt;0,FIXED(Fuelbeds_english!AV152*2.54,1,0),AU152)</f>
        <v>0.5</v>
      </c>
      <c r="AW152" s="88">
        <v>2</v>
      </c>
      <c r="AX152" s="88">
        <v>2.5</v>
      </c>
      <c r="AY152" s="52" t="str">
        <f>+IF(AX152&gt;0,FIXED(Fuelbeds_english!AY152*2.54,1,0),AX152)</f>
        <v>1.5</v>
      </c>
      <c r="AZ152" s="45">
        <v>1</v>
      </c>
      <c r="BA152" s="36">
        <v>35</v>
      </c>
      <c r="BB152" s="52" t="str">
        <f>+IF(BA152&gt;0,FIXED(Fuelbeds_english!BB152*2.54,1,0),BA152)</f>
        <v>3.8</v>
      </c>
      <c r="BC152" s="53">
        <v>35</v>
      </c>
      <c r="BD152" s="53">
        <v>-1</v>
      </c>
      <c r="BE152" s="53">
        <v>-1</v>
      </c>
      <c r="BF152" s="53">
        <v>35</v>
      </c>
      <c r="BG152" s="53">
        <v>-1</v>
      </c>
      <c r="BH152" s="53">
        <v>-1</v>
      </c>
      <c r="BI152" s="45">
        <v>30</v>
      </c>
      <c r="BJ152" s="28">
        <v>1</v>
      </c>
      <c r="BK152" s="55">
        <v>16</v>
      </c>
      <c r="BL152" s="52" t="str">
        <f>+IF(BK152&gt;0,FIXED(Fuelbeds_english!BL152*2.54,1,0),BK152)</f>
        <v>1.8</v>
      </c>
      <c r="BM152" s="45">
        <v>3</v>
      </c>
      <c r="BN152" s="55">
        <v>14</v>
      </c>
      <c r="BO152" s="52" t="str">
        <f>+IF(BN152&gt;0,FIXED(Fuelbeds_english!BO152*2.54,1,0),BN152)</f>
        <v>1.8</v>
      </c>
    </row>
    <row r="153" spans="1:67" s="50" customFormat="1" x14ac:dyDescent="0.25">
      <c r="A153" s="50">
        <v>152</v>
      </c>
      <c r="B153" s="36">
        <v>5035</v>
      </c>
      <c r="C153" s="46">
        <v>5035</v>
      </c>
      <c r="D153" s="22" t="s">
        <v>202</v>
      </c>
      <c r="E153" s="33" t="s">
        <v>470</v>
      </c>
      <c r="F153" s="39">
        <v>7.6307099999999997</v>
      </c>
      <c r="G153" s="36">
        <v>7.6307099999999997</v>
      </c>
      <c r="H153" s="45">
        <f>+IF(F153&gt;0,INT(Fuelbeds_english!H153*2.471),F153)</f>
        <v>15</v>
      </c>
      <c r="I153" s="36">
        <f>+IF(F153&gt;0,INT(Fuelbeds_english!I153*0.3048),F153)</f>
        <v>11</v>
      </c>
      <c r="J153" s="45">
        <f>+IF(F153&gt;0,INT(Fuelbeds_english!J153*0.3048),F153)</f>
        <v>5</v>
      </c>
      <c r="K153" s="45">
        <f>+IF(F153&gt;0,INT(Fuelbeds_english!K153*2.54),F153)</f>
        <v>23</v>
      </c>
      <c r="L153" s="55" t="s">
        <v>397</v>
      </c>
      <c r="M153" s="36" t="s">
        <v>396</v>
      </c>
      <c r="N153" s="36" t="s">
        <v>156</v>
      </c>
      <c r="O153" s="36">
        <v>4.1875847560975608</v>
      </c>
      <c r="P153" s="45">
        <f>+IF(O153&gt;0,INT(Fuelbeds_english!P153*2.471),O153)</f>
        <v>41</v>
      </c>
      <c r="Q153" s="36">
        <f>+IF(O153&gt;0,INT(Fuelbeds_english!Q153*0.3048),O153)</f>
        <v>7</v>
      </c>
      <c r="R153" s="45">
        <f>+IF(O153&gt;0,INT(Fuelbeds_english!R153*0.3048),O153)</f>
        <v>3</v>
      </c>
      <c r="S153" s="45">
        <f>+IF(O153&gt;0,INT(Fuelbeds_english!S153*2.54),O153)</f>
        <v>14</v>
      </c>
      <c r="T153" s="55" t="s">
        <v>397</v>
      </c>
      <c r="U153" s="36" t="s">
        <v>396</v>
      </c>
      <c r="V153" s="36" t="s">
        <v>156</v>
      </c>
      <c r="W153" s="36">
        <v>-1</v>
      </c>
      <c r="X153" s="98">
        <v>-1</v>
      </c>
      <c r="Y153" s="29">
        <v>62.369290000000007</v>
      </c>
      <c r="Z153" s="88" t="str">
        <f>+IF(Y153&gt;0,FIXED(Fuelbeds_english!Z153*0.3048,1,0),Y153)</f>
        <v>2.0</v>
      </c>
      <c r="AA153" s="46">
        <v>85</v>
      </c>
      <c r="AB153" s="50">
        <v>23700</v>
      </c>
      <c r="AC153" s="50" t="s">
        <v>393</v>
      </c>
      <c r="AD153" s="50">
        <v>100</v>
      </c>
      <c r="AE153" s="42">
        <v>30</v>
      </c>
      <c r="AF153" s="52" t="str">
        <f>+IF(AE153&gt;0,FIXED(Fuelbeds_english!AF153*0.3048,1,0),AE153)</f>
        <v>0.2</v>
      </c>
      <c r="AG153" s="45">
        <v>0</v>
      </c>
      <c r="AH153" s="52" t="str">
        <f>+IF(AE153&gt;0,FIXED(Fuelbeds_english!AH153*2.242,1,0),AE153)</f>
        <v>0.5</v>
      </c>
      <c r="AI153" s="45">
        <v>21711</v>
      </c>
      <c r="AJ153" s="45" t="s">
        <v>425</v>
      </c>
      <c r="AK153" s="45">
        <v>100</v>
      </c>
      <c r="AL153" s="34">
        <v>2.8847806097560973</v>
      </c>
      <c r="AM153" s="52" t="str">
        <f>+IF(AL153&gt;0,FIXED(Fuelbeds_english!AM153*2.54,1,0),AL153)</f>
        <v>0.6</v>
      </c>
      <c r="AN153" s="52" t="str">
        <f>+IF($AM153&gt;0,FIXED(Fuelbeds_english!AN153*2.242,1,0),$AM153)</f>
        <v>0.1</v>
      </c>
      <c r="AO153" s="52" t="str">
        <f>+IF($AM153&gt;0,FIXED(Fuelbeds_english!AO153*2.242,1,0),$AM153)</f>
        <v>0.2</v>
      </c>
      <c r="AP153" s="52" t="str">
        <f>+IF($AM153&gt;0,FIXED(Fuelbeds_english!AP153*2.242,1,0),$AM153)</f>
        <v>0.3</v>
      </c>
      <c r="AQ153" s="52" t="str">
        <f>+IF($AM153&gt;0,FIXED(Fuelbeds_english!AQ153*2.242,1,0),$AM153)</f>
        <v>0.5</v>
      </c>
      <c r="AR153" s="36" t="s">
        <v>397</v>
      </c>
      <c r="AS153" s="45" t="s">
        <v>396</v>
      </c>
      <c r="AT153" s="45" t="s">
        <v>156</v>
      </c>
      <c r="AU153" s="44">
        <v>1.7</v>
      </c>
      <c r="AV153" s="52" t="str">
        <f>+IF(AU153&gt;0,FIXED(Fuelbeds_english!AV153*2.54,1,0),AU153)</f>
        <v>0.5</v>
      </c>
      <c r="AW153" s="88">
        <v>2</v>
      </c>
      <c r="AX153" s="88">
        <v>2.5</v>
      </c>
      <c r="AY153" s="52" t="str">
        <f>+IF(AX153&gt;0,FIXED(Fuelbeds_english!AY153*2.54,1,0),AX153)</f>
        <v>1.5</v>
      </c>
      <c r="AZ153" s="45">
        <v>1</v>
      </c>
      <c r="BA153" s="36">
        <v>28</v>
      </c>
      <c r="BB153" s="52" t="str">
        <f>+IF(BA153&gt;0,FIXED(Fuelbeds_english!BB153*2.54,1,0),BA153)</f>
        <v>3.8</v>
      </c>
      <c r="BC153" s="53">
        <v>35</v>
      </c>
      <c r="BD153" s="53">
        <v>-1</v>
      </c>
      <c r="BE153" s="53">
        <v>-1</v>
      </c>
      <c r="BF153" s="53">
        <v>35</v>
      </c>
      <c r="BG153" s="53">
        <v>-1</v>
      </c>
      <c r="BH153" s="53">
        <v>-1</v>
      </c>
      <c r="BI153" s="45">
        <v>30</v>
      </c>
      <c r="BJ153" s="28">
        <v>1</v>
      </c>
      <c r="BK153" s="55">
        <v>9</v>
      </c>
      <c r="BL153" s="52" t="str">
        <f>+IF(BK153&gt;0,FIXED(Fuelbeds_english!BL153*2.54,1,0),BK153)</f>
        <v>1.8</v>
      </c>
      <c r="BM153" s="45">
        <v>3</v>
      </c>
      <c r="BN153" s="55">
        <v>8</v>
      </c>
      <c r="BO153" s="52" t="str">
        <f>+IF(BN153&gt;0,FIXED(Fuelbeds_english!BO153*2.54,1,0),BN153)</f>
        <v>1.8</v>
      </c>
    </row>
    <row r="154" spans="1:67" s="50" customFormat="1" x14ac:dyDescent="0.25">
      <c r="A154" s="50">
        <v>153</v>
      </c>
      <c r="B154" s="36">
        <v>5040</v>
      </c>
      <c r="C154" s="46">
        <v>5040</v>
      </c>
      <c r="D154" s="22" t="s">
        <v>202</v>
      </c>
      <c r="E154" s="6" t="s">
        <v>17</v>
      </c>
      <c r="F154" s="39">
        <v>52.93</v>
      </c>
      <c r="G154" s="56">
        <v>52.93</v>
      </c>
      <c r="H154" s="45">
        <f>+IF(F154&gt;0,INT(Fuelbeds_english!H154*2.471),F154)</f>
        <v>101</v>
      </c>
      <c r="I154" s="36">
        <f>+IF(F154&gt;0,INT(Fuelbeds_english!I154*0.3048),F154)</f>
        <v>31</v>
      </c>
      <c r="J154" s="45">
        <f>+IF(F154&gt;0,INT(Fuelbeds_english!J154*0.3048),F154)</f>
        <v>18</v>
      </c>
      <c r="K154" s="45">
        <f>+IF(F154&gt;0,INT(Fuelbeds_english!K154*2.54),F154)</f>
        <v>50</v>
      </c>
      <c r="L154" s="36">
        <v>19464</v>
      </c>
      <c r="M154" s="36" t="s">
        <v>155</v>
      </c>
      <c r="N154" s="36">
        <v>100</v>
      </c>
      <c r="O154" s="43">
        <v>30.140233542319748</v>
      </c>
      <c r="P154" s="45">
        <f>+IF(O154&gt;0,INT(Fuelbeds_english!P154*2.471),O154)</f>
        <v>154</v>
      </c>
      <c r="Q154" s="36">
        <f>+IF(O154&gt;0,INT(Fuelbeds_english!Q154*0.3048),O154)</f>
        <v>19</v>
      </c>
      <c r="R154" s="45">
        <f>+IF(O154&gt;0,INT(Fuelbeds_english!R154*0.3048),O154)</f>
        <v>11</v>
      </c>
      <c r="S154" s="45">
        <f>+IF(O154&gt;0,INT(Fuelbeds_english!S154*2.54),O154)</f>
        <v>32</v>
      </c>
      <c r="T154" s="36">
        <v>19464</v>
      </c>
      <c r="U154" s="36" t="s">
        <v>155</v>
      </c>
      <c r="V154" s="36">
        <v>100</v>
      </c>
      <c r="W154" s="36">
        <v>1</v>
      </c>
      <c r="X154" s="98">
        <v>2</v>
      </c>
      <c r="Y154" s="29">
        <v>23.41696443298969</v>
      </c>
      <c r="Z154" s="88" t="str">
        <f>+IF(Y154&gt;0,FIXED(Fuelbeds_english!Z154*0.3048,1,0),Y154)</f>
        <v>2.0</v>
      </c>
      <c r="AA154" s="46">
        <v>85</v>
      </c>
      <c r="AB154" s="50">
        <v>23700</v>
      </c>
      <c r="AC154" s="50" t="s">
        <v>393</v>
      </c>
      <c r="AD154" s="50">
        <v>100</v>
      </c>
      <c r="AE154" s="42">
        <v>18</v>
      </c>
      <c r="AF154" s="52" t="str">
        <f>+IF(AE154&gt;0,FIXED(Fuelbeds_english!AF154*0.3048,1,0),AE154)</f>
        <v>0.5</v>
      </c>
      <c r="AG154" s="45">
        <v>75</v>
      </c>
      <c r="AH154" s="52" t="str">
        <f>+IF(AE154&gt;0,FIXED(Fuelbeds_english!AH154*2.242,1,0),AE154)</f>
        <v>0.4</v>
      </c>
      <c r="AI154" s="45">
        <v>39369</v>
      </c>
      <c r="AJ154" s="45" t="s">
        <v>391</v>
      </c>
      <c r="AK154" s="45">
        <v>100</v>
      </c>
      <c r="AL154" s="34">
        <v>11</v>
      </c>
      <c r="AM154" s="52" t="str">
        <f>+IF(AL154&gt;0,FIXED(Fuelbeds_english!AM154*2.54,1,0),AL154)</f>
        <v>2.0</v>
      </c>
      <c r="AN154" s="52" t="str">
        <f>+IF($AM154&gt;0,FIXED(Fuelbeds_english!AN154*2.242,1,0),$AM154)</f>
        <v>0.6</v>
      </c>
      <c r="AO154" s="52" t="str">
        <f>+IF($AM154&gt;0,FIXED(Fuelbeds_english!AO154*2.242,1,0),$AM154)</f>
        <v>1.1</v>
      </c>
      <c r="AP154" s="52" t="str">
        <f>+IF($AM154&gt;0,FIXED(Fuelbeds_english!AP154*2.242,1,0),$AM154)</f>
        <v>2.1</v>
      </c>
      <c r="AQ154" s="52" t="str">
        <f>+IF($AM154&gt;0,FIXED(Fuelbeds_english!AQ154*2.242,1,0),$AM154)</f>
        <v>2.5</v>
      </c>
      <c r="AR154" s="36">
        <v>19464</v>
      </c>
      <c r="AS154" s="45" t="s">
        <v>155</v>
      </c>
      <c r="AT154" s="45">
        <v>100</v>
      </c>
      <c r="AU154" s="44">
        <v>-1</v>
      </c>
      <c r="AV154" s="52">
        <f>+IF(AU154&gt;0,FIXED(Fuelbeds_english!AV154*2.54,1,0),AU154)</f>
        <v>-1</v>
      </c>
      <c r="AW154" s="52">
        <v>-1</v>
      </c>
      <c r="AX154" s="52">
        <v>-1</v>
      </c>
      <c r="AY154" s="52">
        <f>+IF(AX154&gt;0,FIXED(Fuelbeds_english!AY154*2.54,1,0),AX154)</f>
        <v>-1</v>
      </c>
      <c r="AZ154" s="45">
        <v>1</v>
      </c>
      <c r="BA154" s="36">
        <v>57</v>
      </c>
      <c r="BB154" s="52" t="str">
        <f>+IF(BA154&gt;0,FIXED(Fuelbeds_english!BB154*2.54,1,0),BA154)</f>
        <v>3.0</v>
      </c>
      <c r="BC154" s="45">
        <v>-1</v>
      </c>
      <c r="BD154" s="45">
        <v>-1</v>
      </c>
      <c r="BE154" s="45">
        <v>-1</v>
      </c>
      <c r="BF154" s="45">
        <v>-1</v>
      </c>
      <c r="BG154" s="45">
        <v>100</v>
      </c>
      <c r="BH154" s="45">
        <v>-1</v>
      </c>
      <c r="BI154" s="45">
        <v>-1</v>
      </c>
      <c r="BJ154" s="28">
        <v>1</v>
      </c>
      <c r="BK154" s="67">
        <v>47.64485959412638</v>
      </c>
      <c r="BL154" s="52" t="str">
        <f>+IF(BK154&gt;0,FIXED(Fuelbeds_english!BL154*2.54,1,0),BK154)</f>
        <v>1.5</v>
      </c>
      <c r="BM154" s="45">
        <v>3</v>
      </c>
      <c r="BN154" s="67">
        <v>38.10855205411648</v>
      </c>
      <c r="BO154" s="52" t="str">
        <f>+IF(BN154&gt;0,FIXED(Fuelbeds_english!BO154*2.54,1,0),BN154)</f>
        <v>0.8</v>
      </c>
    </row>
    <row r="155" spans="1:67" s="50" customFormat="1" x14ac:dyDescent="0.25">
      <c r="A155" s="50">
        <v>154</v>
      </c>
      <c r="B155" s="52" t="s">
        <v>261</v>
      </c>
      <c r="C155" s="68">
        <v>915061</v>
      </c>
      <c r="D155" s="22" t="s">
        <v>202</v>
      </c>
      <c r="E155" s="11" t="s">
        <v>16</v>
      </c>
      <c r="F155" s="39">
        <v>23</v>
      </c>
      <c r="G155" s="56">
        <v>23</v>
      </c>
      <c r="H155" s="45">
        <f>+IF(F155&gt;0,INT(Fuelbeds_english!H155*2.471),F155)</f>
        <v>44</v>
      </c>
      <c r="I155" s="36">
        <f>+IF(F155&gt;0,INT(Fuelbeds_english!I155*0.3048),F155)</f>
        <v>18</v>
      </c>
      <c r="J155" s="45">
        <f>+IF(F155&gt;0,INT(Fuelbeds_english!J155*0.3048),F155)</f>
        <v>11</v>
      </c>
      <c r="K155" s="45">
        <f>+IF(F155&gt;0,INT(Fuelbeds_english!K155*2.54),F155)</f>
        <v>36</v>
      </c>
      <c r="L155" s="36">
        <v>19478</v>
      </c>
      <c r="M155" s="36" t="s">
        <v>352</v>
      </c>
      <c r="N155" s="36">
        <v>100</v>
      </c>
      <c r="O155" s="43">
        <v>13.097021943573669</v>
      </c>
      <c r="P155" s="45">
        <f>+IF(O155&gt;0,INT(Fuelbeds_english!P155*2.471),O155)</f>
        <v>67</v>
      </c>
      <c r="Q155" s="36">
        <f>+IF(O155&gt;0,INT(Fuelbeds_english!Q155*0.3048),O155)</f>
        <v>12</v>
      </c>
      <c r="R155" s="45">
        <f>+IF(O155&gt;0,INT(Fuelbeds_english!R155*0.3048),O155)</f>
        <v>6</v>
      </c>
      <c r="S155" s="45">
        <f>+IF(O155&gt;0,INT(Fuelbeds_english!S155*2.54),O155)</f>
        <v>19</v>
      </c>
      <c r="T155" s="36">
        <v>19478</v>
      </c>
      <c r="U155" s="36" t="s">
        <v>352</v>
      </c>
      <c r="V155" s="36">
        <v>100</v>
      </c>
      <c r="W155" s="36">
        <v>1</v>
      </c>
      <c r="X155" s="98">
        <v>2</v>
      </c>
      <c r="Y155" s="29">
        <v>36.376109278350512</v>
      </c>
      <c r="Z155" s="88" t="str">
        <f>+IF(Y155&gt;0,FIXED(Fuelbeds_english!Z155*0.3048,1,0),Y155)</f>
        <v>2.0</v>
      </c>
      <c r="AA155" s="46">
        <v>85</v>
      </c>
      <c r="AB155" s="50">
        <v>23571</v>
      </c>
      <c r="AC155" s="50" t="s">
        <v>161</v>
      </c>
      <c r="AD155" s="50">
        <v>100</v>
      </c>
      <c r="AE155" s="42">
        <v>28</v>
      </c>
      <c r="AF155" s="52" t="str">
        <f>+IF(AE155&gt;0,FIXED(Fuelbeds_english!AF155*0.3048,1,0),AE155)</f>
        <v>0.5</v>
      </c>
      <c r="AG155" s="45">
        <v>75</v>
      </c>
      <c r="AH155" s="52" t="str">
        <f>+IF(AE155&gt;0,FIXED(Fuelbeds_english!AH155*2.242,1,0),AE155)</f>
        <v>0.6</v>
      </c>
      <c r="AI155" s="45">
        <v>39369</v>
      </c>
      <c r="AJ155" s="45" t="s">
        <v>391</v>
      </c>
      <c r="AK155" s="45">
        <v>100</v>
      </c>
      <c r="AL155" s="34">
        <v>5</v>
      </c>
      <c r="AM155" s="52" t="str">
        <f>+IF(AL155&gt;0,FIXED(Fuelbeds_english!AM155*2.54,1,0),AL155)</f>
        <v>2.0</v>
      </c>
      <c r="AN155" s="52" t="str">
        <f>+IF($AM155&gt;0,FIXED(Fuelbeds_english!AN155*2.242,1,0),$AM155)</f>
        <v>0.3</v>
      </c>
      <c r="AO155" s="52" t="str">
        <f>+IF($AM155&gt;0,FIXED(Fuelbeds_english!AO155*2.242,1,0),$AM155)</f>
        <v>0.5</v>
      </c>
      <c r="AP155" s="52" t="str">
        <f>+IF($AM155&gt;0,FIXED(Fuelbeds_english!AP155*2.242,1,0),$AM155)</f>
        <v>0.9</v>
      </c>
      <c r="AQ155" s="52" t="str">
        <f>+IF($AM155&gt;0,FIXED(Fuelbeds_english!AQ155*2.242,1,0),$AM155)</f>
        <v>1.1</v>
      </c>
      <c r="AR155" s="36">
        <v>19478</v>
      </c>
      <c r="AS155" s="45" t="s">
        <v>352</v>
      </c>
      <c r="AT155" s="45">
        <v>100</v>
      </c>
      <c r="AU155" s="44">
        <v>-1</v>
      </c>
      <c r="AV155" s="52">
        <f>+IF(AU155&gt;0,FIXED(Fuelbeds_english!AV155*2.54,1,0),AU155)</f>
        <v>-1</v>
      </c>
      <c r="AW155" s="52">
        <v>-1</v>
      </c>
      <c r="AX155" s="52">
        <v>-1</v>
      </c>
      <c r="AY155" s="52">
        <f>+IF(AX155&gt;0,FIXED(Fuelbeds_english!AY155*2.54,1,0),AX155)</f>
        <v>-1</v>
      </c>
      <c r="AZ155" s="45">
        <v>1</v>
      </c>
      <c r="BA155" s="36">
        <v>25</v>
      </c>
      <c r="BB155" s="52" t="str">
        <f>+IF(BA155&gt;0,FIXED(Fuelbeds_english!BB155*2.54,1,0),BA155)</f>
        <v>3.0</v>
      </c>
      <c r="BC155" s="45">
        <v>-1</v>
      </c>
      <c r="BD155" s="45">
        <v>-1</v>
      </c>
      <c r="BE155" s="45">
        <v>-1</v>
      </c>
      <c r="BF155" s="45">
        <v>100</v>
      </c>
      <c r="BG155" s="45">
        <v>-1</v>
      </c>
      <c r="BH155" s="45">
        <v>-1</v>
      </c>
      <c r="BI155" s="45">
        <v>-1</v>
      </c>
      <c r="BJ155" s="28">
        <v>1</v>
      </c>
      <c r="BK155" s="67">
        <v>20.703415278006929</v>
      </c>
      <c r="BL155" s="52" t="str">
        <f>+IF(BK155&gt;0,FIXED(Fuelbeds_english!BL155*2.54,1,0),BK155)</f>
        <v>1.5</v>
      </c>
      <c r="BM155" s="45">
        <v>3</v>
      </c>
      <c r="BN155" s="67">
        <v>16.559544629599078</v>
      </c>
      <c r="BO155" s="52" t="str">
        <f>+IF(BN155&gt;0,FIXED(Fuelbeds_english!BO155*2.54,1,0),BN155)</f>
        <v>0.8</v>
      </c>
    </row>
    <row r="156" spans="1:67" s="50" customFormat="1" x14ac:dyDescent="0.25">
      <c r="A156" s="50">
        <v>155</v>
      </c>
      <c r="B156" s="52" t="s">
        <v>262</v>
      </c>
      <c r="C156" s="68">
        <v>925061</v>
      </c>
      <c r="D156" s="22" t="s">
        <v>202</v>
      </c>
      <c r="E156" s="11" t="s">
        <v>16</v>
      </c>
      <c r="F156" s="39">
        <v>55.9</v>
      </c>
      <c r="G156" s="56">
        <v>55.9</v>
      </c>
      <c r="H156" s="45">
        <f>+IF(F156&gt;0,INT(Fuelbeds_english!H156*2.471),F156)</f>
        <v>107</v>
      </c>
      <c r="I156" s="36">
        <f>+IF(F156&gt;0,INT(Fuelbeds_english!I156*0.3048),F156)</f>
        <v>22</v>
      </c>
      <c r="J156" s="45">
        <f>+IF(F156&gt;0,INT(Fuelbeds_english!J156*0.3048),F156)</f>
        <v>13</v>
      </c>
      <c r="K156" s="45">
        <f>+IF(F156&gt;0,INT(Fuelbeds_english!K156*2.54),F156)</f>
        <v>42</v>
      </c>
      <c r="L156" s="36">
        <v>19478</v>
      </c>
      <c r="M156" s="36" t="s">
        <v>352</v>
      </c>
      <c r="N156" s="36">
        <v>100</v>
      </c>
      <c r="O156" s="43">
        <v>31.831457680250782</v>
      </c>
      <c r="P156" s="45">
        <f>+IF(O156&gt;0,INT(Fuelbeds_english!P156*2.471),O156)</f>
        <v>162</v>
      </c>
      <c r="Q156" s="36">
        <f>+IF(O156&gt;0,INT(Fuelbeds_english!Q156*0.3048),O156)</f>
        <v>14</v>
      </c>
      <c r="R156" s="45">
        <f>+IF(O156&gt;0,INT(Fuelbeds_english!R156*0.3048),O156)</f>
        <v>8</v>
      </c>
      <c r="S156" s="45">
        <f>+IF(O156&gt;0,INT(Fuelbeds_english!S156*2.54),O156)</f>
        <v>22</v>
      </c>
      <c r="T156" s="36">
        <v>19478</v>
      </c>
      <c r="U156" s="36" t="s">
        <v>352</v>
      </c>
      <c r="V156" s="36">
        <v>100</v>
      </c>
      <c r="W156" s="36">
        <v>1</v>
      </c>
      <c r="X156" s="98">
        <v>2</v>
      </c>
      <c r="Y156" s="29">
        <v>24.473871134020616</v>
      </c>
      <c r="Z156" s="88" t="str">
        <f>+IF(Y156&gt;0,FIXED(Fuelbeds_english!Z156*0.3048,1,0),Y156)</f>
        <v>2.0</v>
      </c>
      <c r="AA156" s="46">
        <v>85</v>
      </c>
      <c r="AB156" s="50">
        <v>23571</v>
      </c>
      <c r="AC156" s="50" t="s">
        <v>161</v>
      </c>
      <c r="AD156" s="50">
        <v>100</v>
      </c>
      <c r="AE156" s="42">
        <v>19</v>
      </c>
      <c r="AF156" s="52" t="str">
        <f>+IF(AE156&gt;0,FIXED(Fuelbeds_english!AF156*0.3048,1,0),AE156)</f>
        <v>0.5</v>
      </c>
      <c r="AG156" s="45">
        <v>75</v>
      </c>
      <c r="AH156" s="52" t="str">
        <f>+IF(AE156&gt;0,FIXED(Fuelbeds_english!AH156*2.242,1,0),AE156)</f>
        <v>0.4</v>
      </c>
      <c r="AI156" s="45">
        <v>39369</v>
      </c>
      <c r="AJ156" s="45" t="s">
        <v>391</v>
      </c>
      <c r="AK156" s="45">
        <v>100</v>
      </c>
      <c r="AL156" s="34">
        <v>12</v>
      </c>
      <c r="AM156" s="52" t="str">
        <f>+IF(AL156&gt;0,FIXED(Fuelbeds_english!AM156*2.54,1,0),AL156)</f>
        <v>2.0</v>
      </c>
      <c r="AN156" s="52" t="str">
        <f>+IF($AM156&gt;0,FIXED(Fuelbeds_english!AN156*2.242,1,0),$AM156)</f>
        <v>0.7</v>
      </c>
      <c r="AO156" s="52" t="str">
        <f>+IF($AM156&gt;0,FIXED(Fuelbeds_english!AO156*2.242,1,0),$AM156)</f>
        <v>1.1</v>
      </c>
      <c r="AP156" s="52" t="str">
        <f>+IF($AM156&gt;0,FIXED(Fuelbeds_english!AP156*2.242,1,0),$AM156)</f>
        <v>2.2</v>
      </c>
      <c r="AQ156" s="52" t="str">
        <f>+IF($AM156&gt;0,FIXED(Fuelbeds_english!AQ156*2.242,1,0),$AM156)</f>
        <v>2.6</v>
      </c>
      <c r="AR156" s="36">
        <v>19478</v>
      </c>
      <c r="AS156" s="45" t="s">
        <v>352</v>
      </c>
      <c r="AT156" s="45">
        <v>100</v>
      </c>
      <c r="AU156" s="44">
        <v>-1</v>
      </c>
      <c r="AV156" s="52">
        <f>+IF(AU156&gt;0,FIXED(Fuelbeds_english!AV156*2.54,1,0),AU156)</f>
        <v>-1</v>
      </c>
      <c r="AW156" s="52">
        <v>-1</v>
      </c>
      <c r="AX156" s="52">
        <v>-1</v>
      </c>
      <c r="AY156" s="52">
        <f>+IF(AX156&gt;0,FIXED(Fuelbeds_english!AY156*2.54,1,0),AX156)</f>
        <v>-1</v>
      </c>
      <c r="AZ156" s="45">
        <v>1</v>
      </c>
      <c r="BA156" s="36">
        <v>61</v>
      </c>
      <c r="BB156" s="52" t="str">
        <f>+IF(BA156&gt;0,FIXED(Fuelbeds_english!BB156*2.54,1,0),BA156)</f>
        <v>3.0</v>
      </c>
      <c r="BC156" s="45">
        <v>-1</v>
      </c>
      <c r="BD156" s="45">
        <v>-1</v>
      </c>
      <c r="BE156" s="45">
        <v>-1</v>
      </c>
      <c r="BF156" s="45">
        <v>100</v>
      </c>
      <c r="BG156" s="45">
        <v>-1</v>
      </c>
      <c r="BH156" s="45">
        <v>-1</v>
      </c>
      <c r="BI156" s="45">
        <v>-1</v>
      </c>
      <c r="BJ156" s="28">
        <v>1</v>
      </c>
      <c r="BK156" s="67">
        <v>50.318300610460319</v>
      </c>
      <c r="BL156" s="52" t="str">
        <f>+IF(BK156&gt;0,FIXED(Fuelbeds_english!BL156*2.54,1,0),BK156)</f>
        <v>1.5</v>
      </c>
      <c r="BM156" s="45">
        <v>3</v>
      </c>
      <c r="BN156" s="67">
        <v>40.246893251938623</v>
      </c>
      <c r="BO156" s="52" t="str">
        <f>+IF(BN156&gt;0,FIXED(Fuelbeds_english!BO156*2.54,1,0),BN156)</f>
        <v>0.8</v>
      </c>
    </row>
    <row r="157" spans="1:67" s="50" customFormat="1" x14ac:dyDescent="0.25">
      <c r="A157" s="50">
        <v>156</v>
      </c>
      <c r="B157" s="52" t="s">
        <v>263</v>
      </c>
      <c r="C157" s="68">
        <v>935061</v>
      </c>
      <c r="D157" s="22" t="s">
        <v>202</v>
      </c>
      <c r="E157" s="11" t="s">
        <v>16</v>
      </c>
      <c r="F157" s="39">
        <v>73.5</v>
      </c>
      <c r="G157" s="56">
        <v>73.5</v>
      </c>
      <c r="H157" s="45">
        <f>+IF(F157&gt;0,INT(Fuelbeds_english!H157*2.471),F157)</f>
        <v>141</v>
      </c>
      <c r="I157" s="36">
        <f>+IF(F157&gt;0,INT(Fuelbeds_english!I157*0.3048),F157)</f>
        <v>24</v>
      </c>
      <c r="J157" s="45">
        <f>+IF(F157&gt;0,INT(Fuelbeds_english!J157*0.3048),F157)</f>
        <v>14</v>
      </c>
      <c r="K157" s="45">
        <f>+IF(F157&gt;0,INT(Fuelbeds_english!K157*2.54),F157)</f>
        <v>47</v>
      </c>
      <c r="L157" s="36">
        <v>19478</v>
      </c>
      <c r="M157" s="36" t="s">
        <v>352</v>
      </c>
      <c r="N157" s="36">
        <v>100</v>
      </c>
      <c r="O157" s="43">
        <v>41.853526645768028</v>
      </c>
      <c r="P157" s="45">
        <f>+IF(O157&gt;0,INT(Fuelbeds_english!P157*2.471),O157)</f>
        <v>214</v>
      </c>
      <c r="Q157" s="36">
        <f>+IF(O157&gt;0,INT(Fuelbeds_english!Q157*0.3048),O157)</f>
        <v>15</v>
      </c>
      <c r="R157" s="45">
        <f>+IF(O157&gt;0,INT(Fuelbeds_english!R157*0.3048),O157)</f>
        <v>8</v>
      </c>
      <c r="S157" s="45">
        <f>+IF(O157&gt;0,INT(Fuelbeds_english!S157*2.54),O157)</f>
        <v>25</v>
      </c>
      <c r="T157" s="36">
        <v>19478</v>
      </c>
      <c r="U157" s="36" t="s">
        <v>352</v>
      </c>
      <c r="V157" s="36">
        <v>100</v>
      </c>
      <c r="W157" s="36">
        <v>1</v>
      </c>
      <c r="X157" s="98">
        <v>2</v>
      </c>
      <c r="Y157" s="29">
        <v>14.88917525773196</v>
      </c>
      <c r="Z157" s="88" t="str">
        <f>+IF(Y157&gt;0,FIXED(Fuelbeds_english!Z157*0.3048,1,0),Y157)</f>
        <v>2.0</v>
      </c>
      <c r="AA157" s="46">
        <v>85</v>
      </c>
      <c r="AB157" s="50">
        <v>23571</v>
      </c>
      <c r="AC157" s="50" t="s">
        <v>161</v>
      </c>
      <c r="AD157" s="50">
        <v>100</v>
      </c>
      <c r="AE157" s="42">
        <v>12</v>
      </c>
      <c r="AF157" s="52" t="str">
        <f>+IF(AE157&gt;0,FIXED(Fuelbeds_english!AF157*0.3048,1,0),AE157)</f>
        <v>0.5</v>
      </c>
      <c r="AG157" s="45">
        <v>75</v>
      </c>
      <c r="AH157" s="52" t="str">
        <f>+IF(AE157&gt;0,FIXED(Fuelbeds_english!AH157*2.242,1,0),AE157)</f>
        <v>0.2</v>
      </c>
      <c r="AI157" s="45">
        <v>39369</v>
      </c>
      <c r="AJ157" s="45" t="s">
        <v>391</v>
      </c>
      <c r="AK157" s="45">
        <v>100</v>
      </c>
      <c r="AL157" s="34">
        <v>15</v>
      </c>
      <c r="AM157" s="52" t="str">
        <f>+IF(AL157&gt;0,FIXED(Fuelbeds_english!AM157*2.54,1,0),AL157)</f>
        <v>2.0</v>
      </c>
      <c r="AN157" s="52" t="str">
        <f>+IF($AM157&gt;0,FIXED(Fuelbeds_english!AN157*2.242,1,0),$AM157)</f>
        <v>0.9</v>
      </c>
      <c r="AO157" s="52" t="str">
        <f>+IF($AM157&gt;0,FIXED(Fuelbeds_english!AO157*2.242,1,0),$AM157)</f>
        <v>1.5</v>
      </c>
      <c r="AP157" s="52" t="str">
        <f>+IF($AM157&gt;0,FIXED(Fuelbeds_english!AP157*2.242,1,0),$AM157)</f>
        <v>2.9</v>
      </c>
      <c r="AQ157" s="52" t="str">
        <f>+IF($AM157&gt;0,FIXED(Fuelbeds_english!AQ157*2.242,1,0),$AM157)</f>
        <v>3.4</v>
      </c>
      <c r="AR157" s="36">
        <v>19478</v>
      </c>
      <c r="AS157" s="45" t="s">
        <v>352</v>
      </c>
      <c r="AT157" s="45">
        <v>100</v>
      </c>
      <c r="AU157" s="44">
        <v>-1</v>
      </c>
      <c r="AV157" s="52">
        <f>+IF(AU157&gt;0,FIXED(Fuelbeds_english!AV157*2.54,1,0),AU157)</f>
        <v>-1</v>
      </c>
      <c r="AW157" s="52">
        <v>-1</v>
      </c>
      <c r="AX157" s="52">
        <v>-1</v>
      </c>
      <c r="AY157" s="52">
        <f>+IF(AX157&gt;0,FIXED(Fuelbeds_english!AY157*2.54,1,0),AX157)</f>
        <v>-1</v>
      </c>
      <c r="AZ157" s="45">
        <v>1</v>
      </c>
      <c r="BA157" s="36">
        <v>80</v>
      </c>
      <c r="BB157" s="52" t="str">
        <f>+IF(BA157&gt;0,FIXED(Fuelbeds_english!BB157*2.54,1,0),BA157)</f>
        <v>3.0</v>
      </c>
      <c r="BC157" s="45">
        <v>-1</v>
      </c>
      <c r="BD157" s="45">
        <v>-1</v>
      </c>
      <c r="BE157" s="45">
        <v>-1</v>
      </c>
      <c r="BF157" s="45">
        <v>100</v>
      </c>
      <c r="BG157" s="45">
        <v>-1</v>
      </c>
      <c r="BH157" s="45">
        <v>-1</v>
      </c>
      <c r="BI157" s="45">
        <v>-1</v>
      </c>
      <c r="BJ157" s="28">
        <v>1</v>
      </c>
      <c r="BK157" s="67">
        <v>66.160914040587357</v>
      </c>
      <c r="BL157" s="52" t="str">
        <f>+IF(BK157&gt;0,FIXED(Fuelbeds_english!BL157*2.54,1,0),BK157)</f>
        <v>1.5</v>
      </c>
      <c r="BM157" s="45">
        <v>3</v>
      </c>
      <c r="BN157" s="67">
        <v>52.91854479458835</v>
      </c>
      <c r="BO157" s="52" t="str">
        <f>+IF(BN157&gt;0,FIXED(Fuelbeds_english!BO157*2.54,1,0),BN157)</f>
        <v>0.8</v>
      </c>
    </row>
    <row r="158" spans="1:67" s="50" customFormat="1" x14ac:dyDescent="0.25">
      <c r="A158" s="50">
        <v>157</v>
      </c>
      <c r="B158" s="52" t="s">
        <v>264</v>
      </c>
      <c r="C158" s="68">
        <v>915091</v>
      </c>
      <c r="D158" s="22" t="s">
        <v>202</v>
      </c>
      <c r="E158" s="24" t="s">
        <v>353</v>
      </c>
      <c r="F158" s="39">
        <v>23</v>
      </c>
      <c r="G158" s="36">
        <v>23</v>
      </c>
      <c r="H158" s="45">
        <f>+IF(F158&gt;0,INT(Fuelbeds_english!H158*2.471),F158)</f>
        <v>76</v>
      </c>
      <c r="I158" s="36">
        <f>+IF(F158&gt;0,INT(Fuelbeds_english!I158*0.3048),F158)</f>
        <v>20</v>
      </c>
      <c r="J158" s="45">
        <f>+IF(F158&gt;0,INT(Fuelbeds_english!J158*0.3048),F158)</f>
        <v>8</v>
      </c>
      <c r="K158" s="45">
        <f>+IF(F158&gt;0,INT(Fuelbeds_english!K158*2.54),F158)</f>
        <v>30</v>
      </c>
      <c r="L158" s="55" t="s">
        <v>387</v>
      </c>
      <c r="M158" s="36" t="s">
        <v>386</v>
      </c>
      <c r="N158" s="36" t="s">
        <v>156</v>
      </c>
      <c r="O158" s="36">
        <v>12.988235294117647</v>
      </c>
      <c r="P158" s="45">
        <f>+IF(O158&gt;0,INT(Fuelbeds_english!P158*2.471),O158)</f>
        <v>180</v>
      </c>
      <c r="Q158" s="36">
        <f>+IF(O158&gt;0,INT(Fuelbeds_english!Q158*0.3048),O158)</f>
        <v>10</v>
      </c>
      <c r="R158" s="45">
        <f>+IF(O158&gt;0,INT(Fuelbeds_english!R158*0.3048),O158)</f>
        <v>4</v>
      </c>
      <c r="S158" s="45">
        <f>+IF(O158&gt;0,INT(Fuelbeds_english!S158*2.54),O158)</f>
        <v>21</v>
      </c>
      <c r="T158" s="36" t="s">
        <v>387</v>
      </c>
      <c r="U158" s="36" t="s">
        <v>386</v>
      </c>
      <c r="V158" s="36" t="s">
        <v>156</v>
      </c>
      <c r="W158" s="36">
        <v>1</v>
      </c>
      <c r="X158" s="98">
        <v>2</v>
      </c>
      <c r="Y158" s="29">
        <v>32</v>
      </c>
      <c r="Z158" s="88" t="str">
        <f>+IF(Y158&gt;0,FIXED(Fuelbeds_english!Z158*0.3048,1,0),Y158)</f>
        <v>1.2</v>
      </c>
      <c r="AA158" s="46">
        <v>85</v>
      </c>
      <c r="AB158" s="50">
        <v>23571</v>
      </c>
      <c r="AC158" s="50" t="s">
        <v>161</v>
      </c>
      <c r="AD158" s="50">
        <v>100</v>
      </c>
      <c r="AE158" s="42">
        <v>25</v>
      </c>
      <c r="AF158" s="52" t="str">
        <f>+IF(AE158&gt;0,FIXED(Fuelbeds_english!AF158*0.3048,1,0),AE158)</f>
        <v>0.4</v>
      </c>
      <c r="AG158" s="45">
        <v>80</v>
      </c>
      <c r="AH158" s="52" t="str">
        <f>+IF(AE158&gt;0,FIXED(Fuelbeds_english!AH158*2.242,1,0),AE158)</f>
        <v>0.5</v>
      </c>
      <c r="AI158" s="53" t="s">
        <v>395</v>
      </c>
      <c r="AJ158" s="45" t="s">
        <v>394</v>
      </c>
      <c r="AK158" s="45" t="s">
        <v>156</v>
      </c>
      <c r="AL158" s="82">
        <v>17.042361111111113</v>
      </c>
      <c r="AM158" s="52" t="str">
        <f>+IF(AL158&gt;0,FIXED(Fuelbeds_english!AM158*2.54,1,0),AL158)</f>
        <v>7.1</v>
      </c>
      <c r="AN158" s="52" t="str">
        <f>+IF($AM158&gt;0,FIXED(Fuelbeds_english!AN158*2.242,1,0),$AM158)</f>
        <v>0.4</v>
      </c>
      <c r="AO158" s="52" t="str">
        <f>+IF($AM158&gt;0,FIXED(Fuelbeds_english!AO158*2.242,1,0),$AM158)</f>
        <v>1.0</v>
      </c>
      <c r="AP158" s="52" t="str">
        <f>+IF($AM158&gt;0,FIXED(Fuelbeds_english!AP158*2.242,1,0),$AM158)</f>
        <v>1.5</v>
      </c>
      <c r="AQ158" s="52" t="str">
        <f>+IF($AM158&gt;0,FIXED(Fuelbeds_english!AQ158*2.242,1,0),$AM158)</f>
        <v>3.0</v>
      </c>
      <c r="AR158" s="36" t="s">
        <v>387</v>
      </c>
      <c r="AS158" s="45" t="s">
        <v>386</v>
      </c>
      <c r="AT158" s="45" t="s">
        <v>156</v>
      </c>
      <c r="AU158" s="44">
        <v>3</v>
      </c>
      <c r="AV158" s="52" t="str">
        <f>+IF(AU158&gt;0,FIXED(Fuelbeds_english!AV158*2.54,1,0),AU158)</f>
        <v>0.5</v>
      </c>
      <c r="AW158" s="88">
        <v>2</v>
      </c>
      <c r="AX158" s="88">
        <v>13</v>
      </c>
      <c r="AY158" s="52" t="str">
        <f>+IF(AX158&gt;0,FIXED(Fuelbeds_english!AY158*2.54,1,0),AX158)</f>
        <v>1.5</v>
      </c>
      <c r="AZ158" s="45">
        <v>1</v>
      </c>
      <c r="BA158" s="36">
        <v>27</v>
      </c>
      <c r="BB158" s="52" t="str">
        <f>+IF(BA158&gt;0,FIXED(Fuelbeds_english!BB158*2.54,1,0),BA158)</f>
        <v>2.0</v>
      </c>
      <c r="BC158" s="45">
        <v>50</v>
      </c>
      <c r="BD158" s="45">
        <v>-1</v>
      </c>
      <c r="BE158" s="45">
        <v>50</v>
      </c>
      <c r="BF158" s="45">
        <v>-1</v>
      </c>
      <c r="BG158" s="45">
        <v>-1</v>
      </c>
      <c r="BH158" s="45">
        <v>-1</v>
      </c>
      <c r="BI158" s="45">
        <v>-1</v>
      </c>
      <c r="BJ158" s="28">
        <v>1</v>
      </c>
      <c r="BK158" s="36">
        <v>29</v>
      </c>
      <c r="BL158" s="52" t="str">
        <f>+IF(BK158&gt;0,FIXED(Fuelbeds_english!BL158*2.54,1,0),BK158)</f>
        <v>1.8</v>
      </c>
      <c r="BM158" s="45">
        <v>3</v>
      </c>
      <c r="BN158" s="36">
        <v>28</v>
      </c>
      <c r="BO158" s="52" t="str">
        <f>+IF(BN158&gt;0,FIXED(Fuelbeds_english!BO158*2.54,1,0),BN158)</f>
        <v>2.0</v>
      </c>
    </row>
    <row r="159" spans="1:67" s="50" customFormat="1" x14ac:dyDescent="0.25">
      <c r="A159" s="50">
        <v>158</v>
      </c>
      <c r="B159" s="52" t="s">
        <v>265</v>
      </c>
      <c r="C159" s="68">
        <v>925091</v>
      </c>
      <c r="D159" s="22" t="s">
        <v>202</v>
      </c>
      <c r="E159" s="24" t="s">
        <v>353</v>
      </c>
      <c r="F159" s="39">
        <v>58</v>
      </c>
      <c r="G159" s="36">
        <v>58</v>
      </c>
      <c r="H159" s="45">
        <f>+IF(F159&gt;0,INT(Fuelbeds_english!H159*2.471),F159)</f>
        <v>193</v>
      </c>
      <c r="I159" s="36">
        <f>+IF(F159&gt;0,INT(Fuelbeds_english!I159*0.3048),F159)</f>
        <v>23</v>
      </c>
      <c r="J159" s="45">
        <f>+IF(F159&gt;0,INT(Fuelbeds_english!J159*0.3048),F159)</f>
        <v>9</v>
      </c>
      <c r="K159" s="45">
        <f>+IF(F159&gt;0,INT(Fuelbeds_english!K159*2.54),F159)</f>
        <v>30</v>
      </c>
      <c r="L159" s="36" t="s">
        <v>387</v>
      </c>
      <c r="M159" s="36" t="s">
        <v>386</v>
      </c>
      <c r="N159" s="36" t="s">
        <v>156</v>
      </c>
      <c r="O159" s="36">
        <v>32.752941176470593</v>
      </c>
      <c r="P159" s="45">
        <f>+IF(O159&gt;0,INT(Fuelbeds_english!P159*2.471),O159)</f>
        <v>454</v>
      </c>
      <c r="Q159" s="36">
        <f>+IF(O159&gt;0,INT(Fuelbeds_english!Q159*0.3048),O159)</f>
        <v>12</v>
      </c>
      <c r="R159" s="45">
        <f>+IF(O159&gt;0,INT(Fuelbeds_english!R159*0.3048),O159)</f>
        <v>5</v>
      </c>
      <c r="S159" s="45">
        <f>+IF(O159&gt;0,INT(Fuelbeds_english!S159*2.54),O159)</f>
        <v>22</v>
      </c>
      <c r="T159" s="36" t="s">
        <v>387</v>
      </c>
      <c r="U159" s="36" t="s">
        <v>386</v>
      </c>
      <c r="V159" s="36" t="s">
        <v>156</v>
      </c>
      <c r="W159" s="36">
        <v>1</v>
      </c>
      <c r="X159" s="98">
        <v>2</v>
      </c>
      <c r="Y159" s="29">
        <v>21</v>
      </c>
      <c r="Z159" s="88" t="str">
        <f>+IF(Y159&gt;0,FIXED(Fuelbeds_english!Z159*0.3048,1,0),Y159)</f>
        <v>1.2</v>
      </c>
      <c r="AA159" s="46">
        <v>85</v>
      </c>
      <c r="AB159" s="50">
        <v>23571</v>
      </c>
      <c r="AC159" s="50" t="s">
        <v>161</v>
      </c>
      <c r="AD159" s="50">
        <v>100</v>
      </c>
      <c r="AE159" s="42">
        <v>16</v>
      </c>
      <c r="AF159" s="52" t="str">
        <f>+IF(AE159&gt;0,FIXED(Fuelbeds_english!AF159*0.3048,1,0),AE159)</f>
        <v>0.4</v>
      </c>
      <c r="AG159" s="45">
        <v>80</v>
      </c>
      <c r="AH159" s="52" t="str">
        <f>+IF(AE159&gt;0,FIXED(Fuelbeds_english!AH159*2.242,1,0),AE159)</f>
        <v>0.3</v>
      </c>
      <c r="AI159" s="45" t="s">
        <v>395</v>
      </c>
      <c r="AJ159" s="45" t="s">
        <v>394</v>
      </c>
      <c r="AK159" s="45" t="s">
        <v>156</v>
      </c>
      <c r="AL159" s="82">
        <v>42.976388888888891</v>
      </c>
      <c r="AM159" s="52" t="str">
        <f>+IF(AL159&gt;0,FIXED(Fuelbeds_english!AM159*2.54,1,0),AL159)</f>
        <v>7.1</v>
      </c>
      <c r="AN159" s="52" t="str">
        <f>+IF($AM159&gt;0,FIXED(Fuelbeds_english!AN159*2.242,1,0),$AM159)</f>
        <v>0.9</v>
      </c>
      <c r="AO159" s="52" t="str">
        <f>+IF($AM159&gt;0,FIXED(Fuelbeds_english!AO159*2.242,1,0),$AM159)</f>
        <v>2.4</v>
      </c>
      <c r="AP159" s="52" t="str">
        <f>+IF($AM159&gt;0,FIXED(Fuelbeds_english!AP159*2.242,1,0),$AM159)</f>
        <v>3.9</v>
      </c>
      <c r="AQ159" s="52" t="str">
        <f>+IF($AM159&gt;0,FIXED(Fuelbeds_english!AQ159*2.242,1,0),$AM159)</f>
        <v>7.5</v>
      </c>
      <c r="AR159" s="36" t="s">
        <v>387</v>
      </c>
      <c r="AS159" s="45" t="s">
        <v>386</v>
      </c>
      <c r="AT159" s="45" t="s">
        <v>156</v>
      </c>
      <c r="AU159" s="44">
        <v>3</v>
      </c>
      <c r="AV159" s="52" t="str">
        <f>+IF(AU159&gt;0,FIXED(Fuelbeds_english!AV159*2.54,1,0),AU159)</f>
        <v>0.5</v>
      </c>
      <c r="AW159" s="88">
        <v>2</v>
      </c>
      <c r="AX159" s="88">
        <v>13</v>
      </c>
      <c r="AY159" s="52" t="str">
        <f>+IF(AX159&gt;0,FIXED(Fuelbeds_english!AY159*2.54,1,0),AX159)</f>
        <v>1.5</v>
      </c>
      <c r="AZ159" s="45">
        <v>1</v>
      </c>
      <c r="BA159" s="36">
        <v>67</v>
      </c>
      <c r="BB159" s="52" t="str">
        <f>+IF(BA159&gt;0,FIXED(Fuelbeds_english!BB159*2.54,1,0),BA159)</f>
        <v>2.0</v>
      </c>
      <c r="BC159" s="45">
        <v>50</v>
      </c>
      <c r="BD159" s="45">
        <v>-1</v>
      </c>
      <c r="BE159" s="45">
        <v>50</v>
      </c>
      <c r="BF159" s="45">
        <v>-1</v>
      </c>
      <c r="BG159" s="45">
        <v>-1</v>
      </c>
      <c r="BH159" s="45">
        <v>-1</v>
      </c>
      <c r="BI159" s="45">
        <v>-1</v>
      </c>
      <c r="BJ159" s="28">
        <v>1</v>
      </c>
      <c r="BK159" s="36">
        <v>73</v>
      </c>
      <c r="BL159" s="52" t="str">
        <f>+IF(BK159&gt;0,FIXED(Fuelbeds_english!BL159*2.54,1,0),BK159)</f>
        <v>1.8</v>
      </c>
      <c r="BM159" s="45">
        <v>3</v>
      </c>
      <c r="BN159" s="36">
        <v>70</v>
      </c>
      <c r="BO159" s="52" t="str">
        <f>+IF(BN159&gt;0,FIXED(Fuelbeds_english!BO159*2.54,1,0),BN159)</f>
        <v>2.0</v>
      </c>
    </row>
    <row r="160" spans="1:67" s="50" customFormat="1" x14ac:dyDescent="0.25">
      <c r="A160" s="50">
        <v>159</v>
      </c>
      <c r="B160" s="52" t="s">
        <v>266</v>
      </c>
      <c r="C160" s="68">
        <v>935091</v>
      </c>
      <c r="D160" s="22" t="s">
        <v>202</v>
      </c>
      <c r="E160" s="24" t="s">
        <v>353</v>
      </c>
      <c r="F160" s="39">
        <v>74</v>
      </c>
      <c r="G160" s="36">
        <v>74</v>
      </c>
      <c r="H160" s="45">
        <f>+IF(F160&gt;0,INT(Fuelbeds_english!H160*2.471),F160)</f>
        <v>246</v>
      </c>
      <c r="I160" s="36">
        <f>+IF(F160&gt;0,INT(Fuelbeds_english!I160*0.3048),F160)</f>
        <v>28</v>
      </c>
      <c r="J160" s="45">
        <f>+IF(F160&gt;0,INT(Fuelbeds_english!J160*0.3048),F160)</f>
        <v>11</v>
      </c>
      <c r="K160" s="45">
        <f>+IF(F160&gt;0,INT(Fuelbeds_english!K160*2.54),F160)</f>
        <v>30</v>
      </c>
      <c r="L160" s="36" t="s">
        <v>387</v>
      </c>
      <c r="M160" s="36" t="s">
        <v>386</v>
      </c>
      <c r="N160" s="36" t="s">
        <v>156</v>
      </c>
      <c r="O160" s="36">
        <v>41.788235294117648</v>
      </c>
      <c r="P160" s="45">
        <f>+IF(O160&gt;0,INT(Fuelbeds_english!P160*2.471),O160)</f>
        <v>579</v>
      </c>
      <c r="Q160" s="36">
        <f>+IF(O160&gt;0,INT(Fuelbeds_english!Q160*0.3048),O160)</f>
        <v>15</v>
      </c>
      <c r="R160" s="45">
        <f>+IF(O160&gt;0,INT(Fuelbeds_english!R160*0.3048),O160)</f>
        <v>6</v>
      </c>
      <c r="S160" s="45">
        <f>+IF(O160&gt;0,INT(Fuelbeds_english!S160*2.54),O160)</f>
        <v>17</v>
      </c>
      <c r="T160" s="36" t="s">
        <v>387</v>
      </c>
      <c r="U160" s="36" t="s">
        <v>386</v>
      </c>
      <c r="V160" s="36" t="s">
        <v>156</v>
      </c>
      <c r="W160" s="36">
        <v>1</v>
      </c>
      <c r="X160" s="98">
        <v>2</v>
      </c>
      <c r="Y160" s="29">
        <v>15</v>
      </c>
      <c r="Z160" s="88" t="str">
        <f>+IF(Y160&gt;0,FIXED(Fuelbeds_english!Z160*0.3048,1,0),Y160)</f>
        <v>1.2</v>
      </c>
      <c r="AA160" s="46">
        <v>85</v>
      </c>
      <c r="AB160" s="50">
        <v>23571</v>
      </c>
      <c r="AC160" s="50" t="s">
        <v>161</v>
      </c>
      <c r="AD160" s="50">
        <v>100</v>
      </c>
      <c r="AE160" s="42">
        <v>11</v>
      </c>
      <c r="AF160" s="52" t="str">
        <f>+IF(AE160&gt;0,FIXED(Fuelbeds_english!AF160*0.3048,1,0),AE160)</f>
        <v>0.4</v>
      </c>
      <c r="AG160" s="45">
        <v>80</v>
      </c>
      <c r="AH160" s="52" t="str">
        <f>+IF(AE160&gt;0,FIXED(Fuelbeds_english!AH160*2.242,1,0),AE160)</f>
        <v>0.2</v>
      </c>
      <c r="AI160" s="45" t="s">
        <v>395</v>
      </c>
      <c r="AJ160" s="45" t="s">
        <v>394</v>
      </c>
      <c r="AK160" s="45" t="s">
        <v>156</v>
      </c>
      <c r="AL160" s="82">
        <v>54.831944444444453</v>
      </c>
      <c r="AM160" s="52" t="str">
        <f>+IF(AL160&gt;0,FIXED(Fuelbeds_english!AM160*2.54,1,0),AL160)</f>
        <v>7.1</v>
      </c>
      <c r="AN160" s="52" t="str">
        <f>+IF($AM160&gt;0,FIXED(Fuelbeds_english!AN160*2.242,1,0),$AM160)</f>
        <v>1.1</v>
      </c>
      <c r="AO160" s="52" t="str">
        <f>+IF($AM160&gt;0,FIXED(Fuelbeds_english!AO160*2.242,1,0),$AM160)</f>
        <v>3.1</v>
      </c>
      <c r="AP160" s="52" t="str">
        <f>+IF($AM160&gt;0,FIXED(Fuelbeds_english!AP160*2.242,1,0),$AM160)</f>
        <v>5.0</v>
      </c>
      <c r="AQ160" s="52" t="str">
        <f>+IF($AM160&gt;0,FIXED(Fuelbeds_english!AQ160*2.242,1,0),$AM160)</f>
        <v>9.6</v>
      </c>
      <c r="AR160" s="36" t="s">
        <v>387</v>
      </c>
      <c r="AS160" s="45" t="s">
        <v>386</v>
      </c>
      <c r="AT160" s="45" t="s">
        <v>156</v>
      </c>
      <c r="AU160" s="44">
        <v>3</v>
      </c>
      <c r="AV160" s="52" t="str">
        <f>+IF(AU160&gt;0,FIXED(Fuelbeds_english!AV160*2.54,1,0),AU160)</f>
        <v>0.5</v>
      </c>
      <c r="AW160" s="88">
        <v>2</v>
      </c>
      <c r="AX160" s="88">
        <v>13</v>
      </c>
      <c r="AY160" s="52" t="str">
        <f>+IF(AX160&gt;0,FIXED(Fuelbeds_english!AY160*2.54,1,0),AX160)</f>
        <v>1.5</v>
      </c>
      <c r="AZ160" s="45">
        <v>1</v>
      </c>
      <c r="BA160" s="36">
        <v>86</v>
      </c>
      <c r="BB160" s="52" t="str">
        <f>+IF(BA160&gt;0,FIXED(Fuelbeds_english!BB160*2.54,1,0),BA160)</f>
        <v>2.0</v>
      </c>
      <c r="BC160" s="45">
        <v>50</v>
      </c>
      <c r="BD160" s="45">
        <v>-1</v>
      </c>
      <c r="BE160" s="45">
        <v>50</v>
      </c>
      <c r="BF160" s="45">
        <v>-1</v>
      </c>
      <c r="BG160" s="45">
        <v>-1</v>
      </c>
      <c r="BH160" s="45">
        <v>-1</v>
      </c>
      <c r="BI160" s="45">
        <v>-1</v>
      </c>
      <c r="BJ160" s="28">
        <v>1</v>
      </c>
      <c r="BK160" s="36">
        <v>93</v>
      </c>
      <c r="BL160" s="52" t="str">
        <f>+IF(BK160&gt;0,FIXED(Fuelbeds_english!BL160*2.54,1,0),BK160)</f>
        <v>1.8</v>
      </c>
      <c r="BM160" s="45">
        <v>3</v>
      </c>
      <c r="BN160" s="36">
        <v>90</v>
      </c>
      <c r="BO160" s="52" t="str">
        <f>+IF(BN160&gt;0,FIXED(Fuelbeds_english!BO160*2.54,1,0),BN160)</f>
        <v>2.0</v>
      </c>
    </row>
    <row r="161" spans="1:67" s="50" customFormat="1" x14ac:dyDescent="0.25">
      <c r="A161" s="50">
        <v>160</v>
      </c>
      <c r="B161" s="52" t="s">
        <v>267</v>
      </c>
      <c r="C161" s="72">
        <v>915092</v>
      </c>
      <c r="D161" s="22" t="s">
        <v>202</v>
      </c>
      <c r="E161" s="76" t="s">
        <v>354</v>
      </c>
      <c r="F161" s="39">
        <v>25.3</v>
      </c>
      <c r="G161" s="36">
        <v>25.3</v>
      </c>
      <c r="H161" s="45">
        <f>+IF(F161&gt;0,INT(Fuelbeds_english!H161*2.471),F161)</f>
        <v>218</v>
      </c>
      <c r="I161" s="36">
        <f>+IF(F161&gt;0,INT(Fuelbeds_english!I161*0.3048),F161)</f>
        <v>17</v>
      </c>
      <c r="J161" s="45">
        <f>+IF(F161&gt;0,INT(Fuelbeds_english!J161*0.3048),F161)</f>
        <v>6</v>
      </c>
      <c r="K161" s="45">
        <f>+IF(F161&gt;0,INT(Fuelbeds_english!K161*2.54),F161)</f>
        <v>21</v>
      </c>
      <c r="L161" s="36">
        <v>183412</v>
      </c>
      <c r="M161" s="36" t="s">
        <v>398</v>
      </c>
      <c r="N161" s="36">
        <v>100</v>
      </c>
      <c r="O161" s="36">
        <v>6.6412499999999994</v>
      </c>
      <c r="P161" s="45">
        <f>+IF(O161&gt;0,INT(Fuelbeds_english!P161*2.471),O161)</f>
        <v>375</v>
      </c>
      <c r="Q161" s="36">
        <f>+IF(O161&gt;0,INT(Fuelbeds_english!Q161*0.3048),O161)</f>
        <v>9</v>
      </c>
      <c r="R161" s="45">
        <f>+IF(O161&gt;0,INT(Fuelbeds_english!R161*0.3048),O161)</f>
        <v>2</v>
      </c>
      <c r="S161" s="45">
        <f>+IF(O161&gt;0,INT(Fuelbeds_english!S161*2.54),O161)</f>
        <v>6</v>
      </c>
      <c r="T161" s="36">
        <v>183412</v>
      </c>
      <c r="U161" s="36" t="s">
        <v>398</v>
      </c>
      <c r="V161" s="36">
        <v>100</v>
      </c>
      <c r="W161" s="36">
        <v>1</v>
      </c>
      <c r="X161" s="98">
        <v>2</v>
      </c>
      <c r="Y161" s="29">
        <v>41.078571428571429</v>
      </c>
      <c r="Z161" s="88" t="str">
        <f>+IF(Y161&gt;0,FIXED(Fuelbeds_english!Z161*0.3048,1,0),Y161)</f>
        <v>2.3</v>
      </c>
      <c r="AA161" s="46">
        <v>90</v>
      </c>
      <c r="AB161" s="50">
        <v>22476</v>
      </c>
      <c r="AC161" s="50" t="s">
        <v>157</v>
      </c>
      <c r="AD161" s="50">
        <v>100</v>
      </c>
      <c r="AE161" s="42">
        <v>16</v>
      </c>
      <c r="AF161" s="52" t="str">
        <f>+IF(AE161&gt;0,FIXED(Fuelbeds_english!AF161*0.3048,1,0),AE161)</f>
        <v>0.4</v>
      </c>
      <c r="AG161" s="45">
        <v>80</v>
      </c>
      <c r="AH161" s="52" t="str">
        <f>+IF(AE161&gt;0,FIXED(Fuelbeds_english!AH161*2.242,1,0),AE161)</f>
        <v>1.0</v>
      </c>
      <c r="AI161" s="45">
        <v>40529</v>
      </c>
      <c r="AJ161" s="45" t="s">
        <v>356</v>
      </c>
      <c r="AK161" s="45">
        <v>100</v>
      </c>
      <c r="AL161" s="34">
        <v>14.547499999999999</v>
      </c>
      <c r="AM161" s="52" t="str">
        <f>+IF(AL161&gt;0,FIXED(Fuelbeds_english!AM161*2.54,1,0),AL161)</f>
        <v>2.5</v>
      </c>
      <c r="AN161" s="52" t="str">
        <f>+IF($AM161&gt;0,FIXED(Fuelbeds_english!AN161*2.242,1,0),$AM161)</f>
        <v>0.4</v>
      </c>
      <c r="AO161" s="52" t="str">
        <f>+IF($AM161&gt;0,FIXED(Fuelbeds_english!AO161*2.242,1,0),$AM161)</f>
        <v>1.2</v>
      </c>
      <c r="AP161" s="52" t="str">
        <f>+IF($AM161&gt;0,FIXED(Fuelbeds_english!AP161*2.242,1,0),$AM161)</f>
        <v>2.4</v>
      </c>
      <c r="AQ161" s="52" t="str">
        <f>+IF($AM161&gt;0,FIXED(Fuelbeds_english!AQ161*2.242,1,0),$AM161)</f>
        <v>7.4</v>
      </c>
      <c r="AR161" s="36">
        <v>183412</v>
      </c>
      <c r="AS161" s="45" t="s">
        <v>398</v>
      </c>
      <c r="AT161" s="45">
        <v>100</v>
      </c>
      <c r="AU161" s="44">
        <v>-1</v>
      </c>
      <c r="AV161" s="52">
        <f>+IF(AU161&gt;0,FIXED(Fuelbeds_english!AV161*2.54,1,0),AU161)</f>
        <v>-1</v>
      </c>
      <c r="AW161" s="88">
        <v>1</v>
      </c>
      <c r="AX161" s="88">
        <v>63</v>
      </c>
      <c r="AY161" s="52" t="str">
        <f>+IF(AX161&gt;0,FIXED(Fuelbeds_english!AY161*2.54,1,0),AX161)</f>
        <v>5.8</v>
      </c>
      <c r="AZ161" s="45">
        <v>1</v>
      </c>
      <c r="BA161" s="36">
        <v>25.3</v>
      </c>
      <c r="BB161" s="52" t="str">
        <f>+IF(BA161&gt;0,FIXED(Fuelbeds_english!BB161*2.54,1,0),BA161)</f>
        <v>1.8</v>
      </c>
      <c r="BC161" s="45">
        <v>-1</v>
      </c>
      <c r="BD161" s="45">
        <v>-1</v>
      </c>
      <c r="BE161" s="45">
        <v>100</v>
      </c>
      <c r="BF161" s="45">
        <v>-1</v>
      </c>
      <c r="BG161" s="45">
        <v>-1</v>
      </c>
      <c r="BH161" s="45">
        <v>-1</v>
      </c>
      <c r="BI161" s="45">
        <v>-1</v>
      </c>
      <c r="BJ161" s="28">
        <v>2</v>
      </c>
      <c r="BK161" s="36">
        <v>31.625</v>
      </c>
      <c r="BL161" s="52" t="str">
        <f>+IF(BK161&gt;0,FIXED(Fuelbeds_english!BL161*2.54,1,0),BK161)</f>
        <v>12.7</v>
      </c>
      <c r="BM161" s="45">
        <v>4</v>
      </c>
      <c r="BN161" s="36">
        <v>31.625</v>
      </c>
      <c r="BO161" s="52" t="str">
        <f>+IF(BN161&gt;0,FIXED(Fuelbeds_english!BO161*2.54,1,0),BN161)</f>
        <v>12.7</v>
      </c>
    </row>
    <row r="162" spans="1:67" s="50" customFormat="1" x14ac:dyDescent="0.25">
      <c r="A162" s="50">
        <v>161</v>
      </c>
      <c r="B162" s="52" t="s">
        <v>268</v>
      </c>
      <c r="C162" s="72">
        <v>925092</v>
      </c>
      <c r="D162" s="22" t="s">
        <v>202</v>
      </c>
      <c r="E162" s="76" t="s">
        <v>354</v>
      </c>
      <c r="F162" s="39">
        <v>55</v>
      </c>
      <c r="G162" s="36">
        <v>55</v>
      </c>
      <c r="H162" s="45">
        <f>+IF(F162&gt;0,INT(Fuelbeds_english!H162*2.471),F162)</f>
        <v>475</v>
      </c>
      <c r="I162" s="36">
        <f>+IF(F162&gt;0,INT(Fuelbeds_english!I162*0.3048),F162)</f>
        <v>19</v>
      </c>
      <c r="J162" s="45">
        <f>+IF(F162&gt;0,INT(Fuelbeds_english!J162*0.3048),F162)</f>
        <v>6</v>
      </c>
      <c r="K162" s="45">
        <f>+IF(F162&gt;0,INT(Fuelbeds_english!K162*2.54),F162)</f>
        <v>22</v>
      </c>
      <c r="L162" s="36">
        <v>183412</v>
      </c>
      <c r="M162" s="36" t="s">
        <v>398</v>
      </c>
      <c r="N162" s="36">
        <v>100</v>
      </c>
      <c r="O162" s="36">
        <v>14.437499999999998</v>
      </c>
      <c r="P162" s="45">
        <f>+IF(O162&gt;0,INT(Fuelbeds_english!P162*2.471),O162)</f>
        <v>815</v>
      </c>
      <c r="Q162" s="36">
        <f>+IF(O162&gt;0,INT(Fuelbeds_english!Q162*0.3048),O162)</f>
        <v>11</v>
      </c>
      <c r="R162" s="45">
        <f>+IF(O162&gt;0,INT(Fuelbeds_english!R162*0.3048),O162)</f>
        <v>2</v>
      </c>
      <c r="S162" s="45">
        <f>+IF(O162&gt;0,INT(Fuelbeds_english!S162*2.54),O162)</f>
        <v>7</v>
      </c>
      <c r="T162" s="36">
        <v>183412</v>
      </c>
      <c r="U162" s="36" t="s">
        <v>398</v>
      </c>
      <c r="V162" s="36">
        <v>100</v>
      </c>
      <c r="W162" s="36">
        <v>1</v>
      </c>
      <c r="X162" s="98">
        <v>2</v>
      </c>
      <c r="Y162" s="29">
        <v>30.25</v>
      </c>
      <c r="Z162" s="88" t="str">
        <f>+IF(Y162&gt;0,FIXED(Fuelbeds_english!Z162*0.3048,1,0),Y162)</f>
        <v>2.3</v>
      </c>
      <c r="AA162" s="46">
        <v>90</v>
      </c>
      <c r="AB162" s="50">
        <v>22476</v>
      </c>
      <c r="AC162" s="50" t="s">
        <v>157</v>
      </c>
      <c r="AD162" s="50">
        <v>100</v>
      </c>
      <c r="AE162" s="42">
        <v>12</v>
      </c>
      <c r="AF162" s="52" t="str">
        <f>+IF(AE162&gt;0,FIXED(Fuelbeds_english!AF162*0.3048,1,0),AE162)</f>
        <v>0.4</v>
      </c>
      <c r="AG162" s="45">
        <v>80</v>
      </c>
      <c r="AH162" s="52" t="str">
        <f>+IF(AE162&gt;0,FIXED(Fuelbeds_english!AH162*2.242,1,0),AE162)</f>
        <v>0.7</v>
      </c>
      <c r="AI162" s="45">
        <v>40529</v>
      </c>
      <c r="AJ162" s="45" t="s">
        <v>356</v>
      </c>
      <c r="AK162" s="45">
        <v>100</v>
      </c>
      <c r="AL162" s="34">
        <v>31.625</v>
      </c>
      <c r="AM162" s="52" t="str">
        <f>+IF(AL162&gt;0,FIXED(Fuelbeds_english!AM162*2.54,1,0),AL162)</f>
        <v>2.5</v>
      </c>
      <c r="AN162" s="52" t="str">
        <f>+IF($AM162&gt;0,FIXED(Fuelbeds_english!AN162*2.242,1,0),$AM162)</f>
        <v>0.9</v>
      </c>
      <c r="AO162" s="52" t="str">
        <f>+IF($AM162&gt;0,FIXED(Fuelbeds_english!AO162*2.242,1,0),$AM162)</f>
        <v>2.5</v>
      </c>
      <c r="AP162" s="52" t="str">
        <f>+IF($AM162&gt;0,FIXED(Fuelbeds_english!AP162*2.242,1,0),$AM162)</f>
        <v>5.2</v>
      </c>
      <c r="AQ162" s="52" t="str">
        <f>+IF($AM162&gt;0,FIXED(Fuelbeds_english!AQ162*2.242,1,0),$AM162)</f>
        <v>16.4</v>
      </c>
      <c r="AR162" s="36">
        <v>183412</v>
      </c>
      <c r="AS162" s="45" t="s">
        <v>398</v>
      </c>
      <c r="AT162" s="45">
        <v>100</v>
      </c>
      <c r="AU162" s="44">
        <v>-1</v>
      </c>
      <c r="AV162" s="52">
        <f>+IF(AU162&gt;0,FIXED(Fuelbeds_english!AV162*2.54,1,0),AU162)</f>
        <v>-1</v>
      </c>
      <c r="AW162" s="88">
        <v>1</v>
      </c>
      <c r="AX162" s="88">
        <v>63</v>
      </c>
      <c r="AY162" s="52" t="str">
        <f>+IF(AX162&gt;0,FIXED(Fuelbeds_english!AY162*2.54,1,0),AX162)</f>
        <v>5.8</v>
      </c>
      <c r="AZ162" s="45">
        <v>1</v>
      </c>
      <c r="BA162" s="36">
        <v>55</v>
      </c>
      <c r="BB162" s="52" t="str">
        <f>+IF(BA162&gt;0,FIXED(Fuelbeds_english!BB162*2.54,1,0),BA162)</f>
        <v>1.8</v>
      </c>
      <c r="BC162" s="45">
        <v>-1</v>
      </c>
      <c r="BD162" s="45">
        <v>-1</v>
      </c>
      <c r="BE162" s="45">
        <v>100</v>
      </c>
      <c r="BF162" s="45">
        <v>-1</v>
      </c>
      <c r="BG162" s="45">
        <v>-1</v>
      </c>
      <c r="BH162" s="45">
        <v>-1</v>
      </c>
      <c r="BI162" s="45">
        <v>-1</v>
      </c>
      <c r="BJ162" s="28">
        <v>2</v>
      </c>
      <c r="BK162" s="36">
        <v>100</v>
      </c>
      <c r="BL162" s="52" t="str">
        <f>+IF(BK162&gt;0,FIXED(Fuelbeds_english!BL162*2.54,1,0),BK162)</f>
        <v>12.7</v>
      </c>
      <c r="BM162" s="45">
        <v>4</v>
      </c>
      <c r="BN162" s="36">
        <v>68.749999999999986</v>
      </c>
      <c r="BO162" s="52" t="str">
        <f>+IF(BN162&gt;0,FIXED(Fuelbeds_english!BO162*2.54,1,0),BN162)</f>
        <v>12.7</v>
      </c>
    </row>
    <row r="163" spans="1:67" s="50" customFormat="1" x14ac:dyDescent="0.25">
      <c r="A163" s="50">
        <v>162</v>
      </c>
      <c r="B163" s="52" t="s">
        <v>269</v>
      </c>
      <c r="C163" s="68">
        <v>915100</v>
      </c>
      <c r="D163" s="22" t="s">
        <v>202</v>
      </c>
      <c r="E163" s="17" t="s">
        <v>134</v>
      </c>
      <c r="F163" s="39">
        <v>24</v>
      </c>
      <c r="G163" s="36">
        <v>24</v>
      </c>
      <c r="H163" s="45">
        <f>+IF(F163&gt;0,INT(Fuelbeds_english!H163*2.471),F163)</f>
        <v>47</v>
      </c>
      <c r="I163" s="36">
        <f>+IF(F163&gt;0,INT(Fuelbeds_english!I163*0.3048),F163)</f>
        <v>20</v>
      </c>
      <c r="J163" s="45">
        <f>+IF(F163&gt;0,INT(Fuelbeds_english!J163*0.3048),F163)</f>
        <v>10</v>
      </c>
      <c r="K163" s="45">
        <f>+IF(F163&gt;0,INT(Fuelbeds_english!K163*2.54),F163)</f>
        <v>39</v>
      </c>
      <c r="L163" s="55" t="s">
        <v>397</v>
      </c>
      <c r="M163" s="36" t="s">
        <v>396</v>
      </c>
      <c r="N163" s="55" t="s">
        <v>156</v>
      </c>
      <c r="O163" s="36">
        <v>13.170731707317074</v>
      </c>
      <c r="P163" s="45">
        <f>+IF(O163&gt;0,INT(Fuelbeds_english!P163*2.471),O163)</f>
        <v>130</v>
      </c>
      <c r="Q163" s="36">
        <f>+IF(O163&gt;0,INT(Fuelbeds_english!Q163*0.3048),O163)</f>
        <v>12</v>
      </c>
      <c r="R163" s="45">
        <f>+IF(O163&gt;0,INT(Fuelbeds_english!R163*0.3048),O163)</f>
        <v>5</v>
      </c>
      <c r="S163" s="45">
        <f>+IF(O163&gt;0,INT(Fuelbeds_english!S163*2.54),O163)</f>
        <v>24</v>
      </c>
      <c r="T163" s="36" t="s">
        <v>397</v>
      </c>
      <c r="U163" s="36" t="s">
        <v>396</v>
      </c>
      <c r="V163" s="36" t="s">
        <v>156</v>
      </c>
      <c r="W163" s="36">
        <v>-1</v>
      </c>
      <c r="X163" s="98">
        <v>-1</v>
      </c>
      <c r="Y163" s="29">
        <v>38.333577008106111</v>
      </c>
      <c r="Z163" s="88" t="str">
        <f>+IF(Y163&gt;0,FIXED(Fuelbeds_english!Z163*0.3048,1,0),Y163)</f>
        <v>2.0</v>
      </c>
      <c r="AA163" s="46">
        <v>85</v>
      </c>
      <c r="AB163" s="50">
        <v>23700</v>
      </c>
      <c r="AC163" s="50" t="s">
        <v>393</v>
      </c>
      <c r="AD163" s="50">
        <v>100</v>
      </c>
      <c r="AE163" s="42">
        <v>18</v>
      </c>
      <c r="AF163" s="52" t="str">
        <f>+IF(AE163&gt;0,FIXED(Fuelbeds_english!AF163*0.3048,1,0),AE163)</f>
        <v>0.5</v>
      </c>
      <c r="AG163" s="45">
        <v>80</v>
      </c>
      <c r="AH163" s="52" t="str">
        <f>+IF(AE163&gt;0,FIXED(Fuelbeds_english!AH163*2.242,1,0),AE163)</f>
        <v>0.3</v>
      </c>
      <c r="AI163" s="45" t="s">
        <v>395</v>
      </c>
      <c r="AJ163" s="45" t="s">
        <v>394</v>
      </c>
      <c r="AK163" s="45" t="s">
        <v>156</v>
      </c>
      <c r="AL163" s="34">
        <v>9.073170731707318</v>
      </c>
      <c r="AM163" s="52" t="str">
        <f>+IF(AL163&gt;0,FIXED(Fuelbeds_english!AM163*2.54,1,0),AL163)</f>
        <v>5.6</v>
      </c>
      <c r="AN163" s="52" t="str">
        <f>+IF($AM163&gt;0,FIXED(Fuelbeds_english!AN163*2.242,1,0),$AM163)</f>
        <v>0.4</v>
      </c>
      <c r="AO163" s="52" t="str">
        <f>+IF($AM163&gt;0,FIXED(Fuelbeds_english!AO163*2.242,1,0),$AM163)</f>
        <v>0.7</v>
      </c>
      <c r="AP163" s="52" t="str">
        <f>+IF($AM163&gt;0,FIXED(Fuelbeds_english!AP163*2.242,1,0),$AM163)</f>
        <v>1.1</v>
      </c>
      <c r="AQ163" s="52" t="str">
        <f>+IF($AM163&gt;0,FIXED(Fuelbeds_english!AQ163*2.242,1,0),$AM163)</f>
        <v>1.6</v>
      </c>
      <c r="AR163" s="36" t="s">
        <v>397</v>
      </c>
      <c r="AS163" s="45" t="s">
        <v>396</v>
      </c>
      <c r="AT163" s="45" t="s">
        <v>156</v>
      </c>
      <c r="AU163" s="44">
        <v>1.7</v>
      </c>
      <c r="AV163" s="52" t="str">
        <f>+IF(AU163&gt;0,FIXED(Fuelbeds_english!AV163*2.54,1,0),AU163)</f>
        <v>0.5</v>
      </c>
      <c r="AW163" s="88">
        <v>2</v>
      </c>
      <c r="AX163" s="88">
        <v>2.5</v>
      </c>
      <c r="AY163" s="52" t="str">
        <f>+IF(AX163&gt;0,FIXED(Fuelbeds_english!AY163*2.54,1,0),AX163)</f>
        <v>1.5</v>
      </c>
      <c r="AZ163" s="45">
        <v>1</v>
      </c>
      <c r="BA163" s="36">
        <v>27</v>
      </c>
      <c r="BB163" s="52" t="str">
        <f>+IF(BA163&gt;0,FIXED(Fuelbeds_english!BB163*2.54,1,0),BA163)</f>
        <v>3.8</v>
      </c>
      <c r="BC163" s="45">
        <v>50</v>
      </c>
      <c r="BD163" s="45">
        <v>-1</v>
      </c>
      <c r="BE163" s="45">
        <v>-1</v>
      </c>
      <c r="BF163" s="45">
        <v>50</v>
      </c>
      <c r="BG163" s="45">
        <v>-1</v>
      </c>
      <c r="BH163" s="45">
        <v>-1</v>
      </c>
      <c r="BI163" s="45">
        <v>-1</v>
      </c>
      <c r="BJ163" s="28">
        <v>1</v>
      </c>
      <c r="BK163" s="36">
        <v>28</v>
      </c>
      <c r="BL163" s="52" t="str">
        <f>+IF(BK163&gt;0,FIXED(Fuelbeds_english!BL163*2.54,1,0),BK163)</f>
        <v>1.8</v>
      </c>
      <c r="BM163" s="45">
        <v>3</v>
      </c>
      <c r="BN163" s="36">
        <v>24</v>
      </c>
      <c r="BO163" s="52" t="str">
        <f>+IF(BN163&gt;0,FIXED(Fuelbeds_english!BO163*2.54,1,0),BN163)</f>
        <v>1.8</v>
      </c>
    </row>
    <row r="164" spans="1:67" s="50" customFormat="1" x14ac:dyDescent="0.25">
      <c r="A164" s="50">
        <v>163</v>
      </c>
      <c r="B164" s="52" t="s">
        <v>270</v>
      </c>
      <c r="C164" s="68">
        <v>925100</v>
      </c>
      <c r="D164" s="22" t="s">
        <v>202</v>
      </c>
      <c r="E164" s="17" t="s">
        <v>134</v>
      </c>
      <c r="F164" s="39">
        <v>58</v>
      </c>
      <c r="G164" s="36">
        <v>58</v>
      </c>
      <c r="H164" s="45">
        <f>+IF(F164&gt;0,INT(Fuelbeds_english!H164*2.471),F164)</f>
        <v>114</v>
      </c>
      <c r="I164" s="36">
        <f>+IF(F164&gt;0,INT(Fuelbeds_english!I164*0.3048),F164)</f>
        <v>23</v>
      </c>
      <c r="J164" s="45">
        <f>+IF(F164&gt;0,INT(Fuelbeds_english!J164*0.3048),F164)</f>
        <v>11</v>
      </c>
      <c r="K164" s="45">
        <f>+IF(F164&gt;0,INT(Fuelbeds_english!K164*2.54),F164)</f>
        <v>45</v>
      </c>
      <c r="L164" s="55" t="s">
        <v>397</v>
      </c>
      <c r="M164" s="36" t="s">
        <v>396</v>
      </c>
      <c r="N164" s="55" t="s">
        <v>156</v>
      </c>
      <c r="O164" s="36">
        <v>31.829268292682929</v>
      </c>
      <c r="P164" s="45">
        <f>+IF(O164&gt;0,INT(Fuelbeds_english!P164*2.471),O164)</f>
        <v>314</v>
      </c>
      <c r="Q164" s="36">
        <f>+IF(O164&gt;0,INT(Fuelbeds_english!Q164*0.3048),O164)</f>
        <v>14</v>
      </c>
      <c r="R164" s="45">
        <f>+IF(O164&gt;0,INT(Fuelbeds_english!R164*0.3048),O164)</f>
        <v>6</v>
      </c>
      <c r="S164" s="45">
        <f>+IF(O164&gt;0,INT(Fuelbeds_english!S164*2.54),O164)</f>
        <v>28</v>
      </c>
      <c r="T164" s="36" t="s">
        <v>397</v>
      </c>
      <c r="U164" s="36" t="s">
        <v>396</v>
      </c>
      <c r="V164" s="36" t="s">
        <v>156</v>
      </c>
      <c r="W164" s="36">
        <v>-1</v>
      </c>
      <c r="X164" s="98">
        <v>-1</v>
      </c>
      <c r="Y164" s="29">
        <v>26.492745762711863</v>
      </c>
      <c r="Z164" s="88" t="str">
        <f>+IF(Y164&gt;0,FIXED(Fuelbeds_english!Z164*0.3048,1,0),Y164)</f>
        <v>2.0</v>
      </c>
      <c r="AA164" s="46">
        <v>85</v>
      </c>
      <c r="AB164" s="50">
        <v>23700</v>
      </c>
      <c r="AC164" s="50" t="s">
        <v>393</v>
      </c>
      <c r="AD164" s="50">
        <v>100</v>
      </c>
      <c r="AE164" s="42">
        <v>12</v>
      </c>
      <c r="AF164" s="52" t="str">
        <f>+IF(AE164&gt;0,FIXED(Fuelbeds_english!AF164*0.3048,1,0),AE164)</f>
        <v>0.5</v>
      </c>
      <c r="AG164" s="45">
        <v>80</v>
      </c>
      <c r="AH164" s="52" t="str">
        <f>+IF(AE164&gt;0,FIXED(Fuelbeds_english!AH164*2.242,1,0),AE164)</f>
        <v>0.2</v>
      </c>
      <c r="AI164" s="45" t="s">
        <v>395</v>
      </c>
      <c r="AJ164" s="45" t="s">
        <v>394</v>
      </c>
      <c r="AK164" s="45" t="s">
        <v>156</v>
      </c>
      <c r="AL164" s="34">
        <v>21.926829268292682</v>
      </c>
      <c r="AM164" s="52" t="str">
        <f>+IF(AL164&gt;0,FIXED(Fuelbeds_english!AM164*2.54,1,0),AL164)</f>
        <v>5.6</v>
      </c>
      <c r="AN164" s="52" t="str">
        <f>+IF($AM164&gt;0,FIXED(Fuelbeds_english!AN164*2.242,1,0),$AM164)</f>
        <v>1.0</v>
      </c>
      <c r="AO164" s="52" t="str">
        <f>+IF($AM164&gt;0,FIXED(Fuelbeds_english!AO164*2.242,1,0),$AM164)</f>
        <v>1.8</v>
      </c>
      <c r="AP164" s="52" t="str">
        <f>+IF($AM164&gt;0,FIXED(Fuelbeds_english!AP164*2.242,1,0),$AM164)</f>
        <v>2.6</v>
      </c>
      <c r="AQ164" s="52" t="str">
        <f>+IF($AM164&gt;0,FIXED(Fuelbeds_english!AQ164*2.242,1,0),$AM164)</f>
        <v>3.6</v>
      </c>
      <c r="AR164" s="36" t="s">
        <v>397</v>
      </c>
      <c r="AS164" s="45" t="s">
        <v>396</v>
      </c>
      <c r="AT164" s="45" t="s">
        <v>156</v>
      </c>
      <c r="AU164" s="44">
        <v>1.7</v>
      </c>
      <c r="AV164" s="52" t="str">
        <f>+IF(AU164&gt;0,FIXED(Fuelbeds_english!AV164*2.54,1,0),AU164)</f>
        <v>0.5</v>
      </c>
      <c r="AW164" s="88">
        <v>2</v>
      </c>
      <c r="AX164" s="88">
        <v>2.5</v>
      </c>
      <c r="AY164" s="52" t="str">
        <f>+IF(AX164&gt;0,FIXED(Fuelbeds_english!AY164*2.54,1,0),AX164)</f>
        <v>1.5</v>
      </c>
      <c r="AZ164" s="45">
        <v>1</v>
      </c>
      <c r="BA164" s="36">
        <v>66</v>
      </c>
      <c r="BB164" s="52" t="str">
        <f>+IF(BA164&gt;0,FIXED(Fuelbeds_english!BB164*2.54,1,0),BA164)</f>
        <v>3.8</v>
      </c>
      <c r="BC164" s="45">
        <v>50</v>
      </c>
      <c r="BD164" s="45">
        <v>-1</v>
      </c>
      <c r="BE164" s="45">
        <v>-1</v>
      </c>
      <c r="BF164" s="45">
        <v>50</v>
      </c>
      <c r="BG164" s="45">
        <v>-1</v>
      </c>
      <c r="BH164" s="45">
        <v>-1</v>
      </c>
      <c r="BI164" s="45">
        <v>-1</v>
      </c>
      <c r="BJ164" s="28">
        <v>1</v>
      </c>
      <c r="BK164" s="36">
        <v>67</v>
      </c>
      <c r="BL164" s="52" t="str">
        <f>+IF(BK164&gt;0,FIXED(Fuelbeds_english!BL164*2.54,1,0),BK164)</f>
        <v>1.8</v>
      </c>
      <c r="BM164" s="45">
        <v>3</v>
      </c>
      <c r="BN164" s="36">
        <v>58</v>
      </c>
      <c r="BO164" s="52" t="str">
        <f>+IF(BN164&gt;0,FIXED(Fuelbeds_english!BO164*2.54,1,0),BN164)</f>
        <v>1.8</v>
      </c>
    </row>
    <row r="165" spans="1:67" s="50" customFormat="1" x14ac:dyDescent="0.25">
      <c r="A165" s="50">
        <v>164</v>
      </c>
      <c r="B165" s="52" t="s">
        <v>271</v>
      </c>
      <c r="C165" s="68">
        <v>935100</v>
      </c>
      <c r="D165" s="22" t="s">
        <v>202</v>
      </c>
      <c r="E165" s="17" t="s">
        <v>134</v>
      </c>
      <c r="F165" s="39">
        <v>74</v>
      </c>
      <c r="G165" s="36">
        <v>74</v>
      </c>
      <c r="H165" s="45">
        <f>+IF(F165&gt;0,INT(Fuelbeds_english!H165*2.471),F165)</f>
        <v>146</v>
      </c>
      <c r="I165" s="36">
        <f>+IF(F165&gt;0,INT(Fuelbeds_english!I165*0.3048),F165)</f>
        <v>27</v>
      </c>
      <c r="J165" s="45">
        <f>+IF(F165&gt;0,INT(Fuelbeds_english!J165*0.3048),F165)</f>
        <v>13</v>
      </c>
      <c r="K165" s="45">
        <f>+IF(F165&gt;0,INT(Fuelbeds_english!K165*2.54),F165)</f>
        <v>53</v>
      </c>
      <c r="L165" s="55" t="s">
        <v>397</v>
      </c>
      <c r="M165" s="36" t="s">
        <v>396</v>
      </c>
      <c r="N165" s="55" t="s">
        <v>156</v>
      </c>
      <c r="O165" s="36">
        <v>40.609756097560975</v>
      </c>
      <c r="P165" s="45">
        <f>+IF(O165&gt;0,INT(Fuelbeds_english!P165*2.471),O165)</f>
        <v>401</v>
      </c>
      <c r="Q165" s="36">
        <f>+IF(O165&gt;0,INT(Fuelbeds_english!Q165*0.3048),O165)</f>
        <v>17</v>
      </c>
      <c r="R165" s="45">
        <f>+IF(O165&gt;0,INT(Fuelbeds_english!R165*0.3048),O165)</f>
        <v>7</v>
      </c>
      <c r="S165" s="45">
        <f>+IF(O165&gt;0,INT(Fuelbeds_english!S165*2.54),O165)</f>
        <v>32</v>
      </c>
      <c r="T165" s="36" t="s">
        <v>397</v>
      </c>
      <c r="U165" s="36" t="s">
        <v>396</v>
      </c>
      <c r="V165" s="36" t="s">
        <v>156</v>
      </c>
      <c r="W165" s="36">
        <v>-1</v>
      </c>
      <c r="X165" s="98">
        <v>-1</v>
      </c>
      <c r="Y165" s="29">
        <v>17.826381724392039</v>
      </c>
      <c r="Z165" s="88" t="str">
        <f>+IF(Y165&gt;0,FIXED(Fuelbeds_english!Z165*0.3048,1,0),Y165)</f>
        <v>2.0</v>
      </c>
      <c r="AA165" s="46">
        <v>85</v>
      </c>
      <c r="AB165" s="50">
        <v>23700</v>
      </c>
      <c r="AC165" s="50" t="s">
        <v>393</v>
      </c>
      <c r="AD165" s="50">
        <v>100</v>
      </c>
      <c r="AE165" s="42">
        <v>8</v>
      </c>
      <c r="AF165" s="52" t="str">
        <f>+IF(AE165&gt;0,FIXED(Fuelbeds_english!AF165*0.3048,1,0),AE165)</f>
        <v>0.5</v>
      </c>
      <c r="AG165" s="45">
        <v>80</v>
      </c>
      <c r="AH165" s="52" t="str">
        <f>+IF(AE165&gt;0,FIXED(Fuelbeds_english!AH165*2.242,1,0),AE165)</f>
        <v>0.2</v>
      </c>
      <c r="AI165" s="45" t="s">
        <v>395</v>
      </c>
      <c r="AJ165" s="45" t="s">
        <v>394</v>
      </c>
      <c r="AK165" s="45" t="s">
        <v>156</v>
      </c>
      <c r="AL165" s="34">
        <v>27.975609756097562</v>
      </c>
      <c r="AM165" s="52" t="str">
        <f>+IF(AL165&gt;0,FIXED(Fuelbeds_english!AM165*2.54,1,0),AL165)</f>
        <v>5.6</v>
      </c>
      <c r="AN165" s="52" t="str">
        <f>+IF($AM165&gt;0,FIXED(Fuelbeds_english!AN165*2.242,1,0),$AM165)</f>
        <v>1.3</v>
      </c>
      <c r="AO165" s="52" t="str">
        <f>+IF($AM165&gt;0,FIXED(Fuelbeds_english!AO165*2.242,1,0),$AM165)</f>
        <v>2.3</v>
      </c>
      <c r="AP165" s="52" t="str">
        <f>+IF($AM165&gt;0,FIXED(Fuelbeds_english!AP165*2.242,1,0),$AM165)</f>
        <v>3.4</v>
      </c>
      <c r="AQ165" s="52" t="str">
        <f>+IF($AM165&gt;0,FIXED(Fuelbeds_english!AQ165*2.242,1,0),$AM165)</f>
        <v>4.5</v>
      </c>
      <c r="AR165" s="36" t="s">
        <v>397</v>
      </c>
      <c r="AS165" s="45" t="s">
        <v>396</v>
      </c>
      <c r="AT165" s="45" t="s">
        <v>156</v>
      </c>
      <c r="AU165" s="44">
        <v>1.7</v>
      </c>
      <c r="AV165" s="52" t="str">
        <f>+IF(AU165&gt;0,FIXED(Fuelbeds_english!AV165*2.54,1,0),AU165)</f>
        <v>0.5</v>
      </c>
      <c r="AW165" s="88">
        <v>2</v>
      </c>
      <c r="AX165" s="88">
        <v>2.5</v>
      </c>
      <c r="AY165" s="52" t="str">
        <f>+IF(AX165&gt;0,FIXED(Fuelbeds_english!AY165*2.54,1,0),AX165)</f>
        <v>1.5</v>
      </c>
      <c r="AZ165" s="45">
        <v>1</v>
      </c>
      <c r="BA165" s="36">
        <v>84</v>
      </c>
      <c r="BB165" s="52" t="str">
        <f>+IF(BA165&gt;0,FIXED(Fuelbeds_english!BB165*2.54,1,0),BA165)</f>
        <v>3.8</v>
      </c>
      <c r="BC165" s="45">
        <v>50</v>
      </c>
      <c r="BD165" s="45">
        <v>-1</v>
      </c>
      <c r="BE165" s="45">
        <v>-1</v>
      </c>
      <c r="BF165" s="45">
        <v>50</v>
      </c>
      <c r="BG165" s="45">
        <v>-1</v>
      </c>
      <c r="BH165" s="45">
        <v>-1</v>
      </c>
      <c r="BI165" s="45">
        <v>-1</v>
      </c>
      <c r="BJ165" s="28">
        <v>1</v>
      </c>
      <c r="BK165" s="36">
        <v>86</v>
      </c>
      <c r="BL165" s="52" t="str">
        <f>+IF(BK165&gt;0,FIXED(Fuelbeds_english!BL165*2.54,1,0),BK165)</f>
        <v>1.8</v>
      </c>
      <c r="BM165" s="45">
        <v>3</v>
      </c>
      <c r="BN165" s="36">
        <v>74</v>
      </c>
      <c r="BO165" s="52" t="str">
        <f>+IF(BN165&gt;0,FIXED(Fuelbeds_english!BO165*2.54,1,0),BN165)</f>
        <v>1.8</v>
      </c>
    </row>
    <row r="166" spans="1:67" s="50" customFormat="1" x14ac:dyDescent="0.25">
      <c r="A166" s="50">
        <v>165</v>
      </c>
      <c r="B166" s="52" t="s">
        <v>272</v>
      </c>
      <c r="C166" s="68">
        <v>915110</v>
      </c>
      <c r="D166" s="22" t="s">
        <v>202</v>
      </c>
      <c r="E166" s="12" t="s">
        <v>9</v>
      </c>
      <c r="F166" s="39">
        <v>14</v>
      </c>
      <c r="G166" s="36">
        <v>14</v>
      </c>
      <c r="H166" s="45">
        <f>+IF(F166&gt;0,INT(Fuelbeds_english!H166*2.471),F166)</f>
        <v>27</v>
      </c>
      <c r="I166" s="36">
        <f>+IF(F166&gt;0,INT(Fuelbeds_english!I166*0.3048),F166)</f>
        <v>16</v>
      </c>
      <c r="J166" s="45">
        <f>+IF(F166&gt;0,INT(Fuelbeds_english!J166*0.3048),F166)</f>
        <v>8</v>
      </c>
      <c r="K166" s="45">
        <f>+IF(F166&gt;0,INT(Fuelbeds_english!K166*2.54),F166)</f>
        <v>31</v>
      </c>
      <c r="L166" s="36" t="s">
        <v>397</v>
      </c>
      <c r="M166" s="36" t="s">
        <v>396</v>
      </c>
      <c r="N166" s="36" t="s">
        <v>156</v>
      </c>
      <c r="O166" s="36">
        <v>7.6829268292682933</v>
      </c>
      <c r="P166" s="45">
        <f>+IF(O166&gt;0,INT(Fuelbeds_english!P166*2.471),O166)</f>
        <v>75</v>
      </c>
      <c r="Q166" s="36">
        <f>+IF(O166&gt;0,INT(Fuelbeds_english!Q166*0.3048),O166)</f>
        <v>10</v>
      </c>
      <c r="R166" s="45">
        <f>+IF(O166&gt;0,INT(Fuelbeds_english!R166*0.3048),O166)</f>
        <v>4</v>
      </c>
      <c r="S166" s="45">
        <f>+IF(O166&gt;0,INT(Fuelbeds_english!S166*2.54),O166)</f>
        <v>19</v>
      </c>
      <c r="T166" s="36" t="s">
        <v>397</v>
      </c>
      <c r="U166" s="36" t="s">
        <v>396</v>
      </c>
      <c r="V166" s="36" t="s">
        <v>156</v>
      </c>
      <c r="W166" s="36">
        <v>-1</v>
      </c>
      <c r="X166" s="98">
        <v>-1</v>
      </c>
      <c r="Y166" s="29">
        <v>44.87366508474576</v>
      </c>
      <c r="Z166" s="88" t="str">
        <f>+IF(Y166&gt;0,FIXED(Fuelbeds_english!Z166*0.3048,1,0),Y166)</f>
        <v>2.0</v>
      </c>
      <c r="AA166" s="46">
        <v>85</v>
      </c>
      <c r="AB166" s="50">
        <v>23700</v>
      </c>
      <c r="AC166" s="50" t="s">
        <v>393</v>
      </c>
      <c r="AD166" s="50">
        <v>100</v>
      </c>
      <c r="AE166" s="42">
        <v>21</v>
      </c>
      <c r="AF166" s="52" t="str">
        <f>+IF(AE166&gt;0,FIXED(Fuelbeds_english!AF166*0.3048,1,0),AE166)</f>
        <v>0.5</v>
      </c>
      <c r="AG166" s="45">
        <v>80</v>
      </c>
      <c r="AH166" s="52" t="str">
        <f>+IF(AE166&gt;0,FIXED(Fuelbeds_english!AH166*2.242,1,0),AE166)</f>
        <v>0.4</v>
      </c>
      <c r="AI166" s="45" t="s">
        <v>395</v>
      </c>
      <c r="AJ166" s="45" t="s">
        <v>394</v>
      </c>
      <c r="AK166" s="45" t="s">
        <v>156</v>
      </c>
      <c r="AL166" s="34">
        <v>5.2926829268292677</v>
      </c>
      <c r="AM166" s="52" t="str">
        <f>+IF(AL166&gt;0,FIXED(Fuelbeds_english!AM166*2.54,1,0),AL166)</f>
        <v>5.6</v>
      </c>
      <c r="AN166" s="52" t="str">
        <f>+IF($AM166&gt;0,FIXED(Fuelbeds_english!AN166*2.242,1,0),$AM166)</f>
        <v>0.2</v>
      </c>
      <c r="AO166" s="52" t="str">
        <f>+IF($AM166&gt;0,FIXED(Fuelbeds_english!AO166*2.242,1,0),$AM166)</f>
        <v>0.4</v>
      </c>
      <c r="AP166" s="52" t="str">
        <f>+IF($AM166&gt;0,FIXED(Fuelbeds_english!AP166*2.242,1,0),$AM166)</f>
        <v>0.6</v>
      </c>
      <c r="AQ166" s="52" t="str">
        <f>+IF($AM166&gt;0,FIXED(Fuelbeds_english!AQ166*2.242,1,0),$AM166)</f>
        <v>0.9</v>
      </c>
      <c r="AR166" s="36" t="s">
        <v>397</v>
      </c>
      <c r="AS166" s="45" t="s">
        <v>396</v>
      </c>
      <c r="AT166" s="45" t="s">
        <v>156</v>
      </c>
      <c r="AU166" s="44">
        <v>1.7</v>
      </c>
      <c r="AV166" s="52" t="str">
        <f>+IF(AU166&gt;0,FIXED(Fuelbeds_english!AV166*2.54,1,0),AU166)</f>
        <v>0.5</v>
      </c>
      <c r="AW166" s="88">
        <v>2</v>
      </c>
      <c r="AX166" s="88">
        <v>2.5</v>
      </c>
      <c r="AY166" s="52" t="str">
        <f>+IF(AX166&gt;0,FIXED(Fuelbeds_english!AY166*2.54,1,0),AX166)</f>
        <v>1.5</v>
      </c>
      <c r="AZ166" s="45">
        <v>1</v>
      </c>
      <c r="BA166" s="36">
        <v>16</v>
      </c>
      <c r="BB166" s="52" t="str">
        <f>+IF(BA166&gt;0,FIXED(Fuelbeds_english!BB166*2.54,1,0),BA166)</f>
        <v>3.8</v>
      </c>
      <c r="BC166" s="45">
        <v>50</v>
      </c>
      <c r="BD166" s="45">
        <v>-1</v>
      </c>
      <c r="BE166" s="45">
        <v>-1</v>
      </c>
      <c r="BF166" s="45">
        <v>50</v>
      </c>
      <c r="BG166" s="45">
        <v>-1</v>
      </c>
      <c r="BH166" s="45">
        <v>-1</v>
      </c>
      <c r="BI166" s="45">
        <v>-1</v>
      </c>
      <c r="BJ166" s="28">
        <v>1</v>
      </c>
      <c r="BK166" s="36">
        <v>16</v>
      </c>
      <c r="BL166" s="52" t="str">
        <f>+IF(BK166&gt;0,FIXED(Fuelbeds_english!BL166*2.54,1,0),BK166)</f>
        <v>1.8</v>
      </c>
      <c r="BM166" s="45">
        <v>3</v>
      </c>
      <c r="BN166" s="36">
        <v>14</v>
      </c>
      <c r="BO166" s="52" t="str">
        <f>+IF(BN166&gt;0,FIXED(Fuelbeds_english!BO166*2.54,1,0),BN166)</f>
        <v>1.8</v>
      </c>
    </row>
    <row r="167" spans="1:67" s="50" customFormat="1" x14ac:dyDescent="0.25">
      <c r="A167" s="50">
        <v>166</v>
      </c>
      <c r="B167" s="52" t="s">
        <v>273</v>
      </c>
      <c r="C167" s="68">
        <v>925110</v>
      </c>
      <c r="D167" s="22" t="s">
        <v>202</v>
      </c>
      <c r="E167" s="12" t="s">
        <v>9</v>
      </c>
      <c r="F167" s="39">
        <v>55</v>
      </c>
      <c r="G167" s="36">
        <v>55</v>
      </c>
      <c r="H167" s="45">
        <f>+IF(F167&gt;0,INT(Fuelbeds_english!H167*2.471),F167)</f>
        <v>108</v>
      </c>
      <c r="I167" s="36">
        <f>+IF(F167&gt;0,INT(Fuelbeds_english!I167*0.3048),F167)</f>
        <v>19</v>
      </c>
      <c r="J167" s="45">
        <f>+IF(F167&gt;0,INT(Fuelbeds_english!J167*0.3048),F167)</f>
        <v>9</v>
      </c>
      <c r="K167" s="45">
        <f>+IF(F167&gt;0,INT(Fuelbeds_english!K167*2.54),F167)</f>
        <v>38</v>
      </c>
      <c r="L167" s="36" t="s">
        <v>397</v>
      </c>
      <c r="M167" s="36" t="s">
        <v>396</v>
      </c>
      <c r="N167" s="36" t="s">
        <v>156</v>
      </c>
      <c r="O167" s="36">
        <v>30.182926829268293</v>
      </c>
      <c r="P167" s="45">
        <f>+IF(O167&gt;0,INT(Fuelbeds_english!P167*2.471),O167)</f>
        <v>298</v>
      </c>
      <c r="Q167" s="36">
        <f>+IF(O167&gt;0,INT(Fuelbeds_english!Q167*0.3048),O167)</f>
        <v>12</v>
      </c>
      <c r="R167" s="45">
        <f>+IF(O167&gt;0,INT(Fuelbeds_english!R167*0.3048),O167)</f>
        <v>5</v>
      </c>
      <c r="S167" s="45">
        <f>+IF(O167&gt;0,INT(Fuelbeds_english!S167*2.54),O167)</f>
        <v>23</v>
      </c>
      <c r="T167" s="36" t="s">
        <v>397</v>
      </c>
      <c r="U167" s="36" t="s">
        <v>396</v>
      </c>
      <c r="V167" s="36" t="s">
        <v>156</v>
      </c>
      <c r="W167" s="36">
        <v>-1</v>
      </c>
      <c r="X167" s="98">
        <v>-1</v>
      </c>
      <c r="Y167" s="29">
        <v>30.853352984524683</v>
      </c>
      <c r="Z167" s="88" t="str">
        <f>+IF(Y167&gt;0,FIXED(Fuelbeds_english!Z167*0.3048,1,0),Y167)</f>
        <v>2.0</v>
      </c>
      <c r="AA167" s="46">
        <v>85</v>
      </c>
      <c r="AB167" s="50">
        <v>23700</v>
      </c>
      <c r="AC167" s="50" t="s">
        <v>393</v>
      </c>
      <c r="AD167" s="50">
        <v>100</v>
      </c>
      <c r="AE167" s="42">
        <v>14</v>
      </c>
      <c r="AF167" s="52" t="str">
        <f>+IF(AE167&gt;0,FIXED(Fuelbeds_english!AF167*0.3048,1,0),AE167)</f>
        <v>0.5</v>
      </c>
      <c r="AG167" s="45">
        <v>80</v>
      </c>
      <c r="AH167" s="52" t="str">
        <f>+IF(AE167&gt;0,FIXED(Fuelbeds_english!AH167*2.242,1,0),AE167)</f>
        <v>0.3</v>
      </c>
      <c r="AI167" s="45" t="s">
        <v>395</v>
      </c>
      <c r="AJ167" s="45" t="s">
        <v>394</v>
      </c>
      <c r="AK167" s="45" t="s">
        <v>156</v>
      </c>
      <c r="AL167" s="34">
        <v>20.792682926829269</v>
      </c>
      <c r="AM167" s="52" t="str">
        <f>+IF(AL167&gt;0,FIXED(Fuelbeds_english!AM167*2.54,1,0),AL167)</f>
        <v>5.6</v>
      </c>
      <c r="AN167" s="52" t="str">
        <f>+IF($AM167&gt;0,FIXED(Fuelbeds_english!AN167*2.242,1,0),$AM167)</f>
        <v>1.0</v>
      </c>
      <c r="AO167" s="52" t="str">
        <f>+IF($AM167&gt;0,FIXED(Fuelbeds_english!AO167*2.242,1,0),$AM167)</f>
        <v>1.7</v>
      </c>
      <c r="AP167" s="52" t="str">
        <f>+IF($AM167&gt;0,FIXED(Fuelbeds_english!AP167*2.242,1,0),$AM167)</f>
        <v>2.5</v>
      </c>
      <c r="AQ167" s="52" t="str">
        <f>+IF($AM167&gt;0,FIXED(Fuelbeds_english!AQ167*2.242,1,0),$AM167)</f>
        <v>3.4</v>
      </c>
      <c r="AR167" s="36" t="s">
        <v>397</v>
      </c>
      <c r="AS167" s="45" t="s">
        <v>396</v>
      </c>
      <c r="AT167" s="45" t="s">
        <v>156</v>
      </c>
      <c r="AU167" s="44">
        <v>1.7</v>
      </c>
      <c r="AV167" s="52" t="str">
        <f>+IF(AU167&gt;0,FIXED(Fuelbeds_english!AV167*2.54,1,0),AU167)</f>
        <v>0.5</v>
      </c>
      <c r="AW167" s="88">
        <v>2</v>
      </c>
      <c r="AX167" s="88">
        <v>2.5</v>
      </c>
      <c r="AY167" s="52" t="str">
        <f>+IF(AX167&gt;0,FIXED(Fuelbeds_english!AY167*2.54,1,0),AX167)</f>
        <v>1.5</v>
      </c>
      <c r="AZ167" s="45">
        <v>1</v>
      </c>
      <c r="BA167" s="36">
        <v>62</v>
      </c>
      <c r="BB167" s="52" t="str">
        <f>+IF(BA167&gt;0,FIXED(Fuelbeds_english!BB167*2.54,1,0),BA167)</f>
        <v>3.8</v>
      </c>
      <c r="BC167" s="45">
        <v>50</v>
      </c>
      <c r="BD167" s="45">
        <v>-1</v>
      </c>
      <c r="BE167" s="45">
        <v>-1</v>
      </c>
      <c r="BF167" s="45">
        <v>50</v>
      </c>
      <c r="BG167" s="45">
        <v>-1</v>
      </c>
      <c r="BH167" s="45">
        <v>-1</v>
      </c>
      <c r="BI167" s="45">
        <v>-1</v>
      </c>
      <c r="BJ167" s="28">
        <v>1</v>
      </c>
      <c r="BK167" s="36">
        <v>64</v>
      </c>
      <c r="BL167" s="52" t="str">
        <f>+IF(BK167&gt;0,FIXED(Fuelbeds_english!BL167*2.54,1,0),BK167)</f>
        <v>1.8</v>
      </c>
      <c r="BM167" s="45">
        <v>3</v>
      </c>
      <c r="BN167" s="36">
        <v>55</v>
      </c>
      <c r="BO167" s="52" t="str">
        <f>+IF(BN167&gt;0,FIXED(Fuelbeds_english!BO167*2.54,1,0),BN167)</f>
        <v>1.8</v>
      </c>
    </row>
    <row r="168" spans="1:67" s="50" customFormat="1" x14ac:dyDescent="0.25">
      <c r="A168" s="50">
        <v>167</v>
      </c>
      <c r="B168" s="36">
        <v>5112</v>
      </c>
      <c r="C168" s="70">
        <v>5112</v>
      </c>
      <c r="D168" s="22" t="s">
        <v>202</v>
      </c>
      <c r="E168" s="30" t="s">
        <v>407</v>
      </c>
      <c r="F168" s="39">
        <v>27</v>
      </c>
      <c r="G168" s="36">
        <v>27</v>
      </c>
      <c r="H168" s="45">
        <f>+IF(F168&gt;0,INT(Fuelbeds_english!H168*2.471),F168)</f>
        <v>233</v>
      </c>
      <c r="I168" s="36">
        <f>+IF(F168&gt;0,INT(Fuelbeds_english!I168*0.3048),F168)</f>
        <v>16</v>
      </c>
      <c r="J168" s="45">
        <f>+IF(F168&gt;0,INT(Fuelbeds_english!J168*0.3048),F168)</f>
        <v>5</v>
      </c>
      <c r="K168" s="45">
        <f>+IF(F168&gt;0,INT(Fuelbeds_english!K168*2.54),F168)</f>
        <v>20</v>
      </c>
      <c r="L168" s="36">
        <v>183412</v>
      </c>
      <c r="M168" s="36" t="s">
        <v>398</v>
      </c>
      <c r="N168" s="36">
        <v>100</v>
      </c>
      <c r="O168" s="36">
        <v>7.0874999999999995</v>
      </c>
      <c r="P168" s="45">
        <f>+IF(O168&gt;0,INT(Fuelbeds_english!P168*2.471),O168)</f>
        <v>400</v>
      </c>
      <c r="Q168" s="36">
        <f>+IF(O168&gt;0,INT(Fuelbeds_english!Q168*0.3048),O168)</f>
        <v>9</v>
      </c>
      <c r="R168" s="45">
        <f>+IF(O168&gt;0,INT(Fuelbeds_english!R168*0.3048),O168)</f>
        <v>2</v>
      </c>
      <c r="S168" s="45">
        <f>+IF(O168&gt;0,INT(Fuelbeds_english!S168*2.54),O168)</f>
        <v>6</v>
      </c>
      <c r="T168" s="36">
        <v>183412</v>
      </c>
      <c r="U168" s="36" t="s">
        <v>398</v>
      </c>
      <c r="V168" s="36">
        <v>100</v>
      </c>
      <c r="W168" s="36">
        <v>1</v>
      </c>
      <c r="X168" s="98">
        <v>2</v>
      </c>
      <c r="Y168" s="29">
        <v>35.930000000000007</v>
      </c>
      <c r="Z168" s="88" t="str">
        <f>+IF(Y168&gt;0,FIXED(Fuelbeds_english!Z168*0.3048,1,0),Y168)</f>
        <v>2.3</v>
      </c>
      <c r="AA168" s="46">
        <v>90</v>
      </c>
      <c r="AB168" s="50">
        <v>22476</v>
      </c>
      <c r="AC168" s="50" t="s">
        <v>157</v>
      </c>
      <c r="AD168" s="50">
        <v>100</v>
      </c>
      <c r="AE168" s="42">
        <v>30</v>
      </c>
      <c r="AF168" s="52" t="str">
        <f>+IF(AE168&gt;0,FIXED(Fuelbeds_english!AF168*0.3048,1,0),AE168)</f>
        <v>0.4</v>
      </c>
      <c r="AG168" s="45">
        <v>80</v>
      </c>
      <c r="AH168" s="52" t="str">
        <f>+IF(AE168&gt;0,FIXED(Fuelbeds_english!AH168*2.242,1,0),AE168)</f>
        <v>1.0</v>
      </c>
      <c r="AI168" s="45">
        <v>40529</v>
      </c>
      <c r="AJ168" s="45" t="s">
        <v>356</v>
      </c>
      <c r="AK168" s="45">
        <v>100</v>
      </c>
      <c r="AL168" s="34">
        <v>15.524999999999999</v>
      </c>
      <c r="AM168" s="52" t="str">
        <f>+IF(AL168&gt;0,FIXED(Fuelbeds_english!AM168*2.54,1,0),AL168)</f>
        <v>2.5</v>
      </c>
      <c r="AN168" s="52" t="str">
        <f>+IF($AM168&gt;0,FIXED(Fuelbeds_english!AN168*2.242,1,0),$AM168)</f>
        <v>0.5</v>
      </c>
      <c r="AO168" s="52" t="str">
        <f>+IF($AM168&gt;0,FIXED(Fuelbeds_english!AO168*2.242,1,0),$AM168)</f>
        <v>1.2</v>
      </c>
      <c r="AP168" s="52" t="str">
        <f>+IF($AM168&gt;0,FIXED(Fuelbeds_english!AP168*2.242,1,0),$AM168)</f>
        <v>2.5</v>
      </c>
      <c r="AQ168" s="52" t="str">
        <f>+IF($AM168&gt;0,FIXED(Fuelbeds_english!AQ168*2.242,1,0),$AM168)</f>
        <v>8.1</v>
      </c>
      <c r="AR168" s="36">
        <v>183412</v>
      </c>
      <c r="AS168" s="45" t="s">
        <v>398</v>
      </c>
      <c r="AT168" s="45">
        <v>100</v>
      </c>
      <c r="AU168" s="44">
        <v>-1</v>
      </c>
      <c r="AV168" s="52">
        <f>+IF(AU168&gt;0,FIXED(Fuelbeds_english!AV168*2.54,1,0),AU168)</f>
        <v>-1</v>
      </c>
      <c r="AW168" s="88">
        <v>1</v>
      </c>
      <c r="AX168" s="88">
        <v>63</v>
      </c>
      <c r="AY168" s="52" t="str">
        <f>+IF(AX168&gt;0,FIXED(Fuelbeds_english!AY168*2.54,1,0),AX168)</f>
        <v>5.8</v>
      </c>
      <c r="AZ168" s="45">
        <v>1</v>
      </c>
      <c r="BA168" s="36">
        <v>27</v>
      </c>
      <c r="BB168" s="52" t="str">
        <f>+IF(BA168&gt;0,FIXED(Fuelbeds_english!BB168*2.54,1,0),BA168)</f>
        <v>1.8</v>
      </c>
      <c r="BC168" s="45">
        <v>-1</v>
      </c>
      <c r="BD168" s="45">
        <v>-1</v>
      </c>
      <c r="BE168" s="45">
        <v>100</v>
      </c>
      <c r="BF168" s="45">
        <v>-1</v>
      </c>
      <c r="BG168" s="45">
        <v>-1</v>
      </c>
      <c r="BH168" s="45">
        <v>-1</v>
      </c>
      <c r="BI168" s="45">
        <v>-1</v>
      </c>
      <c r="BJ168" s="28">
        <v>2</v>
      </c>
      <c r="BK168" s="36">
        <v>33.75</v>
      </c>
      <c r="BL168" s="52" t="str">
        <f>+IF(BK168&gt;0,FIXED(Fuelbeds_english!BL168*2.54,1,0),BK168)</f>
        <v>12.7</v>
      </c>
      <c r="BM168" s="45">
        <v>4</v>
      </c>
      <c r="BN168" s="36">
        <v>33.75</v>
      </c>
      <c r="BO168" s="52" t="str">
        <f>+IF(BN168&gt;0,FIXED(Fuelbeds_english!BO168*2.54,1,0),BN168)</f>
        <v>12.7</v>
      </c>
    </row>
    <row r="169" spans="1:67" s="50" customFormat="1" x14ac:dyDescent="0.25">
      <c r="A169" s="50">
        <v>168</v>
      </c>
      <c r="B169" s="36">
        <v>5120</v>
      </c>
      <c r="C169" s="46">
        <v>5120</v>
      </c>
      <c r="D169" s="22" t="s">
        <v>202</v>
      </c>
      <c r="E169" s="13" t="s">
        <v>8</v>
      </c>
      <c r="F169" s="39">
        <v>27</v>
      </c>
      <c r="G169" s="36">
        <v>27</v>
      </c>
      <c r="H169" s="45">
        <f>+IF(F169&gt;0,INT(Fuelbeds_english!H169*2.471),F169)</f>
        <v>53</v>
      </c>
      <c r="I169" s="36">
        <f>+IF(F169&gt;0,INT(Fuelbeds_english!I169*0.3048),F169)</f>
        <v>18</v>
      </c>
      <c r="J169" s="45">
        <f>+IF(F169&gt;0,INT(Fuelbeds_english!J169*0.3048),F169)</f>
        <v>9</v>
      </c>
      <c r="K169" s="45">
        <f>+IF(F169&gt;0,INT(Fuelbeds_english!K169*2.54),F169)</f>
        <v>36</v>
      </c>
      <c r="L169" s="36" t="s">
        <v>397</v>
      </c>
      <c r="M169" s="36" t="s">
        <v>396</v>
      </c>
      <c r="N169" s="36" t="s">
        <v>156</v>
      </c>
      <c r="O169" s="36">
        <v>14.817073170731708</v>
      </c>
      <c r="P169" s="45">
        <f>+IF(O169&gt;0,INT(Fuelbeds_english!P169*2.471),O169)</f>
        <v>146</v>
      </c>
      <c r="Q169" s="36">
        <f>+IF(O169&gt;0,INT(Fuelbeds_english!Q169*0.3048),O169)</f>
        <v>11</v>
      </c>
      <c r="R169" s="45">
        <f>+IF(O169&gt;0,INT(Fuelbeds_english!R169*0.3048),O169)</f>
        <v>4</v>
      </c>
      <c r="S169" s="45">
        <f>+IF(O169&gt;0,INT(Fuelbeds_english!S169*2.54),O169)</f>
        <v>22</v>
      </c>
      <c r="T169" s="36" t="s">
        <v>397</v>
      </c>
      <c r="U169" s="36" t="s">
        <v>396</v>
      </c>
      <c r="V169" s="36" t="s">
        <v>156</v>
      </c>
      <c r="W169" s="36">
        <v>-1</v>
      </c>
      <c r="X169" s="98">
        <v>-1</v>
      </c>
      <c r="Y169" s="81">
        <v>-1</v>
      </c>
      <c r="Z169" s="88">
        <f>+IF(Y169&gt;0,FIXED(Fuelbeds_english!Z169*0.3048,1,0),Y169)</f>
        <v>-1</v>
      </c>
      <c r="AA169" s="48">
        <v>-1</v>
      </c>
      <c r="AB169" s="10">
        <v>-1</v>
      </c>
      <c r="AC169" s="10">
        <v>-1</v>
      </c>
      <c r="AD169" s="10">
        <v>-1</v>
      </c>
      <c r="AE169" s="42">
        <v>56</v>
      </c>
      <c r="AF169" s="52" t="str">
        <f>+IF(AE169&gt;0,FIXED(Fuelbeds_english!AF169*0.3048,1,0),AE169)</f>
        <v>0.5</v>
      </c>
      <c r="AG169" s="45">
        <v>80</v>
      </c>
      <c r="AH169" s="52" t="str">
        <f>+IF(AE169&gt;0,FIXED(Fuelbeds_english!AH169*2.242,1,0),AE169)</f>
        <v>1.1</v>
      </c>
      <c r="AI169" s="45" t="s">
        <v>395</v>
      </c>
      <c r="AJ169" s="45" t="s">
        <v>394</v>
      </c>
      <c r="AK169" s="45" t="s">
        <v>156</v>
      </c>
      <c r="AL169" s="34">
        <v>10.207317073170733</v>
      </c>
      <c r="AM169" s="52" t="str">
        <f>+IF(AL169&gt;0,FIXED(Fuelbeds_english!AM169*2.54,1,0),AL169)</f>
        <v>5.6</v>
      </c>
      <c r="AN169" s="52" t="str">
        <f>+IF($AM169&gt;0,FIXED(Fuelbeds_english!AN169*2.242,1,0),$AM169)</f>
        <v>0.5</v>
      </c>
      <c r="AO169" s="52" t="str">
        <f>+IF($AM169&gt;0,FIXED(Fuelbeds_english!AO169*2.242,1,0),$AM169)</f>
        <v>0.8</v>
      </c>
      <c r="AP169" s="52" t="str">
        <f>+IF($AM169&gt;0,FIXED(Fuelbeds_english!AP169*2.242,1,0),$AM169)</f>
        <v>1.2</v>
      </c>
      <c r="AQ169" s="52" t="str">
        <f>+IF($AM169&gt;0,FIXED(Fuelbeds_english!AQ169*2.242,1,0),$AM169)</f>
        <v>1.6</v>
      </c>
      <c r="AR169" s="36" t="s">
        <v>397</v>
      </c>
      <c r="AS169" s="45" t="s">
        <v>396</v>
      </c>
      <c r="AT169" s="45" t="s">
        <v>156</v>
      </c>
      <c r="AU169" s="44">
        <v>1.7</v>
      </c>
      <c r="AV169" s="52" t="str">
        <f>+IF(AU169&gt;0,FIXED(Fuelbeds_english!AV169*2.54,1,0),AU169)</f>
        <v>0.5</v>
      </c>
      <c r="AW169" s="88">
        <v>2</v>
      </c>
      <c r="AX169" s="88">
        <v>2.5</v>
      </c>
      <c r="AY169" s="52" t="str">
        <f>+IF(AX169&gt;0,FIXED(Fuelbeds_english!AY169*2.54,1,0),AX169)</f>
        <v>1.5</v>
      </c>
      <c r="AZ169" s="45">
        <v>1</v>
      </c>
      <c r="BA169" s="36">
        <v>31</v>
      </c>
      <c r="BB169" s="52" t="str">
        <f>+IF(BA169&gt;0,FIXED(Fuelbeds_english!BB169*2.54,1,0),BA169)</f>
        <v>3.8</v>
      </c>
      <c r="BC169" s="45">
        <v>20</v>
      </c>
      <c r="BD169" s="45">
        <v>-1</v>
      </c>
      <c r="BE169" s="45">
        <v>-1</v>
      </c>
      <c r="BF169" s="45">
        <v>20</v>
      </c>
      <c r="BG169" s="45">
        <v>-1</v>
      </c>
      <c r="BH169" s="45">
        <v>-1</v>
      </c>
      <c r="BI169" s="45">
        <v>60</v>
      </c>
      <c r="BJ169" s="28">
        <v>1</v>
      </c>
      <c r="BK169" s="36">
        <v>31</v>
      </c>
      <c r="BL169" s="52" t="str">
        <f>+IF(BK169&gt;0,FIXED(Fuelbeds_english!BL169*2.54,1,0),BK169)</f>
        <v>1.8</v>
      </c>
      <c r="BM169" s="45">
        <v>3</v>
      </c>
      <c r="BN169" s="36">
        <v>27</v>
      </c>
      <c r="BO169" s="52" t="str">
        <f>+IF(BN169&gt;0,FIXED(Fuelbeds_english!BO169*2.54,1,0),BN169)</f>
        <v>1.8</v>
      </c>
    </row>
    <row r="170" spans="1:67" s="50" customFormat="1" x14ac:dyDescent="0.25">
      <c r="A170" s="50">
        <v>169</v>
      </c>
      <c r="B170" s="36">
        <v>5122</v>
      </c>
      <c r="C170" s="70">
        <v>5122</v>
      </c>
      <c r="D170" s="22" t="s">
        <v>202</v>
      </c>
      <c r="E170" s="78" t="s">
        <v>409</v>
      </c>
      <c r="F170" s="39">
        <v>27.6</v>
      </c>
      <c r="G170" s="36">
        <v>27.6</v>
      </c>
      <c r="H170" s="45">
        <f>+IF(F170&gt;0,INT(Fuelbeds_english!H170*2.471),F170)</f>
        <v>238</v>
      </c>
      <c r="I170" s="36">
        <f>+IF(F170&gt;0,INT(Fuelbeds_english!I170*0.3048),F170)</f>
        <v>17</v>
      </c>
      <c r="J170" s="45">
        <f>+IF(F170&gt;0,INT(Fuelbeds_english!J170*0.3048),F170)</f>
        <v>6</v>
      </c>
      <c r="K170" s="45">
        <f>+IF(F170&gt;0,INT(Fuelbeds_english!K170*2.54),F170)</f>
        <v>21</v>
      </c>
      <c r="L170" s="36">
        <v>183412</v>
      </c>
      <c r="M170" s="36" t="s">
        <v>398</v>
      </c>
      <c r="N170" s="36">
        <v>100</v>
      </c>
      <c r="O170" s="36">
        <v>7.2449999999999992</v>
      </c>
      <c r="P170" s="45">
        <f>+IF(O170&gt;0,INT(Fuelbeds_english!P170*2.471),O170)</f>
        <v>409</v>
      </c>
      <c r="Q170" s="36">
        <f>+IF(O170&gt;0,INT(Fuelbeds_english!Q170*0.3048),O170)</f>
        <v>9</v>
      </c>
      <c r="R170" s="45">
        <f>+IF(O170&gt;0,INT(Fuelbeds_english!R170*0.3048),O170)</f>
        <v>2</v>
      </c>
      <c r="S170" s="45">
        <f>+IF(O170&gt;0,INT(Fuelbeds_english!S170*2.54),O170)</f>
        <v>6</v>
      </c>
      <c r="T170" s="36">
        <v>183412</v>
      </c>
      <c r="U170" s="36" t="s">
        <v>398</v>
      </c>
      <c r="V170" s="36">
        <v>100</v>
      </c>
      <c r="W170" s="36">
        <v>1</v>
      </c>
      <c r="X170" s="98">
        <v>2</v>
      </c>
      <c r="Y170" s="29">
        <v>3</v>
      </c>
      <c r="Z170" s="88" t="str">
        <f>+IF(Y170&gt;0,FIXED(Fuelbeds_english!Z170*0.3048,1,0),Y170)</f>
        <v>2.3</v>
      </c>
      <c r="AA170" s="46">
        <v>90</v>
      </c>
      <c r="AB170" s="50">
        <v>22476</v>
      </c>
      <c r="AC170" s="50" t="s">
        <v>157</v>
      </c>
      <c r="AD170" s="50">
        <v>100</v>
      </c>
      <c r="AE170" s="42">
        <v>60</v>
      </c>
      <c r="AF170" s="52" t="str">
        <f>+IF(AE170&gt;0,FIXED(Fuelbeds_english!AF170*0.3048,1,0),AE170)</f>
        <v>0.4</v>
      </c>
      <c r="AG170" s="45">
        <v>80</v>
      </c>
      <c r="AH170" s="52" t="str">
        <f>+IF(AE170&gt;0,FIXED(Fuelbeds_english!AH170*2.242,1,0),AE170)</f>
        <v>2.0</v>
      </c>
      <c r="AI170" s="45">
        <v>40529</v>
      </c>
      <c r="AJ170" s="45" t="s">
        <v>356</v>
      </c>
      <c r="AK170" s="45">
        <v>100</v>
      </c>
      <c r="AL170" s="34">
        <v>15.870000000000003</v>
      </c>
      <c r="AM170" s="52" t="str">
        <f>+IF(AL170&gt;0,FIXED(Fuelbeds_english!AM170*2.54,1,0),AL170)</f>
        <v>2.5</v>
      </c>
      <c r="AN170" s="52" t="str">
        <f>+IF($AM170&gt;0,FIXED(Fuelbeds_english!AN170*2.242,1,0),$AM170)</f>
        <v>0.5</v>
      </c>
      <c r="AO170" s="52" t="str">
        <f>+IF($AM170&gt;0,FIXED(Fuelbeds_english!AO170*2.242,1,0),$AM170)</f>
        <v>1.3</v>
      </c>
      <c r="AP170" s="52" t="str">
        <f>+IF($AM170&gt;0,FIXED(Fuelbeds_english!AP170*2.242,1,0),$AM170)</f>
        <v>2.6</v>
      </c>
      <c r="AQ170" s="52" t="str">
        <f>+IF($AM170&gt;0,FIXED(Fuelbeds_english!AQ170*2.242,1,0),$AM170)</f>
        <v>8.1</v>
      </c>
      <c r="AR170" s="36">
        <v>183412</v>
      </c>
      <c r="AS170" s="45" t="s">
        <v>398</v>
      </c>
      <c r="AT170" s="45">
        <v>100</v>
      </c>
      <c r="AU170" s="44">
        <v>-1</v>
      </c>
      <c r="AV170" s="52">
        <f>+IF(AU170&gt;0,FIXED(Fuelbeds_english!AV170*2.54,1,0),AU170)</f>
        <v>-1</v>
      </c>
      <c r="AW170" s="88">
        <v>1</v>
      </c>
      <c r="AX170" s="88">
        <v>63</v>
      </c>
      <c r="AY170" s="52" t="str">
        <f>+IF(AX170&gt;0,FIXED(Fuelbeds_english!AY170*2.54,1,0),AX170)</f>
        <v>5.8</v>
      </c>
      <c r="AZ170" s="45">
        <v>1</v>
      </c>
      <c r="BA170" s="36">
        <v>27.6</v>
      </c>
      <c r="BB170" s="52" t="str">
        <f>+IF(BA170&gt;0,FIXED(Fuelbeds_english!BB170*2.54,1,0),BA170)</f>
        <v>1.8</v>
      </c>
      <c r="BC170" s="45">
        <v>-1</v>
      </c>
      <c r="BD170" s="45">
        <v>-1</v>
      </c>
      <c r="BE170" s="45">
        <v>100</v>
      </c>
      <c r="BF170" s="45">
        <v>-1</v>
      </c>
      <c r="BG170" s="45">
        <v>-1</v>
      </c>
      <c r="BH170" s="45">
        <v>-1</v>
      </c>
      <c r="BI170" s="45">
        <v>-1</v>
      </c>
      <c r="BJ170" s="28">
        <v>2</v>
      </c>
      <c r="BK170" s="36">
        <v>34.5</v>
      </c>
      <c r="BL170" s="52" t="str">
        <f>+IF(BK170&gt;0,FIXED(Fuelbeds_english!BL170*2.54,1,0),BK170)</f>
        <v>12.7</v>
      </c>
      <c r="BM170" s="45">
        <v>4</v>
      </c>
      <c r="BN170" s="36">
        <v>34.5</v>
      </c>
      <c r="BO170" s="52" t="str">
        <f>+IF(BN170&gt;0,FIXED(Fuelbeds_english!BO170*2.54,1,0),BN170)</f>
        <v>12.7</v>
      </c>
    </row>
    <row r="171" spans="1:67" s="50" customFormat="1" x14ac:dyDescent="0.25">
      <c r="A171" s="50">
        <v>170</v>
      </c>
      <c r="B171" s="36">
        <v>5130</v>
      </c>
      <c r="C171" s="46">
        <v>5130</v>
      </c>
      <c r="D171" s="22" t="s">
        <v>202</v>
      </c>
      <c r="E171" s="14" t="s">
        <v>10</v>
      </c>
      <c r="F171" s="39">
        <v>-3</v>
      </c>
      <c r="G171" s="45">
        <v>-3</v>
      </c>
      <c r="H171" s="45">
        <f>+IF(F171&gt;0,INT(Fuelbeds_english!H171*2.471),F171)</f>
        <v>-3</v>
      </c>
      <c r="I171" s="36">
        <f>+IF(F171&gt;0,INT(Fuelbeds_english!I171*0.3048),F171)</f>
        <v>-3</v>
      </c>
      <c r="J171" s="45">
        <f>+IF(F171&gt;0,INT(Fuelbeds_english!J171*0.3048),F171)</f>
        <v>-3</v>
      </c>
      <c r="K171" s="45">
        <f>+IF(F171&gt;0,INT(Fuelbeds_english!K171*2.54),F171)</f>
        <v>-3</v>
      </c>
      <c r="L171" s="45">
        <v>-3</v>
      </c>
      <c r="M171" s="45">
        <v>-3</v>
      </c>
      <c r="N171" s="45">
        <v>-3</v>
      </c>
      <c r="O171" s="45">
        <v>-3</v>
      </c>
      <c r="P171" s="45">
        <f>+IF(O171&gt;0,INT(Fuelbeds_english!P171*2.471),O171)</f>
        <v>-3</v>
      </c>
      <c r="Q171" s="36">
        <f>+IF(O171&gt;0,INT(Fuelbeds_english!Q171*0.3048),O171)</f>
        <v>-3</v>
      </c>
      <c r="R171" s="45">
        <f>+IF(O171&gt;0,INT(Fuelbeds_english!R171*0.3048),O171)</f>
        <v>-3</v>
      </c>
      <c r="S171" s="45">
        <f>+IF(O171&gt;0,INT(Fuelbeds_english!S171*2.54),O171)</f>
        <v>-3</v>
      </c>
      <c r="T171" s="45">
        <v>-3</v>
      </c>
      <c r="U171" s="45">
        <v>-3</v>
      </c>
      <c r="V171" s="45">
        <v>-3</v>
      </c>
      <c r="W171" s="45">
        <v>-3</v>
      </c>
      <c r="X171" s="99">
        <v>-3</v>
      </c>
      <c r="Y171" s="29">
        <v>60</v>
      </c>
      <c r="Z171" s="88" t="str">
        <f>+IF(Y171&gt;0,FIXED(Fuelbeds_english!Z171*0.3048,1,0),Y171)</f>
        <v>0.9</v>
      </c>
      <c r="AA171" s="46">
        <v>75</v>
      </c>
      <c r="AB171" s="50">
        <v>29051</v>
      </c>
      <c r="AC171" s="50" t="s">
        <v>152</v>
      </c>
      <c r="AD171" s="50">
        <v>100</v>
      </c>
      <c r="AE171" s="42">
        <v>-3</v>
      </c>
      <c r="AF171" s="52">
        <f>+IF(AE171&gt;0,FIXED(Fuelbeds_english!AF171*0.3048,1,0),AE171)</f>
        <v>-3</v>
      </c>
      <c r="AG171" s="45">
        <v>-3</v>
      </c>
      <c r="AH171" s="52">
        <f>+IF(AE171&gt;0,FIXED(Fuelbeds_english!AH171*2.242,1,0),AE171)</f>
        <v>-3</v>
      </c>
      <c r="AI171" s="45">
        <v>-3</v>
      </c>
      <c r="AJ171" s="45">
        <v>-3</v>
      </c>
      <c r="AK171" s="45">
        <v>-3</v>
      </c>
      <c r="AL171" s="34">
        <v>0.9</v>
      </c>
      <c r="AM171" s="52" t="str">
        <f>+IF(AL171&gt;0,FIXED(Fuelbeds_english!AM171*2.54,1,0),AL171)</f>
        <v>0.3</v>
      </c>
      <c r="AN171" s="52" t="str">
        <f>+IF($AM171&gt;0,FIXED(Fuelbeds_english!AN171*2.242,1,0),$AM171)</f>
        <v>0.2</v>
      </c>
      <c r="AO171" s="52" t="str">
        <f>+IF($AM171&gt;0,FIXED(Fuelbeds_english!AO171*2.242,1,0),$AM171)</f>
        <v>0.7</v>
      </c>
      <c r="AP171" s="52" t="str">
        <f>+IF($AM171&gt;0,FIXED(Fuelbeds_english!AP171*2.242,1,0),$AM171)</f>
        <v>0.0</v>
      </c>
      <c r="AQ171" s="52" t="str">
        <f>+IF($AM171&gt;0,FIXED(Fuelbeds_english!AQ171*2.242,1,0),$AM171)</f>
        <v>0.0</v>
      </c>
      <c r="AR171" s="36">
        <v>29051</v>
      </c>
      <c r="AS171" s="45" t="s">
        <v>152</v>
      </c>
      <c r="AT171" s="45">
        <v>100</v>
      </c>
      <c r="AU171" s="44">
        <v>-1</v>
      </c>
      <c r="AV171" s="52">
        <f>+IF(AU171&gt;0,FIXED(Fuelbeds_english!AV171*2.54,1,0),AU171)</f>
        <v>-1</v>
      </c>
      <c r="AW171" s="52">
        <v>-1</v>
      </c>
      <c r="AX171" s="52">
        <v>-1</v>
      </c>
      <c r="AY171" s="52">
        <f>+IF(AX171&gt;0,FIXED(Fuelbeds_english!AY171*2.54,1,0),AX171)</f>
        <v>-1</v>
      </c>
      <c r="AZ171" s="45">
        <v>1</v>
      </c>
      <c r="BA171" s="36">
        <v>58</v>
      </c>
      <c r="BB171" s="52" t="str">
        <f>+IF(BA171&gt;0,FIXED(Fuelbeds_english!BB171*2.54,1,0),BA171)</f>
        <v>2.2</v>
      </c>
      <c r="BC171" s="45">
        <v>-1</v>
      </c>
      <c r="BD171" s="45">
        <v>-1</v>
      </c>
      <c r="BE171" s="45">
        <v>-1</v>
      </c>
      <c r="BF171" s="45">
        <v>-1</v>
      </c>
      <c r="BG171" s="45">
        <v>100</v>
      </c>
      <c r="BH171" s="45">
        <v>-1</v>
      </c>
      <c r="BI171" s="45">
        <v>-1</v>
      </c>
      <c r="BJ171" s="28">
        <v>-1</v>
      </c>
      <c r="BK171" s="36">
        <v>-1</v>
      </c>
      <c r="BL171" s="52">
        <f>+IF(BK171&gt;0,FIXED(Fuelbeds_english!BL171*2.54,1,0),BK171)</f>
        <v>-1</v>
      </c>
      <c r="BM171" s="36">
        <v>-1</v>
      </c>
      <c r="BN171" s="36">
        <v>-1</v>
      </c>
      <c r="BO171" s="52">
        <f>+IF(BN171&gt;0,FIXED(Fuelbeds_english!BO171*2.54,1,0),BN171)</f>
        <v>-1</v>
      </c>
    </row>
    <row r="172" spans="1:67" s="50" customFormat="1" x14ac:dyDescent="0.25">
      <c r="A172" s="50">
        <v>171</v>
      </c>
      <c r="B172" s="36">
        <v>5140</v>
      </c>
      <c r="C172" s="46">
        <v>5140</v>
      </c>
      <c r="D172" s="22" t="s">
        <v>202</v>
      </c>
      <c r="E172" s="15" t="s">
        <v>14</v>
      </c>
      <c r="F172" s="39">
        <v>-3</v>
      </c>
      <c r="G172" s="45">
        <v>-3</v>
      </c>
      <c r="H172" s="45">
        <f>+IF(F172&gt;0,INT(Fuelbeds_english!H172*2.471),F172)</f>
        <v>-3</v>
      </c>
      <c r="I172" s="36">
        <f>+IF(F172&gt;0,INT(Fuelbeds_english!I172*0.3048),F172)</f>
        <v>-3</v>
      </c>
      <c r="J172" s="45">
        <f>+IF(F172&gt;0,INT(Fuelbeds_english!J172*0.3048),F172)</f>
        <v>-3</v>
      </c>
      <c r="K172" s="45">
        <f>+IF(F172&gt;0,INT(Fuelbeds_english!K172*2.54),F172)</f>
        <v>-3</v>
      </c>
      <c r="L172" s="45">
        <v>-3</v>
      </c>
      <c r="M172" s="45">
        <v>-3</v>
      </c>
      <c r="N172" s="45">
        <v>-3</v>
      </c>
      <c r="O172" s="45">
        <v>-3</v>
      </c>
      <c r="P172" s="45">
        <f>+IF(O172&gt;0,INT(Fuelbeds_english!P172*2.471),O172)</f>
        <v>-3</v>
      </c>
      <c r="Q172" s="36">
        <f>+IF(O172&gt;0,INT(Fuelbeds_english!Q172*0.3048),O172)</f>
        <v>-3</v>
      </c>
      <c r="R172" s="45">
        <f>+IF(O172&gt;0,INT(Fuelbeds_english!R172*0.3048),O172)</f>
        <v>-3</v>
      </c>
      <c r="S172" s="45">
        <f>+IF(O172&gt;0,INT(Fuelbeds_english!S172*2.54),O172)</f>
        <v>-3</v>
      </c>
      <c r="T172" s="45">
        <v>-3</v>
      </c>
      <c r="U172" s="45">
        <v>-3</v>
      </c>
      <c r="V172" s="45">
        <v>-3</v>
      </c>
      <c r="W172" s="45">
        <v>-3</v>
      </c>
      <c r="X172" s="99">
        <v>-3</v>
      </c>
      <c r="Y172" s="81">
        <v>-3</v>
      </c>
      <c r="Z172" s="88">
        <f>+IF(Y172&gt;0,FIXED(Fuelbeds_english!Z172*0.3048,1,0),Y172)</f>
        <v>-3</v>
      </c>
      <c r="AA172" s="48">
        <v>-3</v>
      </c>
      <c r="AB172" s="10">
        <v>-3</v>
      </c>
      <c r="AC172" s="10">
        <v>-3</v>
      </c>
      <c r="AD172" s="10">
        <v>-3</v>
      </c>
      <c r="AE172" s="42">
        <v>70</v>
      </c>
      <c r="AF172" s="52" t="str">
        <f>+IF(AE172&gt;0,FIXED(Fuelbeds_english!AF172*0.3048,1,0),AE172)</f>
        <v>0.6</v>
      </c>
      <c r="AG172" s="45">
        <v>80</v>
      </c>
      <c r="AH172" s="52" t="str">
        <f>+IF(AE172&gt;0,FIXED(Fuelbeds_english!AH172*2.242,1,0),AE172)</f>
        <v>3.0</v>
      </c>
      <c r="AI172" s="45">
        <v>39369</v>
      </c>
      <c r="AJ172" s="45" t="s">
        <v>391</v>
      </c>
      <c r="AK172" s="45">
        <v>100</v>
      </c>
      <c r="AL172" s="34">
        <v>-3</v>
      </c>
      <c r="AM172" s="52">
        <f>+IF(AL172&gt;0,FIXED(Fuelbeds_english!AM172*2.54,1,0),AL172)</f>
        <v>-3</v>
      </c>
      <c r="AN172" s="52">
        <f>+IF(AM172&gt;0,FIXED(Fuelbeds_english!AN172*0.3048,1,0),AM172)</f>
        <v>-3</v>
      </c>
      <c r="AO172" s="52">
        <f>+IF(AN172&gt;0,FIXED(Fuelbeds_english!AO172*0.3048,1,0),AN172)</f>
        <v>-3</v>
      </c>
      <c r="AP172" s="52">
        <f>+IF(AO172&gt;0,FIXED(Fuelbeds_english!AP172*0.3048,1,0),AO172)</f>
        <v>-3</v>
      </c>
      <c r="AQ172" s="52">
        <f>+IF(AP172&gt;0,FIXED(Fuelbeds_english!AQ172*0.3048,1,0),AP172)</f>
        <v>-3</v>
      </c>
      <c r="AR172" s="36">
        <v>-3</v>
      </c>
      <c r="AS172" s="45">
        <v>-3</v>
      </c>
      <c r="AT172" s="45">
        <v>-3</v>
      </c>
      <c r="AU172" s="44">
        <v>-1</v>
      </c>
      <c r="AV172" s="52">
        <f>+IF(AU172&gt;0,FIXED(Fuelbeds_english!AV172*2.54,1,0),AU172)</f>
        <v>-1</v>
      </c>
      <c r="AW172" s="52">
        <v>-1</v>
      </c>
      <c r="AX172" s="52">
        <v>-1</v>
      </c>
      <c r="AY172" s="52">
        <f>+IF(AX172&gt;0,FIXED(Fuelbeds_english!AY172*2.54,1,0),AX172)</f>
        <v>-1</v>
      </c>
      <c r="AZ172" s="45">
        <v>1</v>
      </c>
      <c r="BA172" s="36">
        <v>46</v>
      </c>
      <c r="BB172" s="52" t="str">
        <f>+IF(BA172&gt;0,FIXED(Fuelbeds_english!BB172*2.54,1,0),BA172)</f>
        <v>1.8</v>
      </c>
      <c r="BC172" s="45">
        <v>-1</v>
      </c>
      <c r="BD172" s="45">
        <v>-1</v>
      </c>
      <c r="BE172" s="45">
        <v>-1</v>
      </c>
      <c r="BF172" s="45">
        <v>-1</v>
      </c>
      <c r="BG172" s="45">
        <v>-1</v>
      </c>
      <c r="BH172" s="45">
        <v>-1</v>
      </c>
      <c r="BI172" s="45">
        <v>100</v>
      </c>
      <c r="BJ172" s="28">
        <v>-1</v>
      </c>
      <c r="BK172" s="36">
        <v>-1</v>
      </c>
      <c r="BL172" s="52">
        <f>+IF(BK172&gt;0,FIXED(Fuelbeds_english!BL172*2.54,1,0),BK172)</f>
        <v>-1</v>
      </c>
      <c r="BM172" s="36">
        <v>-1</v>
      </c>
      <c r="BN172" s="36">
        <v>-1</v>
      </c>
      <c r="BO172" s="52">
        <f>+IF(BN172&gt;0,FIXED(Fuelbeds_english!BO172*2.54,1,0),BN172)</f>
        <v>-1</v>
      </c>
    </row>
    <row r="173" spans="1:67" s="50" customFormat="1" x14ac:dyDescent="0.25">
      <c r="A173" s="50">
        <v>172</v>
      </c>
      <c r="B173" s="36">
        <v>5150</v>
      </c>
      <c r="C173" s="46">
        <v>5150</v>
      </c>
      <c r="D173" s="22" t="s">
        <v>202</v>
      </c>
      <c r="E173" s="18" t="s">
        <v>15</v>
      </c>
      <c r="F173" s="39">
        <v>-3</v>
      </c>
      <c r="G173" s="45">
        <v>-3</v>
      </c>
      <c r="H173" s="45">
        <f>+IF(F173&gt;0,INT(Fuelbeds_english!H173*2.471),F173)</f>
        <v>-3</v>
      </c>
      <c r="I173" s="36">
        <f>+IF(F173&gt;0,INT(Fuelbeds_english!I173*0.3048),F173)</f>
        <v>-3</v>
      </c>
      <c r="J173" s="45">
        <f>+IF(F173&gt;0,INT(Fuelbeds_english!J173*0.3048),F173)</f>
        <v>-3</v>
      </c>
      <c r="K173" s="45">
        <f>+IF(F173&gt;0,INT(Fuelbeds_english!K173*2.54),F173)</f>
        <v>-3</v>
      </c>
      <c r="L173" s="45">
        <v>-3</v>
      </c>
      <c r="M173" s="45">
        <v>-3</v>
      </c>
      <c r="N173" s="45">
        <v>-3</v>
      </c>
      <c r="O173" s="45">
        <v>-3</v>
      </c>
      <c r="P173" s="45">
        <f>+IF(O173&gt;0,INT(Fuelbeds_english!P173*2.471),O173)</f>
        <v>-3</v>
      </c>
      <c r="Q173" s="36">
        <f>+IF(O173&gt;0,INT(Fuelbeds_english!Q173*0.3048),O173)</f>
        <v>-3</v>
      </c>
      <c r="R173" s="45">
        <f>+IF(O173&gt;0,INT(Fuelbeds_english!R173*0.3048),O173)</f>
        <v>-3</v>
      </c>
      <c r="S173" s="45">
        <f>+IF(O173&gt;0,INT(Fuelbeds_english!S173*2.54),O173)</f>
        <v>-3</v>
      </c>
      <c r="T173" s="45">
        <v>-3</v>
      </c>
      <c r="U173" s="45">
        <v>-3</v>
      </c>
      <c r="V173" s="45">
        <v>-3</v>
      </c>
      <c r="W173" s="45">
        <v>-3</v>
      </c>
      <c r="X173" s="99">
        <v>-3</v>
      </c>
      <c r="Y173" s="29">
        <v>7</v>
      </c>
      <c r="Z173" s="88" t="str">
        <f>+IF(Y173&gt;0,FIXED(Fuelbeds_english!Z173*0.3048,1,0),Y173)</f>
        <v>0.6</v>
      </c>
      <c r="AA173" s="46">
        <v>75</v>
      </c>
      <c r="AB173" s="50">
        <v>29051</v>
      </c>
      <c r="AC173" s="50" t="s">
        <v>152</v>
      </c>
      <c r="AD173" s="50">
        <v>100</v>
      </c>
      <c r="AE173" s="42">
        <v>8</v>
      </c>
      <c r="AF173" s="52" t="str">
        <f>+IF(AE173&gt;0,FIXED(Fuelbeds_english!AF173*0.3048,1,0),AE173)</f>
        <v>0.6</v>
      </c>
      <c r="AG173" s="45">
        <v>80</v>
      </c>
      <c r="AH173" s="52" t="str">
        <f>+IF(AE173&gt;0,FIXED(Fuelbeds_english!AH173*2.242,1,0),AE173)</f>
        <v>0.3</v>
      </c>
      <c r="AI173" s="45">
        <v>39369</v>
      </c>
      <c r="AJ173" s="45" t="s">
        <v>391</v>
      </c>
      <c r="AK173" s="45">
        <v>100</v>
      </c>
      <c r="AL173" s="34">
        <v>-1</v>
      </c>
      <c r="AM173" s="52">
        <f>+IF(AL173&gt;0,FIXED(Fuelbeds_english!AM173*2.54,1,0),AL173)</f>
        <v>-1</v>
      </c>
      <c r="AN173" s="52">
        <f>+IF(AM173&gt;0,FIXED(Fuelbeds_english!AN173*0.3048,1,0),AM173)</f>
        <v>-1</v>
      </c>
      <c r="AO173" s="52">
        <f>+IF(AN173&gt;0,FIXED(Fuelbeds_english!AO173*0.3048,1,0),AN173)</f>
        <v>-1</v>
      </c>
      <c r="AP173" s="52">
        <f>+IF(AO173&gt;0,FIXED(Fuelbeds_english!AP173*0.3048,1,0),AO173)</f>
        <v>-1</v>
      </c>
      <c r="AQ173" s="52">
        <f>+IF(AP173&gt;0,FIXED(Fuelbeds_english!AQ173*0.3048,1,0),AP173)</f>
        <v>-1</v>
      </c>
      <c r="AR173" s="36">
        <v>-1</v>
      </c>
      <c r="AS173" s="36">
        <v>-1</v>
      </c>
      <c r="AT173" s="36">
        <v>-1</v>
      </c>
      <c r="AU173" s="44">
        <v>-1</v>
      </c>
      <c r="AV173" s="52">
        <f>+IF(AU173&gt;0,FIXED(Fuelbeds_english!AV173*2.54,1,0),AU173)</f>
        <v>-1</v>
      </c>
      <c r="AW173" s="52">
        <v>-1</v>
      </c>
      <c r="AX173" s="52">
        <v>-1</v>
      </c>
      <c r="AY173" s="52">
        <f>+IF(AX173&gt;0,FIXED(Fuelbeds_english!AY173*2.54,1,0),AX173)</f>
        <v>-1</v>
      </c>
      <c r="AZ173" s="36">
        <v>-1</v>
      </c>
      <c r="BA173" s="36">
        <v>-1</v>
      </c>
      <c r="BB173" s="52">
        <f>+IF(BA173&gt;0,FIXED(Fuelbeds_english!BB173*2.54,1,0),BA173)</f>
        <v>-1</v>
      </c>
      <c r="BC173" s="36">
        <v>-1</v>
      </c>
      <c r="BD173" s="36">
        <v>-1</v>
      </c>
      <c r="BE173" s="36">
        <v>-1</v>
      </c>
      <c r="BF173" s="36">
        <v>-1</v>
      </c>
      <c r="BG173" s="36">
        <v>-1</v>
      </c>
      <c r="BH173" s="36">
        <v>-1</v>
      </c>
      <c r="BI173" s="36">
        <v>-1</v>
      </c>
      <c r="BJ173" s="28">
        <v>-1</v>
      </c>
      <c r="BK173" s="36">
        <v>-1</v>
      </c>
      <c r="BL173" s="52">
        <f>+IF(BK173&gt;0,FIXED(Fuelbeds_english!BL173*2.54,1,0),BK173)</f>
        <v>-1</v>
      </c>
      <c r="BM173" s="36">
        <v>-1</v>
      </c>
      <c r="BN173" s="36">
        <v>-1</v>
      </c>
      <c r="BO173" s="52">
        <f>+IF(BN173&gt;0,FIXED(Fuelbeds_english!BO173*2.54,1,0),BN173)</f>
        <v>-1</v>
      </c>
    </row>
    <row r="174" spans="1:67" s="50" customFormat="1" x14ac:dyDescent="0.25">
      <c r="A174" s="50">
        <v>173</v>
      </c>
      <c r="B174" s="52" t="s">
        <v>274</v>
      </c>
      <c r="C174" s="68">
        <v>916061</v>
      </c>
      <c r="D174" s="36" t="s">
        <v>204</v>
      </c>
      <c r="E174" s="11" t="s">
        <v>16</v>
      </c>
      <c r="F174" s="39">
        <v>23.2</v>
      </c>
      <c r="G174" s="36">
        <v>23.2</v>
      </c>
      <c r="H174" s="45">
        <f>+IF(F174&gt;0,INT(Fuelbeds_english!H174*2.471),F174)</f>
        <v>593</v>
      </c>
      <c r="I174" s="36">
        <f>+IF(F174&gt;0,INT(Fuelbeds_english!I174*0.3048),F174)</f>
        <v>16</v>
      </c>
      <c r="J174" s="45">
        <f>+IF(F174&gt;0,INT(Fuelbeds_english!J174*0.3048),F174)</f>
        <v>8</v>
      </c>
      <c r="K174" s="45">
        <f>+IF(F174&gt;0,INT(Fuelbeds_english!K174*2.54),F174)</f>
        <v>16</v>
      </c>
      <c r="L174" s="36">
        <v>19478</v>
      </c>
      <c r="M174" s="36" t="s">
        <v>352</v>
      </c>
      <c r="N174" s="36">
        <v>100</v>
      </c>
      <c r="O174" s="36">
        <v>-1</v>
      </c>
      <c r="P174" s="45">
        <f>+IF(O174&gt;0,INT(Fuelbeds_english!P174*2.471),O174)</f>
        <v>-1</v>
      </c>
      <c r="Q174" s="36">
        <f>+IF(O174&gt;0,INT(Fuelbeds_english!Q174*0.3048),O174)</f>
        <v>-1</v>
      </c>
      <c r="R174" s="45">
        <f>+IF(O174&gt;0,INT(Fuelbeds_english!R174*0.3048),O174)</f>
        <v>-1</v>
      </c>
      <c r="S174" s="45">
        <f>+IF(O174&gt;0,INT(Fuelbeds_english!S174*2.54),O174)</f>
        <v>-1</v>
      </c>
      <c r="T174" s="36">
        <v>-1</v>
      </c>
      <c r="U174" s="36">
        <v>-1</v>
      </c>
      <c r="V174" s="36">
        <v>-1</v>
      </c>
      <c r="W174" s="36">
        <v>-1</v>
      </c>
      <c r="X174" s="98">
        <v>-1</v>
      </c>
      <c r="Y174" s="29">
        <v>6</v>
      </c>
      <c r="Z174" s="88" t="str">
        <f>+IF(Y174&gt;0,FIXED(Fuelbeds_english!Z174*0.3048,1,0),Y174)</f>
        <v>3.0</v>
      </c>
      <c r="AA174" s="46">
        <v>90</v>
      </c>
      <c r="AB174" s="50">
        <v>22476</v>
      </c>
      <c r="AC174" s="50" t="s">
        <v>157</v>
      </c>
      <c r="AD174" s="50">
        <v>100</v>
      </c>
      <c r="AE174" s="42">
        <v>64</v>
      </c>
      <c r="AF174" s="52" t="str">
        <f>+IF(AE174&gt;0,FIXED(Fuelbeds_english!AF174*0.3048,1,0),AE174)</f>
        <v>0.3</v>
      </c>
      <c r="AG174" s="36">
        <v>80</v>
      </c>
      <c r="AH174" s="52" t="str">
        <f>+IF(AE174&gt;0,FIXED(Fuelbeds_english!AH174*2.242,1,0),AE174)</f>
        <v>0.3</v>
      </c>
      <c r="AI174" s="45">
        <v>40529</v>
      </c>
      <c r="AJ174" s="45" t="s">
        <v>356</v>
      </c>
      <c r="AK174" s="45">
        <v>100</v>
      </c>
      <c r="AL174" s="34">
        <v>4.8</v>
      </c>
      <c r="AM174" s="52" t="str">
        <f>+IF(AL174&gt;0,FIXED(Fuelbeds_english!AM174*2.54,1,0),AL174)</f>
        <v>1.9</v>
      </c>
      <c r="AN174" s="52" t="str">
        <f>+IF($AM174&gt;0,FIXED(Fuelbeds_english!AN174*2.242,1,0),$AM174)</f>
        <v>0.2</v>
      </c>
      <c r="AO174" s="52" t="str">
        <f>+IF($AM174&gt;0,FIXED(Fuelbeds_english!AO174*2.242,1,0),$AM174)</f>
        <v>0.3</v>
      </c>
      <c r="AP174" s="52" t="str">
        <f>+IF($AM174&gt;0,FIXED(Fuelbeds_english!AP174*2.242,1,0),$AM174)</f>
        <v>0.8</v>
      </c>
      <c r="AQ174" s="52" t="str">
        <f>+IF($AM174&gt;0,FIXED(Fuelbeds_english!AQ174*2.242,1,0),$AM174)</f>
        <v>1.8</v>
      </c>
      <c r="AR174" s="36">
        <v>19478</v>
      </c>
      <c r="AS174" s="45" t="s">
        <v>352</v>
      </c>
      <c r="AT174" s="45">
        <v>100</v>
      </c>
      <c r="AU174" s="44">
        <v>-1</v>
      </c>
      <c r="AV174" s="52">
        <f>+IF(AU174&gt;0,FIXED(Fuelbeds_english!AV174*2.54,1,0),AU174)</f>
        <v>-1</v>
      </c>
      <c r="AW174" s="88">
        <v>2</v>
      </c>
      <c r="AX174" s="52">
        <v>12.5</v>
      </c>
      <c r="AY174" s="52" t="str">
        <f>+IF(AX174&gt;0,FIXED(Fuelbeds_english!AY174*2.54,1,0),AX174)</f>
        <v>5.1</v>
      </c>
      <c r="AZ174" s="45">
        <v>1</v>
      </c>
      <c r="BA174" s="36">
        <v>27.2</v>
      </c>
      <c r="BB174" s="52" t="str">
        <f>+IF(BA174&gt;0,FIXED(Fuelbeds_english!BB174*2.54,1,0),BA174)</f>
        <v>5.1</v>
      </c>
      <c r="BC174" s="45">
        <v>-1</v>
      </c>
      <c r="BD174" s="45">
        <v>-1</v>
      </c>
      <c r="BE174" s="45">
        <v>-1</v>
      </c>
      <c r="BF174" s="45">
        <v>100</v>
      </c>
      <c r="BG174" s="45">
        <v>-1</v>
      </c>
      <c r="BH174" s="45">
        <v>-1</v>
      </c>
      <c r="BI174" s="45">
        <v>-1</v>
      </c>
      <c r="BJ174" s="28">
        <v>1</v>
      </c>
      <c r="BK174" s="36">
        <v>28.8</v>
      </c>
      <c r="BL174" s="52" t="str">
        <f>+IF(BK174&gt;0,FIXED(Fuelbeds_english!BL174*2.54,1,0),BK174)</f>
        <v>6.4</v>
      </c>
      <c r="BM174" s="45">
        <v>3</v>
      </c>
      <c r="BN174" s="36">
        <v>28.8</v>
      </c>
      <c r="BO174" s="52" t="str">
        <f>+IF(BN174&gt;0,FIXED(Fuelbeds_english!BO174*2.54,1,0),BN174)</f>
        <v>2.5</v>
      </c>
    </row>
    <row r="175" spans="1:67" s="50" customFormat="1" x14ac:dyDescent="0.25">
      <c r="A175" s="50">
        <v>174</v>
      </c>
      <c r="B175" s="52" t="s">
        <v>275</v>
      </c>
      <c r="C175" s="68">
        <v>926061</v>
      </c>
      <c r="D175" s="36" t="s">
        <v>204</v>
      </c>
      <c r="E175" s="11" t="s">
        <v>16</v>
      </c>
      <c r="F175" s="39">
        <v>56.8</v>
      </c>
      <c r="G175" s="36">
        <v>56.8</v>
      </c>
      <c r="H175" s="45">
        <f>+IF(F175&gt;0,INT(Fuelbeds_english!H175*2.471),F175)</f>
        <v>1451</v>
      </c>
      <c r="I175" s="36">
        <f>+IF(F175&gt;0,INT(Fuelbeds_english!I175*0.3048),F175)</f>
        <v>20</v>
      </c>
      <c r="J175" s="45">
        <f>+IF(F175&gt;0,INT(Fuelbeds_english!J175*0.3048),F175)</f>
        <v>10</v>
      </c>
      <c r="K175" s="45">
        <f>+IF(F175&gt;0,INT(Fuelbeds_english!K175*2.54),F175)</f>
        <v>17</v>
      </c>
      <c r="L175" s="36">
        <v>19478</v>
      </c>
      <c r="M175" s="36" t="s">
        <v>352</v>
      </c>
      <c r="N175" s="36">
        <v>100</v>
      </c>
      <c r="O175" s="36">
        <v>-1</v>
      </c>
      <c r="P175" s="45">
        <f>+IF(O175&gt;0,INT(Fuelbeds_english!P175*2.471),O175)</f>
        <v>-1</v>
      </c>
      <c r="Q175" s="36">
        <f>+IF(O175&gt;0,INT(Fuelbeds_english!Q175*0.3048),O175)</f>
        <v>-1</v>
      </c>
      <c r="R175" s="45">
        <f>+IF(O175&gt;0,INT(Fuelbeds_english!R175*0.3048),O175)</f>
        <v>-1</v>
      </c>
      <c r="S175" s="45">
        <f>+IF(O175&gt;0,INT(Fuelbeds_english!S175*2.54),O175)</f>
        <v>-1</v>
      </c>
      <c r="T175" s="36">
        <v>-1</v>
      </c>
      <c r="U175" s="36">
        <v>-1</v>
      </c>
      <c r="V175" s="36">
        <v>-1</v>
      </c>
      <c r="W175" s="36">
        <v>-1</v>
      </c>
      <c r="X175" s="98">
        <v>-1</v>
      </c>
      <c r="Y175" s="29">
        <v>6</v>
      </c>
      <c r="Z175" s="88" t="str">
        <f>+IF(Y175&gt;0,FIXED(Fuelbeds_english!Z175*0.3048,1,0),Y175)</f>
        <v>3.0</v>
      </c>
      <c r="AA175" s="46">
        <v>90</v>
      </c>
      <c r="AB175" s="50">
        <v>22476</v>
      </c>
      <c r="AC175" s="50" t="s">
        <v>157</v>
      </c>
      <c r="AD175" s="50">
        <v>100</v>
      </c>
      <c r="AE175" s="42">
        <v>30</v>
      </c>
      <c r="AF175" s="52" t="str">
        <f>+IF(AE175&gt;0,FIXED(Fuelbeds_english!AF175*0.3048,1,0),AE175)</f>
        <v>0.3</v>
      </c>
      <c r="AG175" s="36">
        <v>80</v>
      </c>
      <c r="AH175" s="52" t="str">
        <f>+IF(AE175&gt;0,FIXED(Fuelbeds_english!AH175*2.242,1,0),AE175)</f>
        <v>0.1</v>
      </c>
      <c r="AI175" s="45">
        <v>40529</v>
      </c>
      <c r="AJ175" s="45" t="s">
        <v>356</v>
      </c>
      <c r="AK175" s="45">
        <v>100</v>
      </c>
      <c r="AL175" s="34">
        <v>11.8</v>
      </c>
      <c r="AM175" s="52" t="str">
        <f>+IF(AL175&gt;0,FIXED(Fuelbeds_english!AM175*2.54,1,0),AL175)</f>
        <v>1.9</v>
      </c>
      <c r="AN175" s="52" t="str">
        <f>+IF($AM175&gt;0,FIXED(Fuelbeds_english!AN175*2.242,1,0),$AM175)</f>
        <v>0.4</v>
      </c>
      <c r="AO175" s="52" t="str">
        <f>+IF($AM175&gt;0,FIXED(Fuelbeds_english!AO175*2.242,1,0),$AM175)</f>
        <v>0.6</v>
      </c>
      <c r="AP175" s="52" t="str">
        <f>+IF($AM175&gt;0,FIXED(Fuelbeds_english!AP175*2.242,1,0),$AM175)</f>
        <v>2.0</v>
      </c>
      <c r="AQ175" s="52" t="str">
        <f>+IF($AM175&gt;0,FIXED(Fuelbeds_english!AQ175*2.242,1,0),$AM175)</f>
        <v>4.4</v>
      </c>
      <c r="AR175" s="36">
        <v>19478</v>
      </c>
      <c r="AS175" s="45" t="s">
        <v>352</v>
      </c>
      <c r="AT175" s="45">
        <v>100</v>
      </c>
      <c r="AU175" s="44">
        <v>-1</v>
      </c>
      <c r="AV175" s="52">
        <f>+IF(AU175&gt;0,FIXED(Fuelbeds_english!AV175*2.54,1,0),AU175)</f>
        <v>-1</v>
      </c>
      <c r="AW175" s="88">
        <v>2</v>
      </c>
      <c r="AX175" s="52">
        <v>12.5</v>
      </c>
      <c r="AY175" s="52" t="str">
        <f>+IF(AX175&gt;0,FIXED(Fuelbeds_english!AY175*2.54,1,0),AX175)</f>
        <v>5.1</v>
      </c>
      <c r="AZ175" s="45">
        <v>1</v>
      </c>
      <c r="BA175" s="36">
        <v>66.599999999999994</v>
      </c>
      <c r="BB175" s="52" t="str">
        <f>+IF(BA175&gt;0,FIXED(Fuelbeds_english!BB175*2.54,1,0),BA175)</f>
        <v>5.1</v>
      </c>
      <c r="BC175" s="45">
        <v>-1</v>
      </c>
      <c r="BD175" s="45">
        <v>-1</v>
      </c>
      <c r="BE175" s="45">
        <v>-1</v>
      </c>
      <c r="BF175" s="45">
        <v>100</v>
      </c>
      <c r="BG175" s="45">
        <v>-1</v>
      </c>
      <c r="BH175" s="45">
        <v>-1</v>
      </c>
      <c r="BI175" s="45">
        <v>-1</v>
      </c>
      <c r="BJ175" s="28">
        <v>1</v>
      </c>
      <c r="BK175" s="36">
        <v>70.5</v>
      </c>
      <c r="BL175" s="52" t="str">
        <f>+IF(BK175&gt;0,FIXED(Fuelbeds_english!BL175*2.54,1,0),BK175)</f>
        <v>6.4</v>
      </c>
      <c r="BM175" s="45">
        <v>3</v>
      </c>
      <c r="BN175" s="36">
        <v>70.5</v>
      </c>
      <c r="BO175" s="52" t="str">
        <f>+IF(BN175&gt;0,FIXED(Fuelbeds_english!BO175*2.54,1,0),BN175)</f>
        <v>2.5</v>
      </c>
    </row>
    <row r="176" spans="1:67" s="50" customFormat="1" x14ac:dyDescent="0.25">
      <c r="A176" s="50">
        <v>175</v>
      </c>
      <c r="B176" s="52" t="s">
        <v>276</v>
      </c>
      <c r="C176" s="68">
        <v>936061</v>
      </c>
      <c r="D176" s="36" t="s">
        <v>204</v>
      </c>
      <c r="E176" s="11" t="s">
        <v>16</v>
      </c>
      <c r="F176" s="39">
        <v>73.3</v>
      </c>
      <c r="G176" s="36">
        <v>73.3</v>
      </c>
      <c r="H176" s="45">
        <f>+IF(F176&gt;0,INT(Fuelbeds_english!H176*2.471),F176)</f>
        <v>1873</v>
      </c>
      <c r="I176" s="36">
        <f>+IF(F176&gt;0,INT(Fuelbeds_english!I176*0.3048),F176)</f>
        <v>21</v>
      </c>
      <c r="J176" s="45">
        <f>+IF(F176&gt;0,INT(Fuelbeds_english!J176*0.3048),F176)</f>
        <v>11</v>
      </c>
      <c r="K176" s="45">
        <f>+IF(F176&gt;0,INT(Fuelbeds_english!K176*2.54),F176)</f>
        <v>15</v>
      </c>
      <c r="L176" s="36">
        <v>19478</v>
      </c>
      <c r="M176" s="36" t="s">
        <v>352</v>
      </c>
      <c r="N176" s="36">
        <v>100</v>
      </c>
      <c r="O176" s="36">
        <v>-1</v>
      </c>
      <c r="P176" s="45">
        <f>+IF(O176&gt;0,INT(Fuelbeds_english!P176*2.471),O176)</f>
        <v>-1</v>
      </c>
      <c r="Q176" s="36">
        <f>+IF(O176&gt;0,INT(Fuelbeds_english!Q176*0.3048),O176)</f>
        <v>-1</v>
      </c>
      <c r="R176" s="45">
        <f>+IF(O176&gt;0,INT(Fuelbeds_english!R176*0.3048),O176)</f>
        <v>-1</v>
      </c>
      <c r="S176" s="45">
        <f>+IF(O176&gt;0,INT(Fuelbeds_english!S176*2.54),O176)</f>
        <v>-1</v>
      </c>
      <c r="T176" s="36">
        <v>-1</v>
      </c>
      <c r="U176" s="36">
        <v>-1</v>
      </c>
      <c r="V176" s="36">
        <v>-1</v>
      </c>
      <c r="W176" s="36">
        <v>-1</v>
      </c>
      <c r="X176" s="98">
        <v>-1</v>
      </c>
      <c r="Y176" s="29">
        <v>6</v>
      </c>
      <c r="Z176" s="88" t="str">
        <f>+IF(Y176&gt;0,FIXED(Fuelbeds_english!Z176*0.3048,1,0),Y176)</f>
        <v>3.0</v>
      </c>
      <c r="AA176" s="46">
        <v>90</v>
      </c>
      <c r="AB176" s="50">
        <v>22476</v>
      </c>
      <c r="AC176" s="50" t="s">
        <v>157</v>
      </c>
      <c r="AD176" s="50">
        <v>100</v>
      </c>
      <c r="AE176" s="42">
        <v>14</v>
      </c>
      <c r="AF176" s="52" t="str">
        <f>+IF(AE176&gt;0,FIXED(Fuelbeds_english!AF176*0.3048,1,0),AE176)</f>
        <v>0.3</v>
      </c>
      <c r="AG176" s="36">
        <v>80</v>
      </c>
      <c r="AH176" s="52" t="str">
        <f>+IF(AE176&gt;0,FIXED(Fuelbeds_english!AH176*2.242,1,0),AE176)</f>
        <v>0.1</v>
      </c>
      <c r="AI176" s="45">
        <v>40529</v>
      </c>
      <c r="AJ176" s="45" t="s">
        <v>356</v>
      </c>
      <c r="AK176" s="45">
        <v>100</v>
      </c>
      <c r="AL176" s="34">
        <v>15.2</v>
      </c>
      <c r="AM176" s="52" t="str">
        <f>+IF(AL176&gt;0,FIXED(Fuelbeds_english!AM176*2.54,1,0),AL176)</f>
        <v>1.9</v>
      </c>
      <c r="AN176" s="52" t="str">
        <f>+IF($AM176&gt;0,FIXED(Fuelbeds_english!AN176*2.242,1,0),$AM176)</f>
        <v>0.6</v>
      </c>
      <c r="AO176" s="52" t="str">
        <f>+IF($AM176&gt;0,FIXED(Fuelbeds_english!AO176*2.242,1,0),$AM176)</f>
        <v>0.8</v>
      </c>
      <c r="AP176" s="52" t="str">
        <f>+IF($AM176&gt;0,FIXED(Fuelbeds_english!AP176*2.242,1,0),$AM176)</f>
        <v>2.6</v>
      </c>
      <c r="AQ176" s="52" t="str">
        <f>+IF($AM176&gt;0,FIXED(Fuelbeds_english!AQ176*2.242,1,0),$AM176)</f>
        <v>5.7</v>
      </c>
      <c r="AR176" s="36">
        <v>19478</v>
      </c>
      <c r="AS176" s="45" t="s">
        <v>352</v>
      </c>
      <c r="AT176" s="45">
        <v>100</v>
      </c>
      <c r="AU176" s="44">
        <v>-1</v>
      </c>
      <c r="AV176" s="52">
        <f>+IF(AU176&gt;0,FIXED(Fuelbeds_english!AV176*2.54,1,0),AU176)</f>
        <v>-1</v>
      </c>
      <c r="AW176" s="88">
        <v>2</v>
      </c>
      <c r="AX176" s="52">
        <v>12.5</v>
      </c>
      <c r="AY176" s="52" t="str">
        <f>+IF(AX176&gt;0,FIXED(Fuelbeds_english!AY176*2.54,1,0),AX176)</f>
        <v>5.1</v>
      </c>
      <c r="AZ176" s="45">
        <v>1</v>
      </c>
      <c r="BA176" s="36">
        <v>85.9</v>
      </c>
      <c r="BB176" s="52" t="str">
        <f>+IF(BA176&gt;0,FIXED(Fuelbeds_english!BB176*2.54,1,0),BA176)</f>
        <v>5.1</v>
      </c>
      <c r="BC176" s="45">
        <v>-1</v>
      </c>
      <c r="BD176" s="45">
        <v>-1</v>
      </c>
      <c r="BE176" s="45">
        <v>-1</v>
      </c>
      <c r="BF176" s="45">
        <v>100</v>
      </c>
      <c r="BG176" s="45">
        <v>-1</v>
      </c>
      <c r="BH176" s="45">
        <v>-1</v>
      </c>
      <c r="BI176" s="45">
        <v>-1</v>
      </c>
      <c r="BJ176" s="28">
        <v>1</v>
      </c>
      <c r="BK176" s="36">
        <v>91</v>
      </c>
      <c r="BL176" s="52" t="str">
        <f>+IF(BK176&gt;0,FIXED(Fuelbeds_english!BL176*2.54,1,0),BK176)</f>
        <v>6.4</v>
      </c>
      <c r="BM176" s="45">
        <v>3</v>
      </c>
      <c r="BN176" s="36">
        <v>91</v>
      </c>
      <c r="BO176" s="52" t="str">
        <f>+IF(BN176&gt;0,FIXED(Fuelbeds_english!BO176*2.54,1,0),BN176)</f>
        <v>2.5</v>
      </c>
    </row>
    <row r="177" spans="1:67" s="50" customFormat="1" x14ac:dyDescent="0.25">
      <c r="A177" s="50">
        <v>176</v>
      </c>
      <c r="B177" s="52" t="s">
        <v>277</v>
      </c>
      <c r="C177" s="68">
        <v>916091</v>
      </c>
      <c r="D177" s="36" t="s">
        <v>204</v>
      </c>
      <c r="E177" s="24" t="s">
        <v>353</v>
      </c>
      <c r="F177" s="39">
        <v>23.1</v>
      </c>
      <c r="G177" s="36">
        <v>23.1</v>
      </c>
      <c r="H177" s="45">
        <f>+IF(F177&gt;0,INT(Fuelbeds_english!H177*2.471),F177)</f>
        <v>741</v>
      </c>
      <c r="I177" s="36">
        <f>+IF(F177&gt;0,INT(Fuelbeds_english!I177*0.3048),F177)</f>
        <v>12</v>
      </c>
      <c r="J177" s="45">
        <f>+IF(F177&gt;0,INT(Fuelbeds_english!J177*0.3048),F177)</f>
        <v>3</v>
      </c>
      <c r="K177" s="45">
        <f>+IF(F177&gt;0,INT(Fuelbeds_english!K177*2.54),F177)</f>
        <v>10</v>
      </c>
      <c r="L177" s="36">
        <v>18033</v>
      </c>
      <c r="M177" s="36" t="s">
        <v>355</v>
      </c>
      <c r="N177" s="36">
        <v>100</v>
      </c>
      <c r="O177" s="36">
        <v>-1</v>
      </c>
      <c r="P177" s="45">
        <f>+IF(O177&gt;0,INT(Fuelbeds_english!P177*2.471),O177)</f>
        <v>-1</v>
      </c>
      <c r="Q177" s="36">
        <f>+IF(O177&gt;0,INT(Fuelbeds_english!Q177*0.3048),O177)</f>
        <v>-1</v>
      </c>
      <c r="R177" s="45">
        <f>+IF(O177&gt;0,INT(Fuelbeds_english!R177*0.3048),O177)</f>
        <v>-1</v>
      </c>
      <c r="S177" s="45">
        <f>+IF(O177&gt;0,INT(Fuelbeds_english!S177*2.54),O177)</f>
        <v>-1</v>
      </c>
      <c r="T177" s="36">
        <v>-1</v>
      </c>
      <c r="U177" s="36">
        <v>-1</v>
      </c>
      <c r="V177" s="36">
        <v>-1</v>
      </c>
      <c r="W177" s="36">
        <v>1</v>
      </c>
      <c r="X177" s="98">
        <v>2</v>
      </c>
      <c r="Y177" s="29">
        <v>10</v>
      </c>
      <c r="Z177" s="88" t="str">
        <f>+IF(Y177&gt;0,FIXED(Fuelbeds_english!Z177*0.3048,1,0),Y177)</f>
        <v>0.9</v>
      </c>
      <c r="AA177" s="46">
        <v>90</v>
      </c>
      <c r="AB177" s="50">
        <v>19479</v>
      </c>
      <c r="AC177" s="50" t="s">
        <v>357</v>
      </c>
      <c r="AD177" s="50">
        <v>100</v>
      </c>
      <c r="AE177" s="42">
        <v>22</v>
      </c>
      <c r="AF177" s="52" t="str">
        <f>+IF(AE177&gt;0,FIXED(Fuelbeds_english!AF177*0.3048,1,0),AE177)</f>
        <v>0.4</v>
      </c>
      <c r="AG177" s="36">
        <v>80</v>
      </c>
      <c r="AH177" s="52" t="str">
        <f>+IF(AE177&gt;0,FIXED(Fuelbeds_english!AH177*2.242,1,0),AE177)</f>
        <v>2.2</v>
      </c>
      <c r="AI177" s="45">
        <v>40529</v>
      </c>
      <c r="AJ177" s="45" t="s">
        <v>356</v>
      </c>
      <c r="AK177" s="45">
        <v>100</v>
      </c>
      <c r="AL177" s="34">
        <v>17</v>
      </c>
      <c r="AM177" s="52" t="str">
        <f>+IF(AL177&gt;0,FIXED(Fuelbeds_english!AM177*2.54,1,0),AL177)</f>
        <v>4.7</v>
      </c>
      <c r="AN177" s="52" t="str">
        <f>+IF($AM177&gt;0,FIXED(Fuelbeds_english!AN177*2.242,1,0),$AM177)</f>
        <v>0.7</v>
      </c>
      <c r="AO177" s="52" t="str">
        <f>+IF($AM177&gt;0,FIXED(Fuelbeds_english!AO177*2.242,1,0),$AM177)</f>
        <v>0.7</v>
      </c>
      <c r="AP177" s="52" t="str">
        <f>+IF($AM177&gt;0,FIXED(Fuelbeds_english!AP177*2.242,1,0),$AM177)</f>
        <v>2.0</v>
      </c>
      <c r="AQ177" s="52" t="str">
        <f>+IF($AM177&gt;0,FIXED(Fuelbeds_english!AQ177*2.242,1,0),$AM177)</f>
        <v>5.9</v>
      </c>
      <c r="AR177" s="36">
        <v>18033</v>
      </c>
      <c r="AS177" s="36" t="s">
        <v>355</v>
      </c>
      <c r="AT177" s="36">
        <v>100</v>
      </c>
      <c r="AU177" s="44">
        <v>14</v>
      </c>
      <c r="AV177" s="52" t="str">
        <f>+IF(AU177&gt;0,FIXED(Fuelbeds_english!AV177*2.54,1,0),AU177)</f>
        <v>5.1</v>
      </c>
      <c r="AW177" s="88">
        <v>2</v>
      </c>
      <c r="AX177" s="52">
        <v>64</v>
      </c>
      <c r="AY177" s="52" t="str">
        <f>+IF(AX177&gt;0,FIXED(Fuelbeds_english!AY177*2.54,1,0),AX177)</f>
        <v>17.3</v>
      </c>
      <c r="AZ177" s="45">
        <v>1</v>
      </c>
      <c r="BA177" s="36">
        <v>8</v>
      </c>
      <c r="BB177" s="52" t="str">
        <f>+IF(BA177&gt;0,FIXED(Fuelbeds_english!BB177*2.54,1,0),BA177)</f>
        <v>1.8</v>
      </c>
      <c r="BC177" s="45">
        <v>-1</v>
      </c>
      <c r="BD177" s="45">
        <v>-1</v>
      </c>
      <c r="BE177" s="45">
        <v>100</v>
      </c>
      <c r="BF177" s="45">
        <v>-1</v>
      </c>
      <c r="BG177" s="45">
        <v>-1</v>
      </c>
      <c r="BH177" s="45">
        <v>-1</v>
      </c>
      <c r="BI177" s="45">
        <v>-1</v>
      </c>
      <c r="BJ177" s="28">
        <v>1</v>
      </c>
      <c r="BK177" s="36">
        <v>60</v>
      </c>
      <c r="BL177" s="52" t="str">
        <f>+IF(BK177&gt;0,FIXED(Fuelbeds_english!BL177*2.54,1,0),BK177)</f>
        <v>17.0</v>
      </c>
      <c r="BM177" s="45">
        <v>3</v>
      </c>
      <c r="BN177" s="36">
        <v>48</v>
      </c>
      <c r="BO177" s="52" t="str">
        <f>+IF(BN177&gt;0,FIXED(Fuelbeds_english!BO177*2.54,1,0),BN177)</f>
        <v>12.7</v>
      </c>
    </row>
    <row r="178" spans="1:67" s="50" customFormat="1" x14ac:dyDescent="0.25">
      <c r="A178" s="50">
        <v>177</v>
      </c>
      <c r="B178" s="52" t="s">
        <v>278</v>
      </c>
      <c r="C178" s="68">
        <v>926091</v>
      </c>
      <c r="D178" s="36" t="s">
        <v>204</v>
      </c>
      <c r="E178" s="24" t="s">
        <v>353</v>
      </c>
      <c r="F178" s="39">
        <v>56.1</v>
      </c>
      <c r="G178" s="36">
        <v>56.1</v>
      </c>
      <c r="H178" s="45">
        <f>+IF(F178&gt;0,INT(Fuelbeds_english!H178*2.471),F178)</f>
        <v>1801</v>
      </c>
      <c r="I178" s="36">
        <f>+IF(F178&gt;0,INT(Fuelbeds_english!I178*0.3048),F178)</f>
        <v>16</v>
      </c>
      <c r="J178" s="45">
        <f>+IF(F178&gt;0,INT(Fuelbeds_english!J178*0.3048),F178)</f>
        <v>4</v>
      </c>
      <c r="K178" s="45">
        <f>+IF(F178&gt;0,INT(Fuelbeds_english!K178*2.54),F178)</f>
        <v>12</v>
      </c>
      <c r="L178" s="36">
        <v>18033</v>
      </c>
      <c r="M178" s="36" t="s">
        <v>355</v>
      </c>
      <c r="N178" s="36">
        <v>100</v>
      </c>
      <c r="O178" s="36">
        <v>-1</v>
      </c>
      <c r="P178" s="45">
        <f>+IF(O178&gt;0,INT(Fuelbeds_english!P178*2.471),O178)</f>
        <v>-1</v>
      </c>
      <c r="Q178" s="36">
        <f>+IF(O178&gt;0,INT(Fuelbeds_english!Q178*0.3048),O178)</f>
        <v>-1</v>
      </c>
      <c r="R178" s="45">
        <f>+IF(O178&gt;0,INT(Fuelbeds_english!R178*0.3048),O178)</f>
        <v>-1</v>
      </c>
      <c r="S178" s="45">
        <f>+IF(O178&gt;0,INT(Fuelbeds_english!S178*2.54),O178)</f>
        <v>-1</v>
      </c>
      <c r="T178" s="36">
        <v>-1</v>
      </c>
      <c r="U178" s="36">
        <v>-1</v>
      </c>
      <c r="V178" s="36">
        <v>-1</v>
      </c>
      <c r="W178" s="36">
        <v>1</v>
      </c>
      <c r="X178" s="98">
        <v>2</v>
      </c>
      <c r="Y178" s="29">
        <v>10</v>
      </c>
      <c r="Z178" s="88" t="str">
        <f>+IF(Y178&gt;0,FIXED(Fuelbeds_english!Z178*0.3048,1,0),Y178)</f>
        <v>0.9</v>
      </c>
      <c r="AA178" s="46">
        <v>90</v>
      </c>
      <c r="AB178" s="50">
        <v>19479</v>
      </c>
      <c r="AC178" s="50" t="s">
        <v>357</v>
      </c>
      <c r="AD178" s="50">
        <v>100</v>
      </c>
      <c r="AE178" s="42">
        <v>20</v>
      </c>
      <c r="AF178" s="52" t="str">
        <f>+IF(AE178&gt;0,FIXED(Fuelbeds_english!AF178*0.3048,1,0),AE178)</f>
        <v>0.4</v>
      </c>
      <c r="AG178" s="36">
        <v>80</v>
      </c>
      <c r="AH178" s="52" t="str">
        <f>+IF(AE178&gt;0,FIXED(Fuelbeds_english!AH178*2.242,1,0),AE178)</f>
        <v>1.2</v>
      </c>
      <c r="AI178" s="45">
        <v>40529</v>
      </c>
      <c r="AJ178" s="45" t="s">
        <v>356</v>
      </c>
      <c r="AK178" s="45">
        <v>100</v>
      </c>
      <c r="AL178" s="34">
        <v>40</v>
      </c>
      <c r="AM178" s="52" t="str">
        <f>+IF(AL178&gt;0,FIXED(Fuelbeds_english!AM178*2.54,1,0),AL178)</f>
        <v>4.7</v>
      </c>
      <c r="AN178" s="52" t="str">
        <f>+IF($AM178&gt;0,FIXED(Fuelbeds_english!AN178*2.242,1,0),$AM178)</f>
        <v>0.7</v>
      </c>
      <c r="AO178" s="52" t="str">
        <f>+IF($AM178&gt;0,FIXED(Fuelbeds_english!AO178*2.242,1,0),$AM178)</f>
        <v>1.8</v>
      </c>
      <c r="AP178" s="52" t="str">
        <f>+IF($AM178&gt;0,FIXED(Fuelbeds_english!AP178*2.242,1,0),$AM178)</f>
        <v>4.9</v>
      </c>
      <c r="AQ178" s="52" t="str">
        <f>+IF($AM178&gt;0,FIXED(Fuelbeds_english!AQ178*2.242,1,0),$AM178)</f>
        <v>14.3</v>
      </c>
      <c r="AR178" s="36">
        <v>18033</v>
      </c>
      <c r="AS178" s="36" t="s">
        <v>355</v>
      </c>
      <c r="AT178" s="36">
        <v>100</v>
      </c>
      <c r="AU178" s="44">
        <v>14</v>
      </c>
      <c r="AV178" s="52" t="str">
        <f>+IF(AU178&gt;0,FIXED(Fuelbeds_english!AV178*2.54,1,0),AU178)</f>
        <v>5.1</v>
      </c>
      <c r="AW178" s="88">
        <v>2</v>
      </c>
      <c r="AX178" s="52">
        <v>64</v>
      </c>
      <c r="AY178" s="52" t="str">
        <f>+IF(AX178&gt;0,FIXED(Fuelbeds_english!AY178*2.54,1,0),AX178)</f>
        <v>17.3</v>
      </c>
      <c r="AZ178" s="45">
        <v>1</v>
      </c>
      <c r="BA178" s="36">
        <v>19</v>
      </c>
      <c r="BB178" s="52" t="str">
        <f>+IF(BA178&gt;0,FIXED(Fuelbeds_english!BB178*2.54,1,0),BA178)</f>
        <v>1.8</v>
      </c>
      <c r="BC178" s="45">
        <v>-1</v>
      </c>
      <c r="BD178" s="45">
        <v>-1</v>
      </c>
      <c r="BE178" s="45">
        <v>100</v>
      </c>
      <c r="BF178" s="45">
        <v>-1</v>
      </c>
      <c r="BG178" s="45">
        <v>-1</v>
      </c>
      <c r="BH178" s="45">
        <v>-1</v>
      </c>
      <c r="BI178" s="45">
        <v>-1</v>
      </c>
      <c r="BJ178" s="28">
        <v>1</v>
      </c>
      <c r="BK178" s="36">
        <v>100</v>
      </c>
      <c r="BL178" s="52" t="str">
        <f>+IF(BK178&gt;0,FIXED(Fuelbeds_english!BL178*2.54,1,0),BK178)</f>
        <v>17.0</v>
      </c>
      <c r="BM178" s="45">
        <v>3</v>
      </c>
      <c r="BN178" s="36">
        <v>100</v>
      </c>
      <c r="BO178" s="52" t="str">
        <f>+IF(BN178&gt;0,FIXED(Fuelbeds_english!BO178*2.54,1,0),BN178)</f>
        <v>12.7</v>
      </c>
    </row>
    <row r="179" spans="1:67" s="50" customFormat="1" x14ac:dyDescent="0.25">
      <c r="A179" s="50">
        <v>178</v>
      </c>
      <c r="B179" s="52" t="s">
        <v>279</v>
      </c>
      <c r="C179" s="68">
        <v>936091</v>
      </c>
      <c r="D179" s="36" t="s">
        <v>204</v>
      </c>
      <c r="E179" s="24" t="s">
        <v>353</v>
      </c>
      <c r="F179" s="39">
        <v>74.400000000000006</v>
      </c>
      <c r="G179" s="36">
        <v>74.400000000000006</v>
      </c>
      <c r="H179" s="45">
        <f>+IF(F179&gt;0,INT(Fuelbeds_english!H179*2.471),F179)</f>
        <v>2388</v>
      </c>
      <c r="I179" s="36">
        <f>+IF(F179&gt;0,INT(Fuelbeds_english!I179*0.3048),F179)</f>
        <v>20</v>
      </c>
      <c r="J179" s="45">
        <f>+IF(F179&gt;0,INT(Fuelbeds_english!J179*0.3048),F179)</f>
        <v>5</v>
      </c>
      <c r="K179" s="45">
        <f>+IF(F179&gt;0,INT(Fuelbeds_english!K179*2.54),F179)</f>
        <v>15</v>
      </c>
      <c r="L179" s="36">
        <v>18033</v>
      </c>
      <c r="M179" s="36" t="s">
        <v>355</v>
      </c>
      <c r="N179" s="36">
        <v>100</v>
      </c>
      <c r="O179" s="36">
        <v>-1</v>
      </c>
      <c r="P179" s="45">
        <f>+IF(O179&gt;0,INT(Fuelbeds_english!P179*2.471),O179)</f>
        <v>-1</v>
      </c>
      <c r="Q179" s="36">
        <f>+IF(O179&gt;0,INT(Fuelbeds_english!Q179*0.3048),O179)</f>
        <v>-1</v>
      </c>
      <c r="R179" s="45">
        <f>+IF(O179&gt;0,INT(Fuelbeds_english!R179*0.3048),O179)</f>
        <v>-1</v>
      </c>
      <c r="S179" s="45">
        <f>+IF(O179&gt;0,INT(Fuelbeds_english!S179*2.54),O179)</f>
        <v>-1</v>
      </c>
      <c r="T179" s="36">
        <v>-1</v>
      </c>
      <c r="U179" s="36">
        <v>-1</v>
      </c>
      <c r="V179" s="36">
        <v>-1</v>
      </c>
      <c r="W179" s="36">
        <v>1</v>
      </c>
      <c r="X179" s="98">
        <v>2</v>
      </c>
      <c r="Y179" s="29">
        <v>10</v>
      </c>
      <c r="Z179" s="88" t="str">
        <f>+IF(Y179&gt;0,FIXED(Fuelbeds_english!Z179*0.3048,1,0),Y179)</f>
        <v>0.9</v>
      </c>
      <c r="AA179" s="46">
        <v>90</v>
      </c>
      <c r="AB179" s="50">
        <v>19479</v>
      </c>
      <c r="AC179" s="50" t="s">
        <v>357</v>
      </c>
      <c r="AD179" s="50">
        <v>100</v>
      </c>
      <c r="AE179" s="42">
        <v>5</v>
      </c>
      <c r="AF179" s="52" t="str">
        <f>+IF(AE179&gt;0,FIXED(Fuelbeds_english!AF179*0.3048,1,0),AE179)</f>
        <v>0.4</v>
      </c>
      <c r="AG179" s="36">
        <v>80</v>
      </c>
      <c r="AH179" s="52" t="str">
        <f>+IF(AE179&gt;0,FIXED(Fuelbeds_english!AH179*2.242,1,0),AE179)</f>
        <v>0.4</v>
      </c>
      <c r="AI179" s="45">
        <v>40529</v>
      </c>
      <c r="AJ179" s="45" t="s">
        <v>356</v>
      </c>
      <c r="AK179" s="45">
        <v>100</v>
      </c>
      <c r="AL179" s="34">
        <v>54</v>
      </c>
      <c r="AM179" s="52" t="str">
        <f>+IF(AL179&gt;0,FIXED(Fuelbeds_english!AM179*2.54,1,0),AL179)</f>
        <v>4.7</v>
      </c>
      <c r="AN179" s="52" t="str">
        <f>+IF($AM179&gt;0,FIXED(Fuelbeds_english!AN179*2.242,1,0),$AM179)</f>
        <v>0.7</v>
      </c>
      <c r="AO179" s="52" t="str">
        <f>+IF($AM179&gt;0,FIXED(Fuelbeds_english!AO179*2.242,1,0),$AM179)</f>
        <v>2.4</v>
      </c>
      <c r="AP179" s="52" t="str">
        <f>+IF($AM179&gt;0,FIXED(Fuelbeds_english!AP179*2.242,1,0),$AM179)</f>
        <v>6.5</v>
      </c>
      <c r="AQ179" s="52" t="str">
        <f>+IF($AM179&gt;0,FIXED(Fuelbeds_english!AQ179*2.242,1,0),$AM179)</f>
        <v>19.0</v>
      </c>
      <c r="AR179" s="36">
        <v>18033</v>
      </c>
      <c r="AS179" s="36" t="s">
        <v>355</v>
      </c>
      <c r="AT179" s="36">
        <v>100</v>
      </c>
      <c r="AU179" s="44">
        <v>14</v>
      </c>
      <c r="AV179" s="52" t="str">
        <f>+IF(AU179&gt;0,FIXED(Fuelbeds_english!AV179*2.54,1,0),AU179)</f>
        <v>5.1</v>
      </c>
      <c r="AW179" s="88">
        <v>2</v>
      </c>
      <c r="AX179" s="52">
        <v>64</v>
      </c>
      <c r="AY179" s="52" t="str">
        <f>+IF(AX179&gt;0,FIXED(Fuelbeds_english!AY179*2.54,1,0),AX179)</f>
        <v>17.3</v>
      </c>
      <c r="AZ179" s="45">
        <v>1</v>
      </c>
      <c r="BA179" s="36">
        <v>25</v>
      </c>
      <c r="BB179" s="52" t="str">
        <f>+IF(BA179&gt;0,FIXED(Fuelbeds_english!BB179*2.54,1,0),BA179)</f>
        <v>1.8</v>
      </c>
      <c r="BC179" s="45">
        <v>-1</v>
      </c>
      <c r="BD179" s="45">
        <v>-1</v>
      </c>
      <c r="BE179" s="45">
        <v>100</v>
      </c>
      <c r="BF179" s="45">
        <v>-1</v>
      </c>
      <c r="BG179" s="45">
        <v>-1</v>
      </c>
      <c r="BH179" s="45">
        <v>-1</v>
      </c>
      <c r="BI179" s="45">
        <v>-1</v>
      </c>
      <c r="BJ179" s="28">
        <v>1</v>
      </c>
      <c r="BK179" s="36">
        <v>100</v>
      </c>
      <c r="BL179" s="52" t="str">
        <f>+IF(BK179&gt;0,FIXED(Fuelbeds_english!BL179*2.54,1,0),BK179)</f>
        <v>17.0</v>
      </c>
      <c r="BM179" s="45">
        <v>3</v>
      </c>
      <c r="BN179" s="36">
        <v>100</v>
      </c>
      <c r="BO179" s="52" t="str">
        <f>+IF(BN179&gt;0,FIXED(Fuelbeds_english!BO179*2.54,1,0),BN179)</f>
        <v>12.7</v>
      </c>
    </row>
    <row r="180" spans="1:67" s="50" customFormat="1" x14ac:dyDescent="0.25">
      <c r="A180" s="50">
        <v>179</v>
      </c>
      <c r="B180" s="52" t="s">
        <v>280</v>
      </c>
      <c r="C180" s="72">
        <v>916092</v>
      </c>
      <c r="D180" s="36" t="s">
        <v>204</v>
      </c>
      <c r="E180" s="76" t="s">
        <v>354</v>
      </c>
      <c r="F180" s="39">
        <v>18.600000000000001</v>
      </c>
      <c r="G180" s="36">
        <v>18.600000000000001</v>
      </c>
      <c r="H180" s="45">
        <f>+IF(F180&gt;0,INT(Fuelbeds_english!H180*2.471),F180)</f>
        <v>160</v>
      </c>
      <c r="I180" s="36">
        <f>+IF(F180&gt;0,INT(Fuelbeds_english!I180*0.3048),F180)</f>
        <v>15</v>
      </c>
      <c r="J180" s="45">
        <f>+IF(F180&gt;0,INT(Fuelbeds_english!J180*0.3048),F180)</f>
        <v>5</v>
      </c>
      <c r="K180" s="45">
        <f>+IF(F180&gt;0,INT(Fuelbeds_english!K180*2.54),F180)</f>
        <v>19</v>
      </c>
      <c r="L180" s="36">
        <v>183412</v>
      </c>
      <c r="M180" s="36" t="s">
        <v>398</v>
      </c>
      <c r="N180" s="36">
        <v>100</v>
      </c>
      <c r="O180" s="36">
        <v>-1</v>
      </c>
      <c r="P180" s="45">
        <f>+IF(O180&gt;0,INT(Fuelbeds_english!P180*2.471),O180)</f>
        <v>-1</v>
      </c>
      <c r="Q180" s="36">
        <f>+IF(O180&gt;0,INT(Fuelbeds_english!Q180*0.3048),O180)</f>
        <v>-1</v>
      </c>
      <c r="R180" s="45">
        <f>+IF(O180&gt;0,INT(Fuelbeds_english!R180*0.3048),O180)</f>
        <v>-1</v>
      </c>
      <c r="S180" s="45">
        <f>+IF(O180&gt;0,INT(Fuelbeds_english!S180*2.54),O180)</f>
        <v>-1</v>
      </c>
      <c r="T180" s="36">
        <v>-1</v>
      </c>
      <c r="U180" s="36">
        <v>-1</v>
      </c>
      <c r="V180" s="36">
        <v>-1</v>
      </c>
      <c r="W180" s="36">
        <v>1</v>
      </c>
      <c r="X180" s="98">
        <v>2</v>
      </c>
      <c r="Y180" s="29">
        <v>47.2</v>
      </c>
      <c r="Z180" s="88" t="str">
        <f>+IF(Y180&gt;0,FIXED(Fuelbeds_english!Z180*0.3048,1,0),Y180)</f>
        <v>0.9</v>
      </c>
      <c r="AA180" s="46">
        <v>90</v>
      </c>
      <c r="AB180" s="50">
        <v>19479</v>
      </c>
      <c r="AC180" s="50" t="s">
        <v>357</v>
      </c>
      <c r="AD180" s="50">
        <v>100</v>
      </c>
      <c r="AE180" s="42">
        <v>18.88</v>
      </c>
      <c r="AF180" s="52" t="str">
        <f>+IF(AE180&gt;0,FIXED(Fuelbeds_english!AF180*0.3048,1,0),AE180)</f>
        <v>0.4</v>
      </c>
      <c r="AG180" s="45">
        <v>80</v>
      </c>
      <c r="AH180" s="52" t="str">
        <f>+IF(AE180&gt;0,FIXED(Fuelbeds_english!AH180*2.242,1,0),AE180)</f>
        <v>1.1</v>
      </c>
      <c r="AI180" s="45">
        <v>40529</v>
      </c>
      <c r="AJ180" s="45" t="s">
        <v>356</v>
      </c>
      <c r="AK180" s="45">
        <v>100</v>
      </c>
      <c r="AL180" s="34">
        <v>10.695</v>
      </c>
      <c r="AM180" s="52" t="str">
        <f>+IF(AL180&gt;0,FIXED(Fuelbeds_english!AM180*2.54,1,0),AL180)</f>
        <v>2.5</v>
      </c>
      <c r="AN180" s="52" t="str">
        <f>+IF($AM180&gt;0,FIXED(Fuelbeds_english!AN180*2.242,1,0),$AM180)</f>
        <v>0.3</v>
      </c>
      <c r="AO180" s="52" t="str">
        <f>+IF($AM180&gt;0,FIXED(Fuelbeds_english!AO180*2.242,1,0),$AM180)</f>
        <v>0.9</v>
      </c>
      <c r="AP180" s="52" t="str">
        <f>+IF($AM180&gt;0,FIXED(Fuelbeds_english!AP180*2.242,1,0),$AM180)</f>
        <v>1.8</v>
      </c>
      <c r="AQ180" s="52" t="str">
        <f>+IF($AM180&gt;0,FIXED(Fuelbeds_english!AQ180*2.242,1,0),$AM180)</f>
        <v>5.6</v>
      </c>
      <c r="AR180" s="36">
        <v>183412</v>
      </c>
      <c r="AS180" s="45" t="s">
        <v>398</v>
      </c>
      <c r="AT180" s="45">
        <v>100</v>
      </c>
      <c r="AU180" s="44">
        <v>-1</v>
      </c>
      <c r="AV180" s="52">
        <f>+IF(AU180&gt;0,FIXED(Fuelbeds_english!AV180*2.54,1,0),AU180)</f>
        <v>-1</v>
      </c>
      <c r="AW180" s="88">
        <v>1</v>
      </c>
      <c r="AX180" s="88">
        <v>63</v>
      </c>
      <c r="AY180" s="52" t="str">
        <f>+IF(AX180&gt;0,FIXED(Fuelbeds_english!AY180*2.54,1,0),AX180)</f>
        <v>5.8</v>
      </c>
      <c r="AZ180" s="45">
        <v>1</v>
      </c>
      <c r="BA180" s="36">
        <v>18.600000000000001</v>
      </c>
      <c r="BB180" s="52" t="str">
        <f>+IF(BA180&gt;0,FIXED(Fuelbeds_english!BB180*2.54,1,0),BA180)</f>
        <v>1.8</v>
      </c>
      <c r="BC180" s="45">
        <v>-1</v>
      </c>
      <c r="BD180" s="45">
        <v>-1</v>
      </c>
      <c r="BE180" s="45">
        <v>100</v>
      </c>
      <c r="BF180" s="45">
        <v>-1</v>
      </c>
      <c r="BG180" s="45">
        <v>-1</v>
      </c>
      <c r="BH180" s="45">
        <v>-1</v>
      </c>
      <c r="BI180" s="45">
        <v>-1</v>
      </c>
      <c r="BJ180" s="28">
        <v>2</v>
      </c>
      <c r="BK180" s="36">
        <v>23.25</v>
      </c>
      <c r="BL180" s="52" t="str">
        <f>+IF(BK180&gt;0,FIXED(Fuelbeds_english!BL180*2.54,1,0),BK180)</f>
        <v>12.7</v>
      </c>
      <c r="BM180" s="45">
        <v>4</v>
      </c>
      <c r="BN180" s="36">
        <v>23.25</v>
      </c>
      <c r="BO180" s="52" t="str">
        <f>+IF(BN180&gt;0,FIXED(Fuelbeds_english!BO180*2.54,1,0),BN180)</f>
        <v>12.7</v>
      </c>
    </row>
    <row r="181" spans="1:67" s="50" customFormat="1" x14ac:dyDescent="0.25">
      <c r="A181" s="50">
        <v>180</v>
      </c>
      <c r="B181" s="52" t="s">
        <v>281</v>
      </c>
      <c r="C181" s="72">
        <v>926092</v>
      </c>
      <c r="D181" s="36" t="s">
        <v>204</v>
      </c>
      <c r="E181" s="76" t="s">
        <v>354</v>
      </c>
      <c r="F181" s="39">
        <v>53.5</v>
      </c>
      <c r="G181" s="36">
        <v>53.5</v>
      </c>
      <c r="H181" s="45">
        <f>+IF(F181&gt;0,INT(Fuelbeds_english!H181*2.471),F181)</f>
        <v>462</v>
      </c>
      <c r="I181" s="36">
        <f>+IF(F181&gt;0,INT(Fuelbeds_english!I181*0.3048),F181)</f>
        <v>18</v>
      </c>
      <c r="J181" s="45">
        <f>+IF(F181&gt;0,INT(Fuelbeds_english!J181*0.3048),F181)</f>
        <v>6</v>
      </c>
      <c r="K181" s="45">
        <f>+IF(F181&gt;0,INT(Fuelbeds_english!K181*2.54),F181)</f>
        <v>23</v>
      </c>
      <c r="L181" s="36">
        <v>183412</v>
      </c>
      <c r="M181" s="36" t="s">
        <v>398</v>
      </c>
      <c r="N181" s="36">
        <v>100</v>
      </c>
      <c r="O181" s="36">
        <v>-1</v>
      </c>
      <c r="P181" s="45">
        <f>+IF(O181&gt;0,INT(Fuelbeds_english!P181*2.471),O181)</f>
        <v>-1</v>
      </c>
      <c r="Q181" s="36">
        <f>+IF(O181&gt;0,INT(Fuelbeds_english!Q181*0.3048),O181)</f>
        <v>-1</v>
      </c>
      <c r="R181" s="45">
        <f>+IF(O181&gt;0,INT(Fuelbeds_english!R181*0.3048),O181)</f>
        <v>-1</v>
      </c>
      <c r="S181" s="45">
        <f>+IF(O181&gt;0,INT(Fuelbeds_english!S181*2.54),O181)</f>
        <v>-1</v>
      </c>
      <c r="T181" s="36">
        <v>-1</v>
      </c>
      <c r="U181" s="36">
        <v>-1</v>
      </c>
      <c r="V181" s="36">
        <v>-1</v>
      </c>
      <c r="W181" s="36">
        <v>1</v>
      </c>
      <c r="X181" s="98">
        <v>2</v>
      </c>
      <c r="Y181" s="29">
        <v>32.799999999999997</v>
      </c>
      <c r="Z181" s="88" t="str">
        <f>+IF(Y181&gt;0,FIXED(Fuelbeds_english!Z181*0.3048,1,0),Y181)</f>
        <v>0.9</v>
      </c>
      <c r="AA181" s="46">
        <v>90</v>
      </c>
      <c r="AB181" s="50">
        <v>19479</v>
      </c>
      <c r="AC181" s="50" t="s">
        <v>357</v>
      </c>
      <c r="AD181" s="50">
        <v>100</v>
      </c>
      <c r="AE181" s="42">
        <v>13.120000000000001</v>
      </c>
      <c r="AF181" s="52" t="str">
        <f>+IF(AE181&gt;0,FIXED(Fuelbeds_english!AF181*0.3048,1,0),AE181)</f>
        <v>0.4</v>
      </c>
      <c r="AG181" s="45">
        <v>80</v>
      </c>
      <c r="AH181" s="52" t="str">
        <f>+IF(AE181&gt;0,FIXED(Fuelbeds_english!AH181*2.242,1,0),AE181)</f>
        <v>0.8</v>
      </c>
      <c r="AI181" s="45">
        <v>40529</v>
      </c>
      <c r="AJ181" s="45" t="s">
        <v>356</v>
      </c>
      <c r="AK181" s="45">
        <v>100</v>
      </c>
      <c r="AL181" s="34">
        <v>30.762499999999999</v>
      </c>
      <c r="AM181" s="52" t="str">
        <f>+IF(AL181&gt;0,FIXED(Fuelbeds_english!AM181*2.54,1,0),AL181)</f>
        <v>2.5</v>
      </c>
      <c r="AN181" s="52" t="str">
        <f>+IF($AM181&gt;0,FIXED(Fuelbeds_english!AN181*2.242,1,0),$AM181)</f>
        <v>0.9</v>
      </c>
      <c r="AO181" s="52" t="str">
        <f>+IF($AM181&gt;0,FIXED(Fuelbeds_english!AO181*2.242,1,0),$AM181)</f>
        <v>2.5</v>
      </c>
      <c r="AP181" s="52" t="str">
        <f>+IF($AM181&gt;0,FIXED(Fuelbeds_english!AP181*2.242,1,0),$AM181)</f>
        <v>5.0</v>
      </c>
      <c r="AQ181" s="52" t="str">
        <f>+IF($AM181&gt;0,FIXED(Fuelbeds_english!AQ181*2.242,1,0),$AM181)</f>
        <v>15.9</v>
      </c>
      <c r="AR181" s="36">
        <v>183412</v>
      </c>
      <c r="AS181" s="45" t="s">
        <v>398</v>
      </c>
      <c r="AT181" s="45">
        <v>100</v>
      </c>
      <c r="AU181" s="44">
        <v>-1</v>
      </c>
      <c r="AV181" s="52">
        <f>+IF(AU181&gt;0,FIXED(Fuelbeds_english!AV181*2.54,1,0),AU181)</f>
        <v>-1</v>
      </c>
      <c r="AW181" s="88">
        <v>1</v>
      </c>
      <c r="AX181" s="88">
        <v>63</v>
      </c>
      <c r="AY181" s="52" t="str">
        <f>+IF(AX181&gt;0,FIXED(Fuelbeds_english!AY181*2.54,1,0),AX181)</f>
        <v>5.8</v>
      </c>
      <c r="AZ181" s="45">
        <v>1</v>
      </c>
      <c r="BA181" s="36">
        <v>53.5</v>
      </c>
      <c r="BB181" s="52" t="str">
        <f>+IF(BA181&gt;0,FIXED(Fuelbeds_english!BB181*2.54,1,0),BA181)</f>
        <v>1.8</v>
      </c>
      <c r="BC181" s="45">
        <v>-1</v>
      </c>
      <c r="BD181" s="45">
        <v>-1</v>
      </c>
      <c r="BE181" s="45">
        <v>100</v>
      </c>
      <c r="BF181" s="45">
        <v>-1</v>
      </c>
      <c r="BG181" s="45">
        <v>-1</v>
      </c>
      <c r="BH181" s="45">
        <v>-1</v>
      </c>
      <c r="BI181" s="45">
        <v>-1</v>
      </c>
      <c r="BJ181" s="28">
        <v>2</v>
      </c>
      <c r="BK181" s="36">
        <v>100</v>
      </c>
      <c r="BL181" s="52" t="str">
        <f>+IF(BK181&gt;0,FIXED(Fuelbeds_english!BL181*2.54,1,0),BK181)</f>
        <v>12.7</v>
      </c>
      <c r="BM181" s="45">
        <v>4</v>
      </c>
      <c r="BN181" s="36">
        <v>66.874999999999986</v>
      </c>
      <c r="BO181" s="52" t="str">
        <f>+IF(BN181&gt;0,FIXED(Fuelbeds_english!BO181*2.54,1,0),BN181)</f>
        <v>12.7</v>
      </c>
    </row>
    <row r="182" spans="1:67" s="50" customFormat="1" x14ac:dyDescent="0.25">
      <c r="A182" s="50">
        <v>181</v>
      </c>
      <c r="B182" s="52" t="s">
        <v>282</v>
      </c>
      <c r="C182" s="72">
        <v>936092</v>
      </c>
      <c r="D182" s="36" t="s">
        <v>204</v>
      </c>
      <c r="E182" s="76" t="s">
        <v>354</v>
      </c>
      <c r="F182" s="39">
        <v>74.8</v>
      </c>
      <c r="G182" s="36">
        <v>74.8</v>
      </c>
      <c r="H182" s="45">
        <f>+IF(F182&gt;0,INT(Fuelbeds_english!H182*2.471),F182)</f>
        <v>646</v>
      </c>
      <c r="I182" s="36">
        <f>+IF(F182&gt;0,INT(Fuelbeds_english!I182*0.3048),F182)</f>
        <v>21</v>
      </c>
      <c r="J182" s="45">
        <f>+IF(F182&gt;0,INT(Fuelbeds_english!J182*0.3048),F182)</f>
        <v>7</v>
      </c>
      <c r="K182" s="45">
        <f>+IF(F182&gt;0,INT(Fuelbeds_english!K182*2.54),F182)</f>
        <v>25</v>
      </c>
      <c r="L182" s="36">
        <v>183412</v>
      </c>
      <c r="M182" s="36" t="s">
        <v>398</v>
      </c>
      <c r="N182" s="36">
        <v>100</v>
      </c>
      <c r="O182" s="36">
        <v>-1</v>
      </c>
      <c r="P182" s="45">
        <f>+IF(O182&gt;0,INT(Fuelbeds_english!P182*2.471),O182)</f>
        <v>-1</v>
      </c>
      <c r="Q182" s="36">
        <f>+IF(O182&gt;0,INT(Fuelbeds_english!Q182*0.3048),O182)</f>
        <v>-1</v>
      </c>
      <c r="R182" s="45">
        <f>+IF(O182&gt;0,INT(Fuelbeds_english!R182*0.3048),O182)</f>
        <v>-1</v>
      </c>
      <c r="S182" s="45">
        <f>+IF(O182&gt;0,INT(Fuelbeds_english!S182*2.54),O182)</f>
        <v>-1</v>
      </c>
      <c r="T182" s="36">
        <v>-1</v>
      </c>
      <c r="U182" s="36">
        <v>-1</v>
      </c>
      <c r="V182" s="36">
        <v>-1</v>
      </c>
      <c r="W182" s="36">
        <v>1</v>
      </c>
      <c r="X182" s="98">
        <v>2</v>
      </c>
      <c r="Y182" s="29">
        <v>18.000000000000004</v>
      </c>
      <c r="Z182" s="88" t="str">
        <f>+IF(Y182&gt;0,FIXED(Fuelbeds_english!Z182*0.3048,1,0),Y182)</f>
        <v>0.9</v>
      </c>
      <c r="AA182" s="46">
        <v>90</v>
      </c>
      <c r="AB182" s="50">
        <v>19479</v>
      </c>
      <c r="AC182" s="50" t="s">
        <v>357</v>
      </c>
      <c r="AD182" s="50">
        <v>100</v>
      </c>
      <c r="AE182" s="42">
        <v>7.2000000000000011</v>
      </c>
      <c r="AF182" s="52" t="str">
        <f>+IF(AE182&gt;0,FIXED(Fuelbeds_english!AF182*0.3048,1,0),AE182)</f>
        <v>0.4</v>
      </c>
      <c r="AG182" s="45">
        <v>80</v>
      </c>
      <c r="AH182" s="52" t="str">
        <f>+IF(AE182&gt;0,FIXED(Fuelbeds_english!AH182*2.242,1,0),AE182)</f>
        <v>0.4</v>
      </c>
      <c r="AI182" s="45">
        <v>40529</v>
      </c>
      <c r="AJ182" s="45" t="s">
        <v>356</v>
      </c>
      <c r="AK182" s="45">
        <v>100</v>
      </c>
      <c r="AL182" s="34">
        <v>43.01</v>
      </c>
      <c r="AM182" s="52" t="str">
        <f>+IF(AL182&gt;0,FIXED(Fuelbeds_english!AM182*2.54,1,0),AL182)</f>
        <v>2.5</v>
      </c>
      <c r="AN182" s="52" t="str">
        <f>+IF($AM182&gt;0,FIXED(Fuelbeds_english!AN182*2.242,1,0),$AM182)</f>
        <v>1.3</v>
      </c>
      <c r="AO182" s="52" t="str">
        <f>+IF($AM182&gt;0,FIXED(Fuelbeds_english!AO182*2.242,1,0),$AM182)</f>
        <v>3.4</v>
      </c>
      <c r="AP182" s="52" t="str">
        <f>+IF($AM182&gt;0,FIXED(Fuelbeds_english!AP182*2.242,1,0),$AM182)</f>
        <v>7.0</v>
      </c>
      <c r="AQ182" s="52" t="str">
        <f>+IF($AM182&gt;0,FIXED(Fuelbeds_english!AQ182*2.242,1,0),$AM182)</f>
        <v>22.2</v>
      </c>
      <c r="AR182" s="36">
        <v>183412</v>
      </c>
      <c r="AS182" s="45" t="s">
        <v>398</v>
      </c>
      <c r="AT182" s="45">
        <v>100</v>
      </c>
      <c r="AU182" s="44">
        <v>-1</v>
      </c>
      <c r="AV182" s="52">
        <f>+IF(AU182&gt;0,FIXED(Fuelbeds_english!AV182*2.54,1,0),AU182)</f>
        <v>-1</v>
      </c>
      <c r="AW182" s="88">
        <v>1</v>
      </c>
      <c r="AX182" s="88">
        <v>63</v>
      </c>
      <c r="AY182" s="52" t="str">
        <f>+IF(AX182&gt;0,FIXED(Fuelbeds_english!AY182*2.54,1,0),AX182)</f>
        <v>5.8</v>
      </c>
      <c r="AZ182" s="45">
        <v>1</v>
      </c>
      <c r="BA182" s="36">
        <v>74.8</v>
      </c>
      <c r="BB182" s="52" t="str">
        <f>+IF(BA182&gt;0,FIXED(Fuelbeds_english!BB182*2.54,1,0),BA182)</f>
        <v>1.8</v>
      </c>
      <c r="BC182" s="45">
        <v>-1</v>
      </c>
      <c r="BD182" s="45">
        <v>-1</v>
      </c>
      <c r="BE182" s="45">
        <v>100</v>
      </c>
      <c r="BF182" s="45">
        <v>-1</v>
      </c>
      <c r="BG182" s="45">
        <v>-1</v>
      </c>
      <c r="BH182" s="45">
        <v>-1</v>
      </c>
      <c r="BI182" s="45">
        <v>-1</v>
      </c>
      <c r="BJ182" s="28">
        <v>2</v>
      </c>
      <c r="BK182" s="36">
        <v>100</v>
      </c>
      <c r="BL182" s="52" t="str">
        <f>+IF(BK182&gt;0,FIXED(Fuelbeds_english!BL182*2.54,1,0),BK182)</f>
        <v>12.7</v>
      </c>
      <c r="BM182" s="45">
        <v>4</v>
      </c>
      <c r="BN182" s="36">
        <v>100</v>
      </c>
      <c r="BO182" s="52" t="str">
        <f>+IF(BN182&gt;0,FIXED(Fuelbeds_english!BO182*2.54,1,0),BN182)</f>
        <v>12.7</v>
      </c>
    </row>
    <row r="183" spans="1:67" s="50" customFormat="1" x14ac:dyDescent="0.25">
      <c r="A183" s="50">
        <v>182</v>
      </c>
      <c r="B183" s="52" t="s">
        <v>283</v>
      </c>
      <c r="C183" s="52">
        <v>916100</v>
      </c>
      <c r="D183" s="36" t="s">
        <v>204</v>
      </c>
      <c r="E183" s="17" t="s">
        <v>134</v>
      </c>
      <c r="F183" s="39">
        <v>25</v>
      </c>
      <c r="G183" s="43">
        <v>25</v>
      </c>
      <c r="H183" s="45">
        <f>+IF(F183&gt;0,INT(Fuelbeds_english!H183*2.471),F183)</f>
        <v>401</v>
      </c>
      <c r="I183" s="36">
        <f>+IF(F183&gt;0,INT(Fuelbeds_english!I183*0.3048),F183)</f>
        <v>13</v>
      </c>
      <c r="J183" s="45">
        <f>+IF(F183&gt;0,INT(Fuelbeds_english!J183*0.3048),F183)</f>
        <v>6</v>
      </c>
      <c r="K183" s="45">
        <f>+IF(F183&gt;0,INT(Fuelbeds_english!K183*2.54),F183)</f>
        <v>15</v>
      </c>
      <c r="L183" s="55" t="s">
        <v>359</v>
      </c>
      <c r="M183" s="36" t="s">
        <v>358</v>
      </c>
      <c r="N183" s="36" t="s">
        <v>156</v>
      </c>
      <c r="O183" s="43">
        <v>6.4516129032258061</v>
      </c>
      <c r="P183" s="45">
        <f>+IF(O183&gt;0,INT(Fuelbeds_english!P183*2.471),O183)</f>
        <v>163</v>
      </c>
      <c r="Q183" s="36">
        <f>+IF(O183&gt;0,INT(Fuelbeds_english!Q183*0.3048),O183)</f>
        <v>6</v>
      </c>
      <c r="R183" s="45">
        <f>+IF(O183&gt;0,INT(Fuelbeds_english!R183*0.3048),O183)</f>
        <v>2</v>
      </c>
      <c r="S183" s="45">
        <f>+IF(O183&gt;0,INT(Fuelbeds_english!S183*2.54),O183)</f>
        <v>9</v>
      </c>
      <c r="T183" s="36">
        <v>18033</v>
      </c>
      <c r="U183" s="36" t="s">
        <v>355</v>
      </c>
      <c r="V183" s="36">
        <v>100</v>
      </c>
      <c r="W183" s="36">
        <v>1</v>
      </c>
      <c r="X183" s="98">
        <v>2</v>
      </c>
      <c r="Y183" s="29">
        <v>13</v>
      </c>
      <c r="Z183" s="88" t="str">
        <f>+IF(Y183&gt;0,FIXED(Fuelbeds_english!Z183*0.3048,1,0),Y183)</f>
        <v>3.4</v>
      </c>
      <c r="AA183" s="46">
        <v>90</v>
      </c>
      <c r="AB183" s="50">
        <v>22476</v>
      </c>
      <c r="AC183" s="50" t="s">
        <v>157</v>
      </c>
      <c r="AD183" s="50">
        <v>100</v>
      </c>
      <c r="AE183" s="42">
        <v>62</v>
      </c>
      <c r="AF183" s="52" t="str">
        <f>+IF(AE183&gt;0,FIXED(Fuelbeds_english!AF183*0.3048,1,0),AE183)</f>
        <v>0.4</v>
      </c>
      <c r="AG183" s="36">
        <v>80</v>
      </c>
      <c r="AH183" s="52" t="str">
        <f>+IF(AE183&gt;0,FIXED(Fuelbeds_english!AH183*2.242,1,0),AE183)</f>
        <v>3.9</v>
      </c>
      <c r="AI183" s="45">
        <v>40529</v>
      </c>
      <c r="AJ183" s="45" t="s">
        <v>356</v>
      </c>
      <c r="AK183" s="45">
        <v>100</v>
      </c>
      <c r="AL183" s="34">
        <v>10.1</v>
      </c>
      <c r="AM183" s="52" t="str">
        <f>+IF(AL183&gt;0,FIXED(Fuelbeds_english!AM183*2.54,1,0),AL183)</f>
        <v>2.6</v>
      </c>
      <c r="AN183" s="52" t="str">
        <f>+IF($AM183&gt;0,FIXED(Fuelbeds_english!AN183*2.242,1,0),$AM183)</f>
        <v>0.5</v>
      </c>
      <c r="AO183" s="52" t="str">
        <f>+IF($AM183&gt;0,FIXED(Fuelbeds_english!AO183*2.242,1,0),$AM183)</f>
        <v>0.7</v>
      </c>
      <c r="AP183" s="52" t="str">
        <f>+IF($AM183&gt;0,FIXED(Fuelbeds_english!AP183*2.242,1,0),$AM183)</f>
        <v>1.4</v>
      </c>
      <c r="AQ183" s="52" t="str">
        <f>+IF($AM183&gt;0,FIXED(Fuelbeds_english!AQ183*2.242,1,0),$AM183)</f>
        <v>4.7</v>
      </c>
      <c r="AR183" s="36" t="s">
        <v>359</v>
      </c>
      <c r="AS183" s="45" t="s">
        <v>358</v>
      </c>
      <c r="AT183" s="45" t="s">
        <v>156</v>
      </c>
      <c r="AU183" s="44">
        <v>4.25</v>
      </c>
      <c r="AV183" s="52" t="str">
        <f>+IF(AU183&gt;0,FIXED(Fuelbeds_english!AV183*2.54,1,0),AU183)</f>
        <v>5.1</v>
      </c>
      <c r="AW183" s="88">
        <v>2</v>
      </c>
      <c r="AX183" s="52">
        <v>27.5</v>
      </c>
      <c r="AY183" s="52" t="str">
        <f>+IF(AX183&gt;0,FIXED(Fuelbeds_english!AY183*2.54,1,0),AX183)</f>
        <v>5.1</v>
      </c>
      <c r="AZ183" s="45">
        <v>1</v>
      </c>
      <c r="BA183" s="36">
        <v>23.4</v>
      </c>
      <c r="BB183" s="52" t="str">
        <f>+IF(BA183&gt;0,FIXED(Fuelbeds_english!BB183*2.54,1,0),BA183)</f>
        <v>4.1</v>
      </c>
      <c r="BC183" s="45">
        <v>-1</v>
      </c>
      <c r="BD183" s="45">
        <v>-1</v>
      </c>
      <c r="BE183" s="45">
        <v>30</v>
      </c>
      <c r="BF183" s="45">
        <v>70</v>
      </c>
      <c r="BG183" s="45">
        <v>-1</v>
      </c>
      <c r="BH183" s="45">
        <v>-1</v>
      </c>
      <c r="BI183" s="45">
        <v>-1</v>
      </c>
      <c r="BJ183" s="28">
        <v>1</v>
      </c>
      <c r="BK183" s="36">
        <v>29</v>
      </c>
      <c r="BL183" s="52" t="str">
        <f>+IF(BK183&gt;0,FIXED(Fuelbeds_english!BL183*2.54,1,0),BK183)</f>
        <v>5.1</v>
      </c>
      <c r="BM183" s="45">
        <v>3</v>
      </c>
      <c r="BN183" s="36">
        <v>29</v>
      </c>
      <c r="BO183" s="52" t="str">
        <f>+IF(BN183&gt;0,FIXED(Fuelbeds_english!BO183*2.54,1,0),BN183)</f>
        <v>2.5</v>
      </c>
    </row>
    <row r="184" spans="1:67" s="50" customFormat="1" x14ac:dyDescent="0.25">
      <c r="A184" s="50">
        <v>183</v>
      </c>
      <c r="B184" s="52" t="s">
        <v>284</v>
      </c>
      <c r="C184" s="52">
        <v>926100</v>
      </c>
      <c r="D184" s="36" t="s">
        <v>204</v>
      </c>
      <c r="E184" s="17" t="s">
        <v>134</v>
      </c>
      <c r="F184" s="39">
        <v>57.4</v>
      </c>
      <c r="G184" s="43">
        <v>57.4</v>
      </c>
      <c r="H184" s="45">
        <f>+IF(F184&gt;0,INT(Fuelbeds_english!H184*2.471),F184)</f>
        <v>921</v>
      </c>
      <c r="I184" s="36">
        <f>+IF(F184&gt;0,INT(Fuelbeds_english!I184*0.3048),F184)</f>
        <v>18</v>
      </c>
      <c r="J184" s="45">
        <f>+IF(F184&gt;0,INT(Fuelbeds_english!J184*0.3048),F184)</f>
        <v>8</v>
      </c>
      <c r="K184" s="45">
        <f>+IF(F184&gt;0,INT(Fuelbeds_english!K184*2.54),F184)</f>
        <v>20</v>
      </c>
      <c r="L184" s="55" t="s">
        <v>359</v>
      </c>
      <c r="M184" s="36" t="s">
        <v>358</v>
      </c>
      <c r="N184" s="36" t="s">
        <v>156</v>
      </c>
      <c r="O184" s="43">
        <v>14.812903225806451</v>
      </c>
      <c r="P184" s="45">
        <f>+IF(O184&gt;0,INT(Fuelbeds_english!P184*2.471),O184)</f>
        <v>375</v>
      </c>
      <c r="Q184" s="36">
        <f>+IF(O184&gt;0,INT(Fuelbeds_english!Q184*0.3048),O184)</f>
        <v>9</v>
      </c>
      <c r="R184" s="45">
        <f>+IF(O184&gt;0,INT(Fuelbeds_english!R184*0.3048),O184)</f>
        <v>4</v>
      </c>
      <c r="S184" s="45">
        <f>+IF(O184&gt;0,INT(Fuelbeds_english!S184*2.54),O184)</f>
        <v>13</v>
      </c>
      <c r="T184" s="36">
        <v>18033</v>
      </c>
      <c r="U184" s="36" t="s">
        <v>355</v>
      </c>
      <c r="V184" s="36">
        <v>100</v>
      </c>
      <c r="W184" s="36">
        <v>1</v>
      </c>
      <c r="X184" s="98">
        <v>2</v>
      </c>
      <c r="Y184" s="29">
        <v>13</v>
      </c>
      <c r="Z184" s="88" t="str">
        <f>+IF(Y184&gt;0,FIXED(Fuelbeds_english!Z184*0.3048,1,0),Y184)</f>
        <v>3.4</v>
      </c>
      <c r="AA184" s="46">
        <v>90</v>
      </c>
      <c r="AB184" s="50">
        <v>22476</v>
      </c>
      <c r="AC184" s="50" t="s">
        <v>157</v>
      </c>
      <c r="AD184" s="50">
        <v>100</v>
      </c>
      <c r="AE184" s="42">
        <v>30</v>
      </c>
      <c r="AF184" s="52" t="str">
        <f>+IF(AE184&gt;0,FIXED(Fuelbeds_english!AF184*0.3048,1,0),AE184)</f>
        <v>0.4</v>
      </c>
      <c r="AG184" s="36">
        <v>80</v>
      </c>
      <c r="AH184" s="52" t="str">
        <f>+IF(AE184&gt;0,FIXED(Fuelbeds_english!AH184*2.242,1,0),AE184)</f>
        <v>1.9</v>
      </c>
      <c r="AI184" s="45">
        <v>40529</v>
      </c>
      <c r="AJ184" s="45" t="s">
        <v>356</v>
      </c>
      <c r="AK184" s="45">
        <v>100</v>
      </c>
      <c r="AL184" s="34">
        <v>23.1</v>
      </c>
      <c r="AM184" s="52" t="str">
        <f>+IF(AL184&gt;0,FIXED(Fuelbeds_english!AM184*2.54,1,0),AL184)</f>
        <v>2.6</v>
      </c>
      <c r="AN184" s="52" t="str">
        <f>+IF($AM184&gt;0,FIXED(Fuelbeds_english!AN184*2.242,1,0),$AM184)</f>
        <v>1.2</v>
      </c>
      <c r="AO184" s="52" t="str">
        <f>+IF($AM184&gt;0,FIXED(Fuelbeds_english!AO184*2.242,1,0),$AM184)</f>
        <v>1.6</v>
      </c>
      <c r="AP184" s="52" t="str">
        <f>+IF($AM184&gt;0,FIXED(Fuelbeds_english!AP184*2.242,1,0),$AM184)</f>
        <v>3.1</v>
      </c>
      <c r="AQ184" s="52" t="str">
        <f>+IF($AM184&gt;0,FIXED(Fuelbeds_english!AQ184*2.242,1,0),$AM184)</f>
        <v>10.8</v>
      </c>
      <c r="AR184" s="36" t="s">
        <v>359</v>
      </c>
      <c r="AS184" s="45" t="s">
        <v>358</v>
      </c>
      <c r="AT184" s="45" t="s">
        <v>156</v>
      </c>
      <c r="AU184" s="44">
        <v>4.25</v>
      </c>
      <c r="AV184" s="52" t="str">
        <f>+IF(AU184&gt;0,FIXED(Fuelbeds_english!AV184*2.54,1,0),AU184)</f>
        <v>5.1</v>
      </c>
      <c r="AW184" s="88">
        <v>2</v>
      </c>
      <c r="AX184" s="52">
        <v>27.5</v>
      </c>
      <c r="AY184" s="52" t="str">
        <f>+IF(AX184&gt;0,FIXED(Fuelbeds_english!AY184*2.54,1,0),AX184)</f>
        <v>5.1</v>
      </c>
      <c r="AZ184" s="45">
        <v>1</v>
      </c>
      <c r="BA184" s="36">
        <v>53.7</v>
      </c>
      <c r="BB184" s="52" t="str">
        <f>+IF(BA184&gt;0,FIXED(Fuelbeds_english!BB184*2.54,1,0),BA184)</f>
        <v>4.1</v>
      </c>
      <c r="BC184" s="45">
        <v>-1</v>
      </c>
      <c r="BD184" s="45">
        <v>-1</v>
      </c>
      <c r="BE184" s="45">
        <v>30</v>
      </c>
      <c r="BF184" s="45">
        <v>70</v>
      </c>
      <c r="BG184" s="45">
        <v>-1</v>
      </c>
      <c r="BH184" s="45">
        <v>-1</v>
      </c>
      <c r="BI184" s="45">
        <v>-1</v>
      </c>
      <c r="BJ184" s="28">
        <v>1</v>
      </c>
      <c r="BK184" s="36">
        <v>66.7</v>
      </c>
      <c r="BL184" s="52" t="str">
        <f>+IF(BK184&gt;0,FIXED(Fuelbeds_english!BL184*2.54,1,0),BK184)</f>
        <v>5.1</v>
      </c>
      <c r="BM184" s="45">
        <v>3</v>
      </c>
      <c r="BN184" s="36">
        <v>66.7</v>
      </c>
      <c r="BO184" s="52" t="str">
        <f>+IF(BN184&gt;0,FIXED(Fuelbeds_english!BO184*2.54,1,0),BN184)</f>
        <v>2.5</v>
      </c>
    </row>
    <row r="185" spans="1:67" s="50" customFormat="1" x14ac:dyDescent="0.25">
      <c r="A185" s="50">
        <v>184</v>
      </c>
      <c r="B185" s="52" t="s">
        <v>285</v>
      </c>
      <c r="C185" s="52">
        <v>936100</v>
      </c>
      <c r="D185" s="36" t="s">
        <v>204</v>
      </c>
      <c r="E185" s="17" t="s">
        <v>134</v>
      </c>
      <c r="F185" s="39">
        <v>73.900000000000006</v>
      </c>
      <c r="G185" s="43">
        <v>73.900000000000006</v>
      </c>
      <c r="H185" s="45">
        <f>+IF(F185&gt;0,INT(Fuelbeds_english!H185*2.471),F185)</f>
        <v>1186</v>
      </c>
      <c r="I185" s="36">
        <f>+IF(F185&gt;0,INT(Fuelbeds_english!I185*0.3048),F185)</f>
        <v>20</v>
      </c>
      <c r="J185" s="45">
        <f>+IF(F185&gt;0,INT(Fuelbeds_english!J185*0.3048),F185)</f>
        <v>9</v>
      </c>
      <c r="K185" s="45">
        <f>+IF(F185&gt;0,INT(Fuelbeds_english!K185*2.54),F185)</f>
        <v>22</v>
      </c>
      <c r="L185" s="36" t="s">
        <v>359</v>
      </c>
      <c r="M185" s="36" t="s">
        <v>358</v>
      </c>
      <c r="N185" s="36" t="s">
        <v>156</v>
      </c>
      <c r="O185" s="43">
        <v>19.070967741935483</v>
      </c>
      <c r="P185" s="45">
        <f>+IF(O185&gt;0,INT(Fuelbeds_english!P185*2.471),O185)</f>
        <v>483</v>
      </c>
      <c r="Q185" s="36">
        <f>+IF(O185&gt;0,INT(Fuelbeds_english!Q185*0.3048),O185)</f>
        <v>11</v>
      </c>
      <c r="R185" s="45">
        <f>+IF(O185&gt;0,INT(Fuelbeds_english!R185*0.3048),O185)</f>
        <v>4</v>
      </c>
      <c r="S185" s="45">
        <f>+IF(O185&gt;0,INT(Fuelbeds_english!S185*2.54),O185)</f>
        <v>14</v>
      </c>
      <c r="T185" s="36">
        <v>18033</v>
      </c>
      <c r="U185" s="36" t="s">
        <v>355</v>
      </c>
      <c r="V185" s="36">
        <v>100</v>
      </c>
      <c r="W185" s="36">
        <v>1</v>
      </c>
      <c r="X185" s="98">
        <v>2</v>
      </c>
      <c r="Y185" s="29">
        <v>13</v>
      </c>
      <c r="Z185" s="88" t="str">
        <f>+IF(Y185&gt;0,FIXED(Fuelbeds_english!Z185*0.3048,1,0),Y185)</f>
        <v>3.4</v>
      </c>
      <c r="AA185" s="46">
        <v>90</v>
      </c>
      <c r="AB185" s="50">
        <v>22476</v>
      </c>
      <c r="AC185" s="50" t="s">
        <v>157</v>
      </c>
      <c r="AD185" s="50">
        <v>100</v>
      </c>
      <c r="AE185" s="42">
        <v>13</v>
      </c>
      <c r="AF185" s="52" t="str">
        <f>+IF(AE185&gt;0,FIXED(Fuelbeds_english!AF185*0.3048,1,0),AE185)</f>
        <v>0.4</v>
      </c>
      <c r="AG185" s="36">
        <v>80</v>
      </c>
      <c r="AH185" s="52" t="str">
        <f>+IF(AE185&gt;0,FIXED(Fuelbeds_english!AH185*2.242,1,0),AE185)</f>
        <v>0.8</v>
      </c>
      <c r="AI185" s="45">
        <v>40529</v>
      </c>
      <c r="AJ185" s="45" t="s">
        <v>356</v>
      </c>
      <c r="AK185" s="45">
        <v>100</v>
      </c>
      <c r="AL185" s="34">
        <v>29.8</v>
      </c>
      <c r="AM185" s="52" t="str">
        <f>+IF(AL185&gt;0,FIXED(Fuelbeds_english!AM185*2.54,1,0),AL185)</f>
        <v>2.6</v>
      </c>
      <c r="AN185" s="52" t="str">
        <f>+IF($AM185&gt;0,FIXED(Fuelbeds_english!AN185*2.242,1,0),$AM185)</f>
        <v>1.5</v>
      </c>
      <c r="AO185" s="52" t="str">
        <f>+IF($AM185&gt;0,FIXED(Fuelbeds_english!AO185*2.242,1,0),$AM185)</f>
        <v>2.0</v>
      </c>
      <c r="AP185" s="52" t="str">
        <f>+IF($AM185&gt;0,FIXED(Fuelbeds_english!AP185*2.242,1,0),$AM185)</f>
        <v>4.0</v>
      </c>
      <c r="AQ185" s="52" t="str">
        <f>+IF($AM185&gt;0,FIXED(Fuelbeds_english!AQ185*2.242,1,0),$AM185)</f>
        <v>13.9</v>
      </c>
      <c r="AR185" s="36" t="s">
        <v>359</v>
      </c>
      <c r="AS185" s="45" t="s">
        <v>358</v>
      </c>
      <c r="AT185" s="45" t="s">
        <v>156</v>
      </c>
      <c r="AU185" s="44">
        <v>4.25</v>
      </c>
      <c r="AV185" s="52" t="str">
        <f>+IF(AU185&gt;0,FIXED(Fuelbeds_english!AV185*2.54,1,0),AU185)</f>
        <v>5.1</v>
      </c>
      <c r="AW185" s="88">
        <v>2</v>
      </c>
      <c r="AX185" s="52">
        <v>27.5</v>
      </c>
      <c r="AY185" s="52" t="str">
        <f>+IF(AX185&gt;0,FIXED(Fuelbeds_english!AY185*2.54,1,0),AX185)</f>
        <v>5.1</v>
      </c>
      <c r="AZ185" s="45">
        <v>1</v>
      </c>
      <c r="BA185" s="36">
        <v>69.099999999999994</v>
      </c>
      <c r="BB185" s="52" t="str">
        <f>+IF(BA185&gt;0,FIXED(Fuelbeds_english!BB185*2.54,1,0),BA185)</f>
        <v>4.1</v>
      </c>
      <c r="BC185" s="45">
        <v>-1</v>
      </c>
      <c r="BD185" s="45">
        <v>-1</v>
      </c>
      <c r="BE185" s="45">
        <v>30</v>
      </c>
      <c r="BF185" s="45">
        <v>70</v>
      </c>
      <c r="BG185" s="45">
        <v>-1</v>
      </c>
      <c r="BH185" s="45">
        <v>-1</v>
      </c>
      <c r="BI185" s="45">
        <v>-1</v>
      </c>
      <c r="BJ185" s="28">
        <v>1</v>
      </c>
      <c r="BK185" s="36">
        <v>85.8</v>
      </c>
      <c r="BL185" s="52" t="str">
        <f>+IF(BK185&gt;0,FIXED(Fuelbeds_english!BL185*2.54,1,0),BK185)</f>
        <v>5.1</v>
      </c>
      <c r="BM185" s="45">
        <v>3</v>
      </c>
      <c r="BN185" s="36">
        <v>85.8</v>
      </c>
      <c r="BO185" s="52" t="str">
        <f>+IF(BN185&gt;0,FIXED(Fuelbeds_english!BO185*2.54,1,0),BN185)</f>
        <v>2.5</v>
      </c>
    </row>
    <row r="186" spans="1:67" s="50" customFormat="1" x14ac:dyDescent="0.25">
      <c r="A186" s="50">
        <v>185</v>
      </c>
      <c r="B186" s="52" t="s">
        <v>286</v>
      </c>
      <c r="C186" s="72">
        <v>916102</v>
      </c>
      <c r="D186" s="36" t="s">
        <v>204</v>
      </c>
      <c r="E186" s="77" t="s">
        <v>406</v>
      </c>
      <c r="F186" s="39">
        <v>20.399999999999999</v>
      </c>
      <c r="G186" s="36">
        <v>20.399999999999999</v>
      </c>
      <c r="H186" s="45">
        <f>+IF(F186&gt;0,INT(Fuelbeds_english!H186*2.471),F186)</f>
        <v>176</v>
      </c>
      <c r="I186" s="36">
        <f>+IF(F186&gt;0,INT(Fuelbeds_english!I186*0.3048),F186)</f>
        <v>16</v>
      </c>
      <c r="J186" s="45">
        <f>+IF(F186&gt;0,INT(Fuelbeds_english!J186*0.3048),F186)</f>
        <v>5</v>
      </c>
      <c r="K186" s="45">
        <f>+IF(F186&gt;0,INT(Fuelbeds_english!K186*2.54),F186)</f>
        <v>20</v>
      </c>
      <c r="L186" s="55" t="s">
        <v>400</v>
      </c>
      <c r="M186" s="36" t="s">
        <v>399</v>
      </c>
      <c r="N186" s="36" t="s">
        <v>156</v>
      </c>
      <c r="O186" s="36">
        <v>-1</v>
      </c>
      <c r="P186" s="45">
        <f>+IF(O186&gt;0,INT(Fuelbeds_english!P186*2.471),O186)</f>
        <v>-1</v>
      </c>
      <c r="Q186" s="36">
        <f>+IF(O186&gt;0,INT(Fuelbeds_english!Q186*0.3048),O186)</f>
        <v>-1</v>
      </c>
      <c r="R186" s="45">
        <f>+IF(O186&gt;0,INT(Fuelbeds_english!R186*0.3048),O186)</f>
        <v>-1</v>
      </c>
      <c r="S186" s="45">
        <f>+IF(O186&gt;0,INT(Fuelbeds_english!S186*2.54),O186)</f>
        <v>-1</v>
      </c>
      <c r="T186" s="36">
        <v>-1</v>
      </c>
      <c r="U186" s="36">
        <v>-1</v>
      </c>
      <c r="V186" s="36">
        <v>-1</v>
      </c>
      <c r="W186" s="36">
        <v>1</v>
      </c>
      <c r="X186" s="98">
        <v>2</v>
      </c>
      <c r="Y186" s="29">
        <v>45.271428571428572</v>
      </c>
      <c r="Z186" s="88" t="str">
        <f>+IF(Y186&gt;0,FIXED(Fuelbeds_english!Z186*0.3048,1,0),Y186)</f>
        <v>0.9</v>
      </c>
      <c r="AA186" s="46">
        <v>90</v>
      </c>
      <c r="AB186" s="50">
        <v>19479</v>
      </c>
      <c r="AC186" s="50" t="s">
        <v>357</v>
      </c>
      <c r="AD186" s="50">
        <v>100</v>
      </c>
      <c r="AE186" s="42">
        <v>18.10857142857143</v>
      </c>
      <c r="AF186" s="52" t="str">
        <f>+IF(AE186&gt;0,FIXED(Fuelbeds_english!AF186*0.3048,1,0),AE186)</f>
        <v>0.4</v>
      </c>
      <c r="AG186" s="45">
        <v>80</v>
      </c>
      <c r="AH186" s="52" t="str">
        <f>+IF(AE186&gt;0,FIXED(Fuelbeds_english!AH186*2.242,1,0),AE186)</f>
        <v>1.1</v>
      </c>
      <c r="AI186" s="45">
        <v>40529</v>
      </c>
      <c r="AJ186" s="45" t="s">
        <v>356</v>
      </c>
      <c r="AK186" s="45">
        <v>100</v>
      </c>
      <c r="AL186" s="34">
        <v>11.729999999999999</v>
      </c>
      <c r="AM186" s="52" t="str">
        <f>+IF(AL186&gt;0,FIXED(Fuelbeds_english!AM186*2.54,1,0),AL186)</f>
        <v>2.5</v>
      </c>
      <c r="AN186" s="52" t="str">
        <f>+IF($AM186&gt;0,FIXED(Fuelbeds_english!AN186*2.242,1,0),$AM186)</f>
        <v>0.3</v>
      </c>
      <c r="AO186" s="52" t="str">
        <f>+IF($AM186&gt;0,FIXED(Fuelbeds_english!AO186*2.242,1,0),$AM186)</f>
        <v>0.9</v>
      </c>
      <c r="AP186" s="52" t="str">
        <f>+IF($AM186&gt;0,FIXED(Fuelbeds_english!AP186*2.242,1,0),$AM186)</f>
        <v>1.9</v>
      </c>
      <c r="AQ186" s="52" t="str">
        <f>+IF($AM186&gt;0,FIXED(Fuelbeds_english!AQ186*2.242,1,0),$AM186)</f>
        <v>6.1</v>
      </c>
      <c r="AR186" s="36" t="s">
        <v>400</v>
      </c>
      <c r="AS186" s="45" t="s">
        <v>399</v>
      </c>
      <c r="AT186" s="45" t="s">
        <v>156</v>
      </c>
      <c r="AU186" s="44">
        <v>-1</v>
      </c>
      <c r="AV186" s="52">
        <f>+IF(AU186&gt;0,FIXED(Fuelbeds_english!AV186*2.54,1,0),AU186)</f>
        <v>-1</v>
      </c>
      <c r="AW186" s="88">
        <v>1</v>
      </c>
      <c r="AX186" s="88">
        <v>63</v>
      </c>
      <c r="AY186" s="52" t="str">
        <f>+IF(AX186&gt;0,FIXED(Fuelbeds_english!AY186*2.54,1,0),AX186)</f>
        <v>5.8</v>
      </c>
      <c r="AZ186" s="45">
        <v>1</v>
      </c>
      <c r="BA186" s="36">
        <v>20.399999999999999</v>
      </c>
      <c r="BB186" s="52" t="str">
        <f>+IF(BA186&gt;0,FIXED(Fuelbeds_english!BB186*2.54,1,0),BA186)</f>
        <v>1.8</v>
      </c>
      <c r="BC186" s="45">
        <v>-1</v>
      </c>
      <c r="BD186" s="45">
        <v>-1</v>
      </c>
      <c r="BE186" s="45">
        <v>50</v>
      </c>
      <c r="BF186" s="45">
        <v>50</v>
      </c>
      <c r="BG186" s="45">
        <v>-1</v>
      </c>
      <c r="BH186" s="45">
        <v>-1</v>
      </c>
      <c r="BI186" s="45">
        <v>-1</v>
      </c>
      <c r="BJ186" s="28">
        <v>2</v>
      </c>
      <c r="BK186" s="36">
        <v>25.499999999999996</v>
      </c>
      <c r="BL186" s="52" t="str">
        <f>+IF(BK186&gt;0,FIXED(Fuelbeds_english!BL186*2.54,1,0),BK186)</f>
        <v>12.7</v>
      </c>
      <c r="BM186" s="45">
        <v>4</v>
      </c>
      <c r="BN186" s="36">
        <v>25.499999999999996</v>
      </c>
      <c r="BO186" s="52" t="str">
        <f>+IF(BN186&gt;0,FIXED(Fuelbeds_english!BO186*2.54,1,0),BN186)</f>
        <v>12.7</v>
      </c>
    </row>
    <row r="187" spans="1:67" s="50" customFormat="1" x14ac:dyDescent="0.25">
      <c r="A187" s="50">
        <v>186</v>
      </c>
      <c r="B187" s="52" t="s">
        <v>287</v>
      </c>
      <c r="C187" s="72">
        <v>926102</v>
      </c>
      <c r="D187" s="36" t="s">
        <v>204</v>
      </c>
      <c r="E187" s="77" t="s">
        <v>406</v>
      </c>
      <c r="F187" s="39">
        <v>58.6</v>
      </c>
      <c r="G187" s="36">
        <v>58.6</v>
      </c>
      <c r="H187" s="45">
        <f>+IF(F187&gt;0,INT(Fuelbeds_english!H187*2.471),F187)</f>
        <v>506</v>
      </c>
      <c r="I187" s="36">
        <f>+IF(F187&gt;0,INT(Fuelbeds_english!I187*0.3048),F187)</f>
        <v>20</v>
      </c>
      <c r="J187" s="45">
        <f>+IF(F187&gt;0,INT(Fuelbeds_english!J187*0.3048),F187)</f>
        <v>7</v>
      </c>
      <c r="K187" s="45">
        <f>+IF(F187&gt;0,INT(Fuelbeds_english!K187*2.54),F187)</f>
        <v>25</v>
      </c>
      <c r="L187" s="36" t="s">
        <v>400</v>
      </c>
      <c r="M187" s="36" t="s">
        <v>399</v>
      </c>
      <c r="N187" s="36" t="s">
        <v>156</v>
      </c>
      <c r="O187" s="36">
        <v>-1</v>
      </c>
      <c r="P187" s="45">
        <f>+IF(O187&gt;0,INT(Fuelbeds_english!P187*2.471),O187)</f>
        <v>-1</v>
      </c>
      <c r="Q187" s="36">
        <f>+IF(O187&gt;0,INT(Fuelbeds_english!Q187*0.3048),O187)</f>
        <v>-1</v>
      </c>
      <c r="R187" s="45">
        <f>+IF(O187&gt;0,INT(Fuelbeds_english!R187*0.3048),O187)</f>
        <v>-1</v>
      </c>
      <c r="S187" s="45">
        <f>+IF(O187&gt;0,INT(Fuelbeds_english!S187*2.54),O187)</f>
        <v>-1</v>
      </c>
      <c r="T187" s="36">
        <v>-1</v>
      </c>
      <c r="U187" s="36">
        <v>-1</v>
      </c>
      <c r="V187" s="36">
        <v>-1</v>
      </c>
      <c r="W187" s="36">
        <v>1</v>
      </c>
      <c r="X187" s="98">
        <v>2</v>
      </c>
      <c r="Y187" s="29">
        <v>28.37142857142857</v>
      </c>
      <c r="Z187" s="88" t="str">
        <f>+IF(Y187&gt;0,FIXED(Fuelbeds_english!Z187*0.3048,1,0),Y187)</f>
        <v>0.9</v>
      </c>
      <c r="AA187" s="46">
        <v>90</v>
      </c>
      <c r="AB187" s="50">
        <v>19479</v>
      </c>
      <c r="AC187" s="50" t="s">
        <v>357</v>
      </c>
      <c r="AD187" s="50">
        <v>100</v>
      </c>
      <c r="AE187" s="42">
        <v>11.348571428571429</v>
      </c>
      <c r="AF187" s="52" t="str">
        <f>+IF(AE187&gt;0,FIXED(Fuelbeds_english!AF187*0.3048,1,0),AE187)</f>
        <v>0.4</v>
      </c>
      <c r="AG187" s="45">
        <v>80</v>
      </c>
      <c r="AH187" s="52" t="str">
        <f>+IF(AE187&gt;0,FIXED(Fuelbeds_english!AH187*2.242,1,0),AE187)</f>
        <v>0.7</v>
      </c>
      <c r="AI187" s="45">
        <v>40529</v>
      </c>
      <c r="AJ187" s="45" t="s">
        <v>356</v>
      </c>
      <c r="AK187" s="45">
        <v>100</v>
      </c>
      <c r="AL187" s="34">
        <v>33.695</v>
      </c>
      <c r="AM187" s="52" t="str">
        <f>+IF(AL187&gt;0,FIXED(Fuelbeds_english!AM187*2.54,1,0),AL187)</f>
        <v>2.5</v>
      </c>
      <c r="AN187" s="52" t="str">
        <f>+IF($AM187&gt;0,FIXED(Fuelbeds_english!AN187*2.242,1,0),$AM187)</f>
        <v>1.0</v>
      </c>
      <c r="AO187" s="52" t="str">
        <f>+IF($AM187&gt;0,FIXED(Fuelbeds_english!AO187*2.242,1,0),$AM187)</f>
        <v>2.7</v>
      </c>
      <c r="AP187" s="52" t="str">
        <f>+IF($AM187&gt;0,FIXED(Fuelbeds_english!AP187*2.242,1,0),$AM187)</f>
        <v>5.5</v>
      </c>
      <c r="AQ187" s="52" t="str">
        <f>+IF($AM187&gt;0,FIXED(Fuelbeds_english!AQ187*2.242,1,0),$AM187)</f>
        <v>17.3</v>
      </c>
      <c r="AR187" s="36" t="s">
        <v>400</v>
      </c>
      <c r="AS187" s="45" t="s">
        <v>399</v>
      </c>
      <c r="AT187" s="45" t="s">
        <v>156</v>
      </c>
      <c r="AU187" s="44">
        <v>-1</v>
      </c>
      <c r="AV187" s="52">
        <f>+IF(AU187&gt;0,FIXED(Fuelbeds_english!AV187*2.54,1,0),AU187)</f>
        <v>-1</v>
      </c>
      <c r="AW187" s="88">
        <v>1</v>
      </c>
      <c r="AX187" s="88">
        <v>63</v>
      </c>
      <c r="AY187" s="52" t="str">
        <f>+IF(AX187&gt;0,FIXED(Fuelbeds_english!AY187*2.54,1,0),AX187)</f>
        <v>5.8</v>
      </c>
      <c r="AZ187" s="45">
        <v>1</v>
      </c>
      <c r="BA187" s="36">
        <v>58.6</v>
      </c>
      <c r="BB187" s="52" t="str">
        <f>+IF(BA187&gt;0,FIXED(Fuelbeds_english!BB187*2.54,1,0),BA187)</f>
        <v>1.8</v>
      </c>
      <c r="BC187" s="45">
        <v>-1</v>
      </c>
      <c r="BD187" s="45">
        <v>-1</v>
      </c>
      <c r="BE187" s="45">
        <v>50</v>
      </c>
      <c r="BF187" s="45">
        <v>50</v>
      </c>
      <c r="BG187" s="45">
        <v>-1</v>
      </c>
      <c r="BH187" s="45">
        <v>-1</v>
      </c>
      <c r="BI187" s="45">
        <v>-1</v>
      </c>
      <c r="BJ187" s="28">
        <v>2</v>
      </c>
      <c r="BK187" s="36">
        <v>100</v>
      </c>
      <c r="BL187" s="52" t="str">
        <f>+IF(BK187&gt;0,FIXED(Fuelbeds_english!BL187*2.54,1,0),BK187)</f>
        <v>12.7</v>
      </c>
      <c r="BM187" s="45">
        <v>4</v>
      </c>
      <c r="BN187" s="36">
        <v>100</v>
      </c>
      <c r="BO187" s="52" t="str">
        <f>+IF(BN187&gt;0,FIXED(Fuelbeds_english!BO187*2.54,1,0),BN187)</f>
        <v>12.7</v>
      </c>
    </row>
    <row r="188" spans="1:67" s="50" customFormat="1" x14ac:dyDescent="0.25">
      <c r="A188" s="50">
        <v>187</v>
      </c>
      <c r="B188" s="52" t="s">
        <v>288</v>
      </c>
      <c r="C188" s="68">
        <v>916110</v>
      </c>
      <c r="D188" s="36" t="s">
        <v>204</v>
      </c>
      <c r="E188" s="12" t="s">
        <v>9</v>
      </c>
      <c r="F188" s="39">
        <v>18.100000000000001</v>
      </c>
      <c r="G188" s="43">
        <v>18.100000000000001</v>
      </c>
      <c r="H188" s="45">
        <f>+IF(F188&gt;0,INT(Fuelbeds_english!H188*2.471),F188)</f>
        <v>290</v>
      </c>
      <c r="I188" s="36">
        <f>+IF(F188&gt;0,INT(Fuelbeds_english!I188*0.3048),F188)</f>
        <v>12</v>
      </c>
      <c r="J188" s="45">
        <f>+IF(F188&gt;0,INT(Fuelbeds_english!J188*0.3048),F188)</f>
        <v>5</v>
      </c>
      <c r="K188" s="45">
        <f>+IF(F188&gt;0,INT(Fuelbeds_english!K188*2.54),F188)</f>
        <v>14</v>
      </c>
      <c r="L188" s="36" t="s">
        <v>359</v>
      </c>
      <c r="M188" s="36" t="s">
        <v>358</v>
      </c>
      <c r="N188" s="36" t="s">
        <v>156</v>
      </c>
      <c r="O188" s="43">
        <v>4.6709677419354838</v>
      </c>
      <c r="P188" s="45">
        <f>+IF(O188&gt;0,INT(Fuelbeds_english!P188*2.471),O188)</f>
        <v>118</v>
      </c>
      <c r="Q188" s="36">
        <f>+IF(O188&gt;0,INT(Fuelbeds_english!Q188*0.3048),O188)</f>
        <v>6</v>
      </c>
      <c r="R188" s="45">
        <f>+IF(O188&gt;0,INT(Fuelbeds_english!R188*0.3048),O188)</f>
        <v>2</v>
      </c>
      <c r="S188" s="45">
        <f>+IF(O188&gt;0,INT(Fuelbeds_english!S188*2.54),O188)</f>
        <v>8</v>
      </c>
      <c r="T188" s="36">
        <v>18033</v>
      </c>
      <c r="U188" s="36" t="s">
        <v>355</v>
      </c>
      <c r="V188" s="36">
        <v>100</v>
      </c>
      <c r="W188" s="36">
        <v>1</v>
      </c>
      <c r="X188" s="98">
        <v>2</v>
      </c>
      <c r="Y188" s="29">
        <v>13</v>
      </c>
      <c r="Z188" s="88" t="str">
        <f>+IF(Y188&gt;0,FIXED(Fuelbeds_english!Z188*0.3048,1,0),Y188)</f>
        <v>3.4</v>
      </c>
      <c r="AA188" s="46">
        <v>90</v>
      </c>
      <c r="AB188" s="50">
        <v>22476</v>
      </c>
      <c r="AC188" s="50" t="s">
        <v>157</v>
      </c>
      <c r="AD188" s="50">
        <v>100</v>
      </c>
      <c r="AE188" s="42">
        <v>69</v>
      </c>
      <c r="AF188" s="52" t="str">
        <f>+IF(AE188&gt;0,FIXED(Fuelbeds_english!AF188*0.3048,1,0),AE188)</f>
        <v>0.4</v>
      </c>
      <c r="AG188" s="36">
        <v>80</v>
      </c>
      <c r="AH188" s="52" t="str">
        <f>+IF(AE188&gt;0,FIXED(Fuelbeds_english!AH188*2.242,1,0),AE188)</f>
        <v>4.3</v>
      </c>
      <c r="AI188" s="45">
        <v>40529</v>
      </c>
      <c r="AJ188" s="45" t="s">
        <v>356</v>
      </c>
      <c r="AK188" s="45">
        <v>100</v>
      </c>
      <c r="AL188" s="34">
        <v>7.3</v>
      </c>
      <c r="AM188" s="52" t="str">
        <f>+IF(AL188&gt;0,FIXED(Fuelbeds_english!AM188*2.54,1,0),AL188)</f>
        <v>2.6</v>
      </c>
      <c r="AN188" s="52" t="str">
        <f>+IF($AM188&gt;0,FIXED(Fuelbeds_english!AN188*2.242,1,0),$AM188)</f>
        <v>0.4</v>
      </c>
      <c r="AO188" s="52" t="str">
        <f>+IF($AM188&gt;0,FIXED(Fuelbeds_english!AO188*2.242,1,0),$AM188)</f>
        <v>0.5</v>
      </c>
      <c r="AP188" s="52" t="str">
        <f>+IF($AM188&gt;0,FIXED(Fuelbeds_english!AP188*2.242,1,0),$AM188)</f>
        <v>1.0</v>
      </c>
      <c r="AQ188" s="52" t="str">
        <f>+IF($AM188&gt;0,FIXED(Fuelbeds_english!AQ188*2.242,1,0),$AM188)</f>
        <v>3.4</v>
      </c>
      <c r="AR188" s="36" t="s">
        <v>359</v>
      </c>
      <c r="AS188" s="45" t="s">
        <v>358</v>
      </c>
      <c r="AT188" s="45" t="s">
        <v>156</v>
      </c>
      <c r="AU188" s="44">
        <v>4.25</v>
      </c>
      <c r="AV188" s="52" t="str">
        <f>+IF(AU188&gt;0,FIXED(Fuelbeds_english!AV188*2.54,1,0),AU188)</f>
        <v>5.1</v>
      </c>
      <c r="AW188" s="88">
        <v>2</v>
      </c>
      <c r="AX188" s="52">
        <v>27.5</v>
      </c>
      <c r="AY188" s="52" t="str">
        <f>+IF(AX188&gt;0,FIXED(Fuelbeds_english!AY188*2.54,1,0),AX188)</f>
        <v>5.1</v>
      </c>
      <c r="AZ188" s="45">
        <v>1</v>
      </c>
      <c r="BA188" s="36">
        <v>16.899999999999999</v>
      </c>
      <c r="BB188" s="52" t="str">
        <f>+IF(BA188&gt;0,FIXED(Fuelbeds_english!BB188*2.54,1,0),BA188)</f>
        <v>4.1</v>
      </c>
      <c r="BC188" s="45">
        <v>-1</v>
      </c>
      <c r="BD188" s="45">
        <v>-1</v>
      </c>
      <c r="BE188" s="45">
        <v>30</v>
      </c>
      <c r="BF188" s="45">
        <v>70</v>
      </c>
      <c r="BG188" s="45">
        <v>-1</v>
      </c>
      <c r="BH188" s="45">
        <v>-1</v>
      </c>
      <c r="BI188" s="45">
        <v>-1</v>
      </c>
      <c r="BJ188" s="28">
        <v>1</v>
      </c>
      <c r="BK188" s="36">
        <v>21</v>
      </c>
      <c r="BL188" s="52" t="str">
        <f>+IF(BK188&gt;0,FIXED(Fuelbeds_english!BL188*2.54,1,0),BK188)</f>
        <v>5.1</v>
      </c>
      <c r="BM188" s="45">
        <v>3</v>
      </c>
      <c r="BN188" s="36">
        <v>21</v>
      </c>
      <c r="BO188" s="52" t="str">
        <f>+IF(BN188&gt;0,FIXED(Fuelbeds_english!BO188*2.54,1,0),BN188)</f>
        <v>2.5</v>
      </c>
    </row>
    <row r="189" spans="1:67" s="50" customFormat="1" x14ac:dyDescent="0.25">
      <c r="A189" s="50">
        <v>188</v>
      </c>
      <c r="B189" s="52" t="s">
        <v>289</v>
      </c>
      <c r="C189" s="68">
        <v>926110</v>
      </c>
      <c r="D189" s="36" t="s">
        <v>204</v>
      </c>
      <c r="E189" s="12" t="s">
        <v>9</v>
      </c>
      <c r="F189" s="39">
        <v>51.5</v>
      </c>
      <c r="G189" s="43">
        <v>51.5</v>
      </c>
      <c r="H189" s="45">
        <f>+IF(F189&gt;0,INT(Fuelbeds_english!H189*2.471),F189)</f>
        <v>827</v>
      </c>
      <c r="I189" s="36">
        <f>+IF(F189&gt;0,INT(Fuelbeds_english!I189*0.3048),F189)</f>
        <v>14</v>
      </c>
      <c r="J189" s="45">
        <f>+IF(F189&gt;0,INT(Fuelbeds_english!J189*0.3048),F189)</f>
        <v>6</v>
      </c>
      <c r="K189" s="45">
        <f>+IF(F189&gt;0,INT(Fuelbeds_english!K189*2.54),F189)</f>
        <v>15</v>
      </c>
      <c r="L189" s="36" t="s">
        <v>359</v>
      </c>
      <c r="M189" s="36" t="s">
        <v>358</v>
      </c>
      <c r="N189" s="36" t="s">
        <v>156</v>
      </c>
      <c r="O189" s="43">
        <v>13.290322580645162</v>
      </c>
      <c r="P189" s="45">
        <f>+IF(O189&gt;0,INT(Fuelbeds_english!P189*2.471),O189)</f>
        <v>336</v>
      </c>
      <c r="Q189" s="36">
        <f>+IF(O189&gt;0,INT(Fuelbeds_english!Q189*0.3048),O189)</f>
        <v>7</v>
      </c>
      <c r="R189" s="45">
        <f>+IF(O189&gt;0,INT(Fuelbeds_english!R189*0.3048),O189)</f>
        <v>3</v>
      </c>
      <c r="S189" s="45">
        <f>+IF(O189&gt;0,INT(Fuelbeds_english!S189*2.54),O189)</f>
        <v>9</v>
      </c>
      <c r="T189" s="36">
        <v>18033</v>
      </c>
      <c r="U189" s="36" t="s">
        <v>355</v>
      </c>
      <c r="V189" s="36">
        <v>100</v>
      </c>
      <c r="W189" s="36">
        <v>1</v>
      </c>
      <c r="X189" s="98">
        <v>2</v>
      </c>
      <c r="Y189" s="29">
        <v>13</v>
      </c>
      <c r="Z189" s="88" t="str">
        <f>+IF(Y189&gt;0,FIXED(Fuelbeds_english!Z189*0.3048,1,0),Y189)</f>
        <v>3.4</v>
      </c>
      <c r="AA189" s="46">
        <v>90</v>
      </c>
      <c r="AB189" s="50">
        <v>22476</v>
      </c>
      <c r="AC189" s="50" t="s">
        <v>157</v>
      </c>
      <c r="AD189" s="50">
        <v>100</v>
      </c>
      <c r="AE189" s="42">
        <v>36</v>
      </c>
      <c r="AF189" s="52" t="str">
        <f>+IF(AE189&gt;0,FIXED(Fuelbeds_english!AF189*0.3048,1,0),AE189)</f>
        <v>0.4</v>
      </c>
      <c r="AG189" s="36">
        <v>80</v>
      </c>
      <c r="AH189" s="52" t="str">
        <f>+IF(AE189&gt;0,FIXED(Fuelbeds_english!AH189*2.242,1,0),AE189)</f>
        <v>2.2</v>
      </c>
      <c r="AI189" s="45">
        <v>40529</v>
      </c>
      <c r="AJ189" s="45" t="s">
        <v>356</v>
      </c>
      <c r="AK189" s="45">
        <v>100</v>
      </c>
      <c r="AL189" s="34">
        <v>20.8</v>
      </c>
      <c r="AM189" s="52" t="str">
        <f>+IF(AL189&gt;0,FIXED(Fuelbeds_english!AM189*2.54,1,0),AL189)</f>
        <v>2.6</v>
      </c>
      <c r="AN189" s="52" t="str">
        <f>+IF($AM189&gt;0,FIXED(Fuelbeds_english!AN189*2.242,1,0),$AM189)</f>
        <v>1.0</v>
      </c>
      <c r="AO189" s="52" t="str">
        <f>+IF($AM189&gt;0,FIXED(Fuelbeds_english!AO189*2.242,1,0),$AM189)</f>
        <v>1.4</v>
      </c>
      <c r="AP189" s="52" t="str">
        <f>+IF($AM189&gt;0,FIXED(Fuelbeds_english!AP189*2.242,1,0),$AM189)</f>
        <v>2.8</v>
      </c>
      <c r="AQ189" s="52" t="str">
        <f>+IF($AM189&gt;0,FIXED(Fuelbeds_english!AQ189*2.242,1,0),$AM189)</f>
        <v>9.7</v>
      </c>
      <c r="AR189" s="36" t="s">
        <v>359</v>
      </c>
      <c r="AS189" s="45" t="s">
        <v>358</v>
      </c>
      <c r="AT189" s="45" t="s">
        <v>156</v>
      </c>
      <c r="AU189" s="44">
        <v>4.25</v>
      </c>
      <c r="AV189" s="52" t="str">
        <f>+IF(AU189&gt;0,FIXED(Fuelbeds_english!AV189*2.54,1,0),AU189)</f>
        <v>5.1</v>
      </c>
      <c r="AW189" s="88">
        <v>2</v>
      </c>
      <c r="AX189" s="52">
        <v>27.5</v>
      </c>
      <c r="AY189" s="52" t="str">
        <f>+IF(AX189&gt;0,FIXED(Fuelbeds_english!AY189*2.54,1,0),AX189)</f>
        <v>5.1</v>
      </c>
      <c r="AZ189" s="45">
        <v>1</v>
      </c>
      <c r="BA189" s="36">
        <v>48.2</v>
      </c>
      <c r="BB189" s="52" t="str">
        <f>+IF(BA189&gt;0,FIXED(Fuelbeds_english!BB189*2.54,1,0),BA189)</f>
        <v>4.1</v>
      </c>
      <c r="BC189" s="45">
        <v>-1</v>
      </c>
      <c r="BD189" s="45">
        <v>-1</v>
      </c>
      <c r="BE189" s="45">
        <v>30</v>
      </c>
      <c r="BF189" s="45">
        <v>70</v>
      </c>
      <c r="BG189" s="45">
        <v>-1</v>
      </c>
      <c r="BH189" s="45">
        <v>-1</v>
      </c>
      <c r="BI189" s="45">
        <v>-1</v>
      </c>
      <c r="BJ189" s="28">
        <v>1</v>
      </c>
      <c r="BK189" s="36">
        <v>59.8</v>
      </c>
      <c r="BL189" s="52" t="str">
        <f>+IF(BK189&gt;0,FIXED(Fuelbeds_english!BL189*2.54,1,0),BK189)</f>
        <v>5.1</v>
      </c>
      <c r="BM189" s="45">
        <v>3</v>
      </c>
      <c r="BN189" s="36">
        <v>59.8</v>
      </c>
      <c r="BO189" s="52" t="str">
        <f>+IF(BN189&gt;0,FIXED(Fuelbeds_english!BO189*2.54,1,0),BN189)</f>
        <v>2.5</v>
      </c>
    </row>
    <row r="190" spans="1:67" s="50" customFormat="1" x14ac:dyDescent="0.25">
      <c r="A190" s="50">
        <v>189</v>
      </c>
      <c r="B190" s="52" t="s">
        <v>290</v>
      </c>
      <c r="C190" s="72">
        <v>916112</v>
      </c>
      <c r="D190" s="36" t="s">
        <v>204</v>
      </c>
      <c r="E190" s="30" t="s">
        <v>407</v>
      </c>
      <c r="F190" s="39">
        <v>11.1</v>
      </c>
      <c r="G190" s="36">
        <v>11.1</v>
      </c>
      <c r="H190" s="45">
        <f>+IF(F190&gt;0,INT(Fuelbeds_english!H190*2.471),F190)</f>
        <v>95</v>
      </c>
      <c r="I190" s="36">
        <f>+IF(F190&gt;0,INT(Fuelbeds_english!I190*0.3048),F190)</f>
        <v>14</v>
      </c>
      <c r="J190" s="45">
        <f>+IF(F190&gt;0,INT(Fuelbeds_english!J190*0.3048),F190)</f>
        <v>5</v>
      </c>
      <c r="K190" s="45">
        <f>+IF(F190&gt;0,INT(Fuelbeds_english!K190*2.54),F190)</f>
        <v>18</v>
      </c>
      <c r="L190" s="36">
        <v>183412</v>
      </c>
      <c r="M190" s="36" t="s">
        <v>398</v>
      </c>
      <c r="N190" s="36">
        <v>100</v>
      </c>
      <c r="O190" s="36">
        <v>-1</v>
      </c>
      <c r="P190" s="45">
        <f>+IF(O190&gt;0,INT(Fuelbeds_english!P190*2.471),O190)</f>
        <v>-1</v>
      </c>
      <c r="Q190" s="36">
        <f>+IF(O190&gt;0,INT(Fuelbeds_english!Q190*0.3048),O190)</f>
        <v>-1</v>
      </c>
      <c r="R190" s="45">
        <f>+IF(O190&gt;0,INT(Fuelbeds_english!R190*0.3048),O190)</f>
        <v>-1</v>
      </c>
      <c r="S190" s="45">
        <f>+IF(O190&gt;0,INT(Fuelbeds_english!S190*2.54),O190)</f>
        <v>-1</v>
      </c>
      <c r="T190" s="36">
        <v>-1</v>
      </c>
      <c r="U190" s="36">
        <v>-1</v>
      </c>
      <c r="V190" s="36">
        <v>-1</v>
      </c>
      <c r="W190" s="36">
        <v>1</v>
      </c>
      <c r="X190" s="98">
        <v>2</v>
      </c>
      <c r="Y190" s="29">
        <v>45.790000000000006</v>
      </c>
      <c r="Z190" s="88" t="str">
        <f>+IF(Y190&gt;0,FIXED(Fuelbeds_english!Z190*0.3048,1,0),Y190)</f>
        <v>0.9</v>
      </c>
      <c r="AA190" s="46">
        <v>90</v>
      </c>
      <c r="AB190" s="50">
        <v>19479</v>
      </c>
      <c r="AC190" s="50" t="s">
        <v>357</v>
      </c>
      <c r="AD190" s="50">
        <v>100</v>
      </c>
      <c r="AE190" s="42">
        <v>30</v>
      </c>
      <c r="AF190" s="52" t="str">
        <f>+IF(AE190&gt;0,FIXED(Fuelbeds_english!AF190*0.3048,1,0),AE190)</f>
        <v>0.4</v>
      </c>
      <c r="AG190" s="45">
        <v>80</v>
      </c>
      <c r="AH190" s="52" t="str">
        <f>+IF(AE190&gt;0,FIXED(Fuelbeds_english!AH190*2.242,1,0),AE190)</f>
        <v>1.0</v>
      </c>
      <c r="AI190" s="45">
        <v>40529</v>
      </c>
      <c r="AJ190" s="45" t="s">
        <v>356</v>
      </c>
      <c r="AK190" s="45">
        <v>100</v>
      </c>
      <c r="AL190" s="34">
        <v>6.3824999999999994</v>
      </c>
      <c r="AM190" s="52" t="str">
        <f>+IF(AL190&gt;0,FIXED(Fuelbeds_english!AM190*2.54,1,0),AL190)</f>
        <v>2.5</v>
      </c>
      <c r="AN190" s="52" t="str">
        <f>+IF($AM190&gt;0,FIXED(Fuelbeds_english!AN190*2.242,1,0),$AM190)</f>
        <v>0.2</v>
      </c>
      <c r="AO190" s="52" t="str">
        <f>+IF($AM190&gt;0,FIXED(Fuelbeds_english!AO190*2.242,1,0),$AM190)</f>
        <v>0.5</v>
      </c>
      <c r="AP190" s="52" t="str">
        <f>+IF($AM190&gt;0,FIXED(Fuelbeds_english!AP190*2.242,1,0),$AM190)</f>
        <v>1.0</v>
      </c>
      <c r="AQ190" s="52" t="str">
        <f>+IF($AM190&gt;0,FIXED(Fuelbeds_english!AQ190*2.242,1,0),$AM190)</f>
        <v>3.4</v>
      </c>
      <c r="AR190" s="36">
        <v>183412</v>
      </c>
      <c r="AS190" s="45" t="s">
        <v>398</v>
      </c>
      <c r="AT190" s="45">
        <v>100</v>
      </c>
      <c r="AU190" s="44">
        <v>-1</v>
      </c>
      <c r="AV190" s="52">
        <f>+IF(AU190&gt;0,FIXED(Fuelbeds_english!AV190*2.54,1,0),AU190)</f>
        <v>-1</v>
      </c>
      <c r="AW190" s="88">
        <v>1</v>
      </c>
      <c r="AX190" s="88">
        <v>63</v>
      </c>
      <c r="AY190" s="52" t="str">
        <f>+IF(AX190&gt;0,FIXED(Fuelbeds_english!AY190*2.54,1,0),AX190)</f>
        <v>5.8</v>
      </c>
      <c r="AZ190" s="45">
        <v>1</v>
      </c>
      <c r="BA190" s="36">
        <v>11.1</v>
      </c>
      <c r="BB190" s="52" t="str">
        <f>+IF(BA190&gt;0,FIXED(Fuelbeds_english!BB190*2.54,1,0),BA190)</f>
        <v>1.8</v>
      </c>
      <c r="BC190" s="45">
        <v>-1</v>
      </c>
      <c r="BD190" s="45">
        <v>-1</v>
      </c>
      <c r="BE190" s="45">
        <v>100</v>
      </c>
      <c r="BF190" s="45">
        <v>-1</v>
      </c>
      <c r="BG190" s="45">
        <v>-1</v>
      </c>
      <c r="BH190" s="45">
        <v>-1</v>
      </c>
      <c r="BI190" s="45">
        <v>-1</v>
      </c>
      <c r="BJ190" s="28">
        <v>2</v>
      </c>
      <c r="BK190" s="36">
        <v>13.874999999999996</v>
      </c>
      <c r="BL190" s="52" t="str">
        <f>+IF(BK190&gt;0,FIXED(Fuelbeds_english!BL190*2.54,1,0),BK190)</f>
        <v>12.7</v>
      </c>
      <c r="BM190" s="45">
        <v>4</v>
      </c>
      <c r="BN190" s="36">
        <v>13.874999999999996</v>
      </c>
      <c r="BO190" s="52" t="str">
        <f>+IF(BN190&gt;0,FIXED(Fuelbeds_english!BO190*2.54,1,0),BN190)</f>
        <v>12.7</v>
      </c>
    </row>
    <row r="191" spans="1:67" s="50" customFormat="1" x14ac:dyDescent="0.25">
      <c r="A191" s="50">
        <v>190</v>
      </c>
      <c r="B191" s="52" t="s">
        <v>291</v>
      </c>
      <c r="C191" s="72">
        <v>926112</v>
      </c>
      <c r="D191" s="36" t="s">
        <v>204</v>
      </c>
      <c r="E191" s="30" t="s">
        <v>407</v>
      </c>
      <c r="F191" s="39">
        <v>56.1</v>
      </c>
      <c r="G191" s="36">
        <v>56.1</v>
      </c>
      <c r="H191" s="45">
        <f>+IF(F191&gt;0,INT(Fuelbeds_english!H191*2.471),F191)</f>
        <v>485</v>
      </c>
      <c r="I191" s="36">
        <f>+IF(F191&gt;0,INT(Fuelbeds_english!I191*0.3048),F191)</f>
        <v>19</v>
      </c>
      <c r="J191" s="45">
        <f>+IF(F191&gt;0,INT(Fuelbeds_english!J191*0.3048),F191)</f>
        <v>6</v>
      </c>
      <c r="K191" s="45">
        <f>+IF(F191&gt;0,INT(Fuelbeds_english!K191*2.54),F191)</f>
        <v>24</v>
      </c>
      <c r="L191" s="36">
        <v>183412</v>
      </c>
      <c r="M191" s="36" t="s">
        <v>398</v>
      </c>
      <c r="N191" s="36">
        <v>100</v>
      </c>
      <c r="O191" s="36">
        <v>-1</v>
      </c>
      <c r="P191" s="45">
        <f>+IF(O191&gt;0,INT(Fuelbeds_english!P191*2.471),O191)</f>
        <v>-1</v>
      </c>
      <c r="Q191" s="36">
        <f>+IF(O191&gt;0,INT(Fuelbeds_english!Q191*0.3048),O191)</f>
        <v>-1</v>
      </c>
      <c r="R191" s="45">
        <f>+IF(O191&gt;0,INT(Fuelbeds_english!R191*0.3048),O191)</f>
        <v>-1</v>
      </c>
      <c r="S191" s="45">
        <f>+IF(O191&gt;0,INT(Fuelbeds_english!S191*2.54),O191)</f>
        <v>-1</v>
      </c>
      <c r="T191" s="36">
        <v>-1</v>
      </c>
      <c r="U191" s="36">
        <v>-1</v>
      </c>
      <c r="V191" s="36">
        <v>-1</v>
      </c>
      <c r="W191" s="36">
        <v>1</v>
      </c>
      <c r="X191" s="98">
        <v>2</v>
      </c>
      <c r="Y191" s="29">
        <v>13.899999999999999</v>
      </c>
      <c r="Z191" s="88" t="str">
        <f>+IF(Y191&gt;0,FIXED(Fuelbeds_english!Z191*0.3048,1,0),Y191)</f>
        <v>0.9</v>
      </c>
      <c r="AA191" s="46">
        <v>90</v>
      </c>
      <c r="AB191" s="50">
        <v>19479</v>
      </c>
      <c r="AC191" s="50" t="s">
        <v>357</v>
      </c>
      <c r="AD191" s="50">
        <v>100</v>
      </c>
      <c r="AE191" s="42">
        <v>30</v>
      </c>
      <c r="AF191" s="52" t="str">
        <f>+IF(AE191&gt;0,FIXED(Fuelbeds_english!AF191*0.3048,1,0),AE191)</f>
        <v>0.4</v>
      </c>
      <c r="AG191" s="45">
        <v>80</v>
      </c>
      <c r="AH191" s="52" t="str">
        <f>+IF(AE191&gt;0,FIXED(Fuelbeds_english!AH191*2.242,1,0),AE191)</f>
        <v>1.0</v>
      </c>
      <c r="AI191" s="45">
        <v>40529</v>
      </c>
      <c r="AJ191" s="45" t="s">
        <v>356</v>
      </c>
      <c r="AK191" s="45">
        <v>100</v>
      </c>
      <c r="AL191" s="34">
        <v>32.2575</v>
      </c>
      <c r="AM191" s="52" t="str">
        <f>+IF(AL191&gt;0,FIXED(Fuelbeds_english!AM191*2.54,1,0),AL191)</f>
        <v>2.5</v>
      </c>
      <c r="AN191" s="52" t="str">
        <f>+IF($AM191&gt;0,FIXED(Fuelbeds_english!AN191*2.242,1,0),$AM191)</f>
        <v>0.9</v>
      </c>
      <c r="AO191" s="52" t="str">
        <f>+IF($AM191&gt;0,FIXED(Fuelbeds_english!AO191*2.242,1,0),$AM191)</f>
        <v>2.6</v>
      </c>
      <c r="AP191" s="52" t="str">
        <f>+IF($AM191&gt;0,FIXED(Fuelbeds_english!AP191*2.242,1,0),$AM191)</f>
        <v>5.3</v>
      </c>
      <c r="AQ191" s="52" t="str">
        <f>+IF($AM191&gt;0,FIXED(Fuelbeds_english!AQ191*2.242,1,0),$AM191)</f>
        <v>16.6</v>
      </c>
      <c r="AR191" s="36">
        <v>183412</v>
      </c>
      <c r="AS191" s="45" t="s">
        <v>398</v>
      </c>
      <c r="AT191" s="45">
        <v>100</v>
      </c>
      <c r="AU191" s="44">
        <v>-1</v>
      </c>
      <c r="AV191" s="52">
        <f>+IF(AU191&gt;0,FIXED(Fuelbeds_english!AV191*2.54,1,0),AU191)</f>
        <v>-1</v>
      </c>
      <c r="AW191" s="88">
        <v>1</v>
      </c>
      <c r="AX191" s="88">
        <v>63</v>
      </c>
      <c r="AY191" s="52" t="str">
        <f>+IF(AX191&gt;0,FIXED(Fuelbeds_english!AY191*2.54,1,0),AX191)</f>
        <v>5.8</v>
      </c>
      <c r="AZ191" s="45">
        <v>1</v>
      </c>
      <c r="BA191" s="36">
        <v>56.1</v>
      </c>
      <c r="BB191" s="52" t="str">
        <f>+IF(BA191&gt;0,FIXED(Fuelbeds_english!BB191*2.54,1,0),BA191)</f>
        <v>1.8</v>
      </c>
      <c r="BC191" s="45">
        <v>-1</v>
      </c>
      <c r="BD191" s="45">
        <v>-1</v>
      </c>
      <c r="BE191" s="45">
        <v>100</v>
      </c>
      <c r="BF191" s="45">
        <v>-1</v>
      </c>
      <c r="BG191" s="45">
        <v>-1</v>
      </c>
      <c r="BH191" s="45">
        <v>-1</v>
      </c>
      <c r="BI191" s="45">
        <v>-1</v>
      </c>
      <c r="BJ191" s="28">
        <v>2</v>
      </c>
      <c r="BK191" s="36">
        <v>100</v>
      </c>
      <c r="BL191" s="52" t="str">
        <f>+IF(BK191&gt;0,FIXED(Fuelbeds_english!BL191*2.54,1,0),BK191)</f>
        <v>12.7</v>
      </c>
      <c r="BM191" s="45">
        <v>4</v>
      </c>
      <c r="BN191" s="36">
        <v>70.125</v>
      </c>
      <c r="BO191" s="52" t="str">
        <f>+IF(BN191&gt;0,FIXED(Fuelbeds_english!BO191*2.54,1,0),BN191)</f>
        <v>12.7</v>
      </c>
    </row>
    <row r="192" spans="1:67" s="50" customFormat="1" x14ac:dyDescent="0.25">
      <c r="A192" s="50">
        <v>191</v>
      </c>
      <c r="B192" s="52" t="s">
        <v>292</v>
      </c>
      <c r="C192" s="68">
        <v>916120</v>
      </c>
      <c r="D192" s="36" t="s">
        <v>204</v>
      </c>
      <c r="E192" s="13" t="s">
        <v>8</v>
      </c>
      <c r="F192" s="39">
        <v>19.100000000000001</v>
      </c>
      <c r="G192" s="43">
        <v>19.100000000000001</v>
      </c>
      <c r="H192" s="45">
        <f>+IF(F192&gt;0,INT(Fuelbeds_english!H192*2.471),F192)</f>
        <v>306</v>
      </c>
      <c r="I192" s="36">
        <f>+IF(F192&gt;0,INT(Fuelbeds_english!I192*0.3048),F192)</f>
        <v>10</v>
      </c>
      <c r="J192" s="45">
        <f>+IF(F192&gt;0,INT(Fuelbeds_english!J192*0.3048),F192)</f>
        <v>4</v>
      </c>
      <c r="K192" s="45">
        <f>+IF(F192&gt;0,INT(Fuelbeds_english!K192*2.54),F192)</f>
        <v>12</v>
      </c>
      <c r="L192" s="36" t="s">
        <v>359</v>
      </c>
      <c r="M192" s="36" t="s">
        <v>358</v>
      </c>
      <c r="N192" s="36" t="s">
        <v>156</v>
      </c>
      <c r="O192" s="43">
        <v>4.9290322580645158</v>
      </c>
      <c r="P192" s="45">
        <f>+IF(O192&gt;0,INT(Fuelbeds_english!P192*2.471),O192)</f>
        <v>124</v>
      </c>
      <c r="Q192" s="36">
        <f>+IF(O192&gt;0,INT(Fuelbeds_english!Q192*0.3048),O192)</f>
        <v>5</v>
      </c>
      <c r="R192" s="45">
        <f>+IF(O192&gt;0,INT(Fuelbeds_english!R192*0.3048),O192)</f>
        <v>2</v>
      </c>
      <c r="S192" s="45">
        <f>+IF(O192&gt;0,INT(Fuelbeds_english!S192*2.54),O192)</f>
        <v>7</v>
      </c>
      <c r="T192" s="36">
        <v>18033</v>
      </c>
      <c r="U192" s="36" t="s">
        <v>355</v>
      </c>
      <c r="V192" s="36">
        <v>100</v>
      </c>
      <c r="W192" s="36">
        <v>1</v>
      </c>
      <c r="X192" s="98">
        <v>2</v>
      </c>
      <c r="Y192" s="29">
        <v>13</v>
      </c>
      <c r="Z192" s="88" t="str">
        <f>+IF(Y192&gt;0,FIXED(Fuelbeds_english!Z192*0.3048,1,0),Y192)</f>
        <v>3.4</v>
      </c>
      <c r="AA192" s="46">
        <v>90</v>
      </c>
      <c r="AB192" s="50">
        <v>22476</v>
      </c>
      <c r="AC192" s="50" t="s">
        <v>157</v>
      </c>
      <c r="AD192" s="50">
        <v>100</v>
      </c>
      <c r="AE192" s="42">
        <v>67</v>
      </c>
      <c r="AF192" s="52" t="str">
        <f>+IF(AE192&gt;0,FIXED(Fuelbeds_english!AF192*0.3048,1,0),AE192)</f>
        <v>0.4</v>
      </c>
      <c r="AG192" s="36">
        <v>80</v>
      </c>
      <c r="AH192" s="52" t="str">
        <f>+IF(AE192&gt;0,FIXED(Fuelbeds_english!AH192*2.242,1,0),AE192)</f>
        <v>4.2</v>
      </c>
      <c r="AI192" s="45">
        <v>40529</v>
      </c>
      <c r="AJ192" s="45" t="s">
        <v>356</v>
      </c>
      <c r="AK192" s="45">
        <v>100</v>
      </c>
      <c r="AL192" s="34">
        <v>7.7</v>
      </c>
      <c r="AM192" s="52" t="str">
        <f>+IF(AL192&gt;0,FIXED(Fuelbeds_english!AM192*2.54,1,0),AL192)</f>
        <v>2.6</v>
      </c>
      <c r="AN192" s="52" t="str">
        <f>+IF($AM192&gt;0,FIXED(Fuelbeds_english!AN192*2.242,1,0),$AM192)</f>
        <v>0.4</v>
      </c>
      <c r="AO192" s="52" t="str">
        <f>+IF($AM192&gt;0,FIXED(Fuelbeds_english!AO192*2.242,1,0),$AM192)</f>
        <v>0.5</v>
      </c>
      <c r="AP192" s="52" t="str">
        <f>+IF($AM192&gt;0,FIXED(Fuelbeds_english!AP192*2.242,1,0),$AM192)</f>
        <v>1.0</v>
      </c>
      <c r="AQ192" s="52" t="str">
        <f>+IF($AM192&gt;0,FIXED(Fuelbeds_english!AQ192*2.242,1,0),$AM192)</f>
        <v>3.6</v>
      </c>
      <c r="AR192" s="36" t="s">
        <v>359</v>
      </c>
      <c r="AS192" s="45" t="s">
        <v>358</v>
      </c>
      <c r="AT192" s="45" t="s">
        <v>156</v>
      </c>
      <c r="AU192" s="44">
        <v>4.25</v>
      </c>
      <c r="AV192" s="52" t="str">
        <f>+IF(AU192&gt;0,FIXED(Fuelbeds_english!AV192*2.54,1,0),AU192)</f>
        <v>5.1</v>
      </c>
      <c r="AW192" s="88">
        <v>2</v>
      </c>
      <c r="AX192" s="52">
        <v>27.5</v>
      </c>
      <c r="AY192" s="52" t="str">
        <f>+IF(AX192&gt;0,FIXED(Fuelbeds_english!AY192*2.54,1,0),AX192)</f>
        <v>5.1</v>
      </c>
      <c r="AZ192" s="45">
        <v>1</v>
      </c>
      <c r="BA192" s="36">
        <v>17.899999999999999</v>
      </c>
      <c r="BB192" s="52" t="str">
        <f>+IF(BA192&gt;0,FIXED(Fuelbeds_english!BB192*2.54,1,0),BA192)</f>
        <v>4.1</v>
      </c>
      <c r="BC192" s="45">
        <v>-1</v>
      </c>
      <c r="BD192" s="45">
        <v>-1</v>
      </c>
      <c r="BE192" s="45">
        <v>30</v>
      </c>
      <c r="BF192" s="45">
        <v>70</v>
      </c>
      <c r="BG192" s="45">
        <v>-1</v>
      </c>
      <c r="BH192" s="45">
        <v>-1</v>
      </c>
      <c r="BI192" s="45">
        <v>-1</v>
      </c>
      <c r="BJ192" s="28">
        <v>1</v>
      </c>
      <c r="BK192" s="36">
        <v>22.2</v>
      </c>
      <c r="BL192" s="52" t="str">
        <f>+IF(BK192&gt;0,FIXED(Fuelbeds_english!BL192*2.54,1,0),BK192)</f>
        <v>5.1</v>
      </c>
      <c r="BM192" s="45">
        <v>3</v>
      </c>
      <c r="BN192" s="36">
        <v>22.2</v>
      </c>
      <c r="BO192" s="52" t="str">
        <f>+IF(BN192&gt;0,FIXED(Fuelbeds_english!BO192*2.54,1,0),BN192)</f>
        <v>2.5</v>
      </c>
    </row>
    <row r="193" spans="1:67" s="50" customFormat="1" x14ac:dyDescent="0.25">
      <c r="A193" s="50">
        <v>192</v>
      </c>
      <c r="B193" s="52" t="s">
        <v>293</v>
      </c>
      <c r="C193" s="68">
        <v>926120</v>
      </c>
      <c r="D193" s="36" t="s">
        <v>204</v>
      </c>
      <c r="E193" s="13" t="s">
        <v>8</v>
      </c>
      <c r="F193" s="39">
        <v>50</v>
      </c>
      <c r="G193" s="43">
        <v>50</v>
      </c>
      <c r="H193" s="45">
        <f>+IF(F193&gt;0,INT(Fuelbeds_english!H193*2.471),F193)</f>
        <v>803</v>
      </c>
      <c r="I193" s="36">
        <f>+IF(F193&gt;0,INT(Fuelbeds_english!I193*0.3048),F193)</f>
        <v>12</v>
      </c>
      <c r="J193" s="45">
        <f>+IF(F193&gt;0,INT(Fuelbeds_english!J193*0.3048),F193)</f>
        <v>5</v>
      </c>
      <c r="K193" s="45">
        <f>+IF(F193&gt;0,INT(Fuelbeds_english!K193*2.54),F193)</f>
        <v>15</v>
      </c>
      <c r="L193" s="36" t="s">
        <v>359</v>
      </c>
      <c r="M193" s="36" t="s">
        <v>358</v>
      </c>
      <c r="N193" s="36" t="s">
        <v>156</v>
      </c>
      <c r="O193" s="43">
        <v>12.903225806451612</v>
      </c>
      <c r="P193" s="45">
        <f>+IF(O193&gt;0,INT(Fuelbeds_english!P193*2.471),O193)</f>
        <v>326</v>
      </c>
      <c r="Q193" s="36">
        <f>+IF(O193&gt;0,INT(Fuelbeds_english!Q193*0.3048),O193)</f>
        <v>6</v>
      </c>
      <c r="R193" s="45">
        <f>+IF(O193&gt;0,INT(Fuelbeds_english!R193*0.3048),O193)</f>
        <v>2</v>
      </c>
      <c r="S193" s="45">
        <f>+IF(O193&gt;0,INT(Fuelbeds_english!S193*2.54),O193)</f>
        <v>8</v>
      </c>
      <c r="T193" s="36">
        <v>18033</v>
      </c>
      <c r="U193" s="36" t="s">
        <v>355</v>
      </c>
      <c r="V193" s="36">
        <v>100</v>
      </c>
      <c r="W193" s="36">
        <v>1</v>
      </c>
      <c r="X193" s="98">
        <v>2</v>
      </c>
      <c r="Y193" s="81">
        <v>-1</v>
      </c>
      <c r="Z193" s="88">
        <f>+IF(Y193&gt;0,FIXED(Fuelbeds_english!Z193*0.3048,1,0),Y193)</f>
        <v>-1</v>
      </c>
      <c r="AA193" s="48">
        <v>-1</v>
      </c>
      <c r="AB193" s="10">
        <v>-1</v>
      </c>
      <c r="AC193" s="10">
        <v>-1</v>
      </c>
      <c r="AD193" s="10">
        <v>-1</v>
      </c>
      <c r="AE193" s="42">
        <v>50</v>
      </c>
      <c r="AF193" s="52" t="str">
        <f>+IF(AE193&gt;0,FIXED(Fuelbeds_english!AF193*0.3048,1,0),AE193)</f>
        <v>0.4</v>
      </c>
      <c r="AG193" s="36">
        <v>80</v>
      </c>
      <c r="AH193" s="52" t="str">
        <f>+IF(AE193&gt;0,FIXED(Fuelbeds_english!AH193*2.242,1,0),AE193)</f>
        <v>3.2</v>
      </c>
      <c r="AI193" s="45">
        <v>40529</v>
      </c>
      <c r="AJ193" s="45" t="s">
        <v>356</v>
      </c>
      <c r="AK193" s="45">
        <v>100</v>
      </c>
      <c r="AL193" s="34">
        <v>20.2</v>
      </c>
      <c r="AM193" s="52" t="str">
        <f>+IF(AL193&gt;0,FIXED(Fuelbeds_english!AM193*2.54,1,0),AL193)</f>
        <v>2.6</v>
      </c>
      <c r="AN193" s="52" t="str">
        <f>+IF($AM193&gt;0,FIXED(Fuelbeds_english!AN193*2.242,1,0),$AM193)</f>
        <v>1.0</v>
      </c>
      <c r="AO193" s="52" t="str">
        <f>+IF($AM193&gt;0,FIXED(Fuelbeds_english!AO193*2.242,1,0),$AM193)</f>
        <v>1.4</v>
      </c>
      <c r="AP193" s="52" t="str">
        <f>+IF($AM193&gt;0,FIXED(Fuelbeds_english!AP193*2.242,1,0),$AM193)</f>
        <v>2.7</v>
      </c>
      <c r="AQ193" s="52" t="str">
        <f>+IF($AM193&gt;0,FIXED(Fuelbeds_english!AQ193*2.242,1,0),$AM193)</f>
        <v>9.4</v>
      </c>
      <c r="AR193" s="36" t="s">
        <v>359</v>
      </c>
      <c r="AS193" s="45" t="s">
        <v>358</v>
      </c>
      <c r="AT193" s="45" t="s">
        <v>156</v>
      </c>
      <c r="AU193" s="44">
        <v>4.25</v>
      </c>
      <c r="AV193" s="52" t="str">
        <f>+IF(AU193&gt;0,FIXED(Fuelbeds_english!AV193*2.54,1,0),AU193)</f>
        <v>5.1</v>
      </c>
      <c r="AW193" s="88">
        <v>2</v>
      </c>
      <c r="AX193" s="52">
        <v>27.5</v>
      </c>
      <c r="AY193" s="52" t="str">
        <f>+IF(AX193&gt;0,FIXED(Fuelbeds_english!AY193*2.54,1,0),AX193)</f>
        <v>5.1</v>
      </c>
      <c r="AZ193" s="45">
        <v>1</v>
      </c>
      <c r="BA193" s="36">
        <v>46.8</v>
      </c>
      <c r="BB193" s="52" t="str">
        <f>+IF(BA193&gt;0,FIXED(Fuelbeds_english!BB193*2.54,1,0),BA193)</f>
        <v>4.1</v>
      </c>
      <c r="BC193" s="45">
        <v>-1</v>
      </c>
      <c r="BD193" s="45">
        <v>-1</v>
      </c>
      <c r="BE193" s="45">
        <v>30</v>
      </c>
      <c r="BF193" s="45">
        <v>70</v>
      </c>
      <c r="BG193" s="45">
        <v>-1</v>
      </c>
      <c r="BH193" s="45">
        <v>-1</v>
      </c>
      <c r="BI193" s="45">
        <v>-1</v>
      </c>
      <c r="BJ193" s="28">
        <v>1</v>
      </c>
      <c r="BK193" s="36">
        <v>58.1</v>
      </c>
      <c r="BL193" s="52" t="str">
        <f>+IF(BK193&gt;0,FIXED(Fuelbeds_english!BL193*2.54,1,0),BK193)</f>
        <v>5.1</v>
      </c>
      <c r="BM193" s="45">
        <v>3</v>
      </c>
      <c r="BN193" s="36">
        <v>58.1</v>
      </c>
      <c r="BO193" s="52" t="str">
        <f>+IF(BN193&gt;0,FIXED(Fuelbeds_english!BO193*2.54,1,0),BN193)</f>
        <v>2.5</v>
      </c>
    </row>
    <row r="194" spans="1:67" s="50" customFormat="1" x14ac:dyDescent="0.25">
      <c r="A194" s="50">
        <v>193</v>
      </c>
      <c r="B194" s="52" t="s">
        <v>294</v>
      </c>
      <c r="C194" s="72">
        <v>916122</v>
      </c>
      <c r="D194" s="36" t="s">
        <v>204</v>
      </c>
      <c r="E194" s="78" t="s">
        <v>409</v>
      </c>
      <c r="F194" s="39">
        <v>11.1</v>
      </c>
      <c r="G194" s="36">
        <v>11.1</v>
      </c>
      <c r="H194" s="45">
        <f>+IF(F194&gt;0,INT(Fuelbeds_english!H194*2.471),F194)</f>
        <v>95</v>
      </c>
      <c r="I194" s="36">
        <f>+IF(F194&gt;0,INT(Fuelbeds_english!I194*0.3048),F194)</f>
        <v>14</v>
      </c>
      <c r="J194" s="45">
        <f>+IF(F194&gt;0,INT(Fuelbeds_english!J194*0.3048),F194)</f>
        <v>4</v>
      </c>
      <c r="K194" s="45">
        <f>+IF(F194&gt;0,INT(Fuelbeds_english!K194*2.54),F194)</f>
        <v>18</v>
      </c>
      <c r="L194" s="36">
        <v>183412</v>
      </c>
      <c r="M194" s="36" t="s">
        <v>398</v>
      </c>
      <c r="N194" s="36">
        <v>100</v>
      </c>
      <c r="O194" s="36">
        <v>-1</v>
      </c>
      <c r="P194" s="45">
        <f>+IF(O194&gt;0,INT(Fuelbeds_english!P194*2.471),O194)</f>
        <v>-1</v>
      </c>
      <c r="Q194" s="36">
        <f>+IF(O194&gt;0,INT(Fuelbeds_english!Q194*0.3048),O194)</f>
        <v>-1</v>
      </c>
      <c r="R194" s="45">
        <f>+IF(O194&gt;0,INT(Fuelbeds_english!R194*0.3048),O194)</f>
        <v>-1</v>
      </c>
      <c r="S194" s="45">
        <f>+IF(O194&gt;0,INT(Fuelbeds_english!S194*2.54),O194)</f>
        <v>-1</v>
      </c>
      <c r="T194" s="36">
        <v>-1</v>
      </c>
      <c r="U194" s="36">
        <v>-1</v>
      </c>
      <c r="V194" s="36">
        <v>-1</v>
      </c>
      <c r="W194" s="36">
        <v>1</v>
      </c>
      <c r="X194" s="98">
        <v>2</v>
      </c>
      <c r="Y194" s="29">
        <v>15.430000000000007</v>
      </c>
      <c r="Z194" s="88" t="str">
        <f>+IF(Y194&gt;0,FIXED(Fuelbeds_english!Z194*0.3048,1,0),Y194)</f>
        <v>0.9</v>
      </c>
      <c r="AA194" s="46">
        <v>90</v>
      </c>
      <c r="AB194" s="50">
        <v>19479</v>
      </c>
      <c r="AC194" s="50" t="s">
        <v>357</v>
      </c>
      <c r="AD194" s="50">
        <v>100</v>
      </c>
      <c r="AE194" s="42">
        <v>60</v>
      </c>
      <c r="AF194" s="52" t="str">
        <f>+IF(AE194&gt;0,FIXED(Fuelbeds_english!AF194*0.3048,1,0),AE194)</f>
        <v>0.4</v>
      </c>
      <c r="AG194" s="45">
        <v>80</v>
      </c>
      <c r="AH194" s="52" t="str">
        <f>+IF(AE194&gt;0,FIXED(Fuelbeds_english!AH194*2.242,1,0),AE194)</f>
        <v>2.0</v>
      </c>
      <c r="AI194" s="45">
        <v>40529</v>
      </c>
      <c r="AJ194" s="45" t="s">
        <v>356</v>
      </c>
      <c r="AK194" s="45">
        <v>100</v>
      </c>
      <c r="AL194" s="34">
        <v>6.3824999999999994</v>
      </c>
      <c r="AM194" s="52" t="str">
        <f>+IF(AL194&gt;0,FIXED(Fuelbeds_english!AM194*2.54,1,0),AL194)</f>
        <v>2.5</v>
      </c>
      <c r="AN194" s="52" t="str">
        <f>+IF($AM194&gt;0,FIXED(Fuelbeds_english!AN194*2.242,1,0),$AM194)</f>
        <v>0.2</v>
      </c>
      <c r="AO194" s="52" t="str">
        <f>+IF($AM194&gt;0,FIXED(Fuelbeds_english!AO194*2.242,1,0),$AM194)</f>
        <v>0.5</v>
      </c>
      <c r="AP194" s="52" t="str">
        <f>+IF($AM194&gt;0,FIXED(Fuelbeds_english!AP194*2.242,1,0),$AM194)</f>
        <v>1.0</v>
      </c>
      <c r="AQ194" s="52" t="str">
        <f>+IF($AM194&gt;0,FIXED(Fuelbeds_english!AQ194*2.242,1,0),$AM194)</f>
        <v>3.4</v>
      </c>
      <c r="AR194" s="36">
        <v>183412</v>
      </c>
      <c r="AS194" s="45" t="s">
        <v>398</v>
      </c>
      <c r="AT194" s="45">
        <v>100</v>
      </c>
      <c r="AU194" s="44">
        <v>-1</v>
      </c>
      <c r="AV194" s="52">
        <f>+IF(AU194&gt;0,FIXED(Fuelbeds_english!AV194*2.54,1,0),AU194)</f>
        <v>-1</v>
      </c>
      <c r="AW194" s="88">
        <v>1</v>
      </c>
      <c r="AX194" s="88">
        <v>63</v>
      </c>
      <c r="AY194" s="52" t="str">
        <f>+IF(AX194&gt;0,FIXED(Fuelbeds_english!AY194*2.54,1,0),AX194)</f>
        <v>5.8</v>
      </c>
      <c r="AZ194" s="45">
        <v>1</v>
      </c>
      <c r="BA194" s="36">
        <v>11.1</v>
      </c>
      <c r="BB194" s="52" t="str">
        <f>+IF(BA194&gt;0,FIXED(Fuelbeds_english!BB194*2.54,1,0),BA194)</f>
        <v>1.8</v>
      </c>
      <c r="BC194" s="45">
        <v>-1</v>
      </c>
      <c r="BD194" s="45">
        <v>-1</v>
      </c>
      <c r="BE194" s="45">
        <v>100</v>
      </c>
      <c r="BF194" s="45">
        <v>-1</v>
      </c>
      <c r="BG194" s="45">
        <v>-1</v>
      </c>
      <c r="BH194" s="45">
        <v>-1</v>
      </c>
      <c r="BI194" s="45">
        <v>-1</v>
      </c>
      <c r="BJ194" s="28">
        <v>2</v>
      </c>
      <c r="BK194" s="36">
        <v>13.874999999999996</v>
      </c>
      <c r="BL194" s="52" t="str">
        <f>+IF(BK194&gt;0,FIXED(Fuelbeds_english!BL194*2.54,1,0),BK194)</f>
        <v>12.7</v>
      </c>
      <c r="BM194" s="45">
        <v>4</v>
      </c>
      <c r="BN194" s="36">
        <v>13.874999999999996</v>
      </c>
      <c r="BO194" s="52" t="str">
        <f>+IF(BN194&gt;0,FIXED(Fuelbeds_english!BO194*2.54,1,0),BN194)</f>
        <v>12.7</v>
      </c>
    </row>
    <row r="195" spans="1:67" s="50" customFormat="1" x14ac:dyDescent="0.25">
      <c r="A195" s="50">
        <v>194</v>
      </c>
      <c r="B195" s="52" t="s">
        <v>295</v>
      </c>
      <c r="C195" s="72">
        <v>926122</v>
      </c>
      <c r="D195" s="36" t="s">
        <v>204</v>
      </c>
      <c r="E195" s="78" t="s">
        <v>409</v>
      </c>
      <c r="F195" s="39">
        <v>55.6</v>
      </c>
      <c r="G195" s="36">
        <v>55.6</v>
      </c>
      <c r="H195" s="45">
        <f>+IF(F195&gt;0,INT(Fuelbeds_english!H195*2.471),F195)</f>
        <v>480</v>
      </c>
      <c r="I195" s="36">
        <f>+IF(F195&gt;0,INT(Fuelbeds_english!I195*0.3048),F195)</f>
        <v>18</v>
      </c>
      <c r="J195" s="45">
        <f>+IF(F195&gt;0,INT(Fuelbeds_english!J195*0.3048),F195)</f>
        <v>6</v>
      </c>
      <c r="K195" s="45">
        <f>+IF(F195&gt;0,INT(Fuelbeds_english!K195*2.54),F195)</f>
        <v>23</v>
      </c>
      <c r="L195" s="36">
        <v>183412</v>
      </c>
      <c r="M195" s="36" t="s">
        <v>398</v>
      </c>
      <c r="N195" s="36">
        <v>100</v>
      </c>
      <c r="O195" s="36">
        <v>-1</v>
      </c>
      <c r="P195" s="45">
        <f>+IF(O195&gt;0,INT(Fuelbeds_english!P195*2.471),O195)</f>
        <v>-1</v>
      </c>
      <c r="Q195" s="36">
        <f>+IF(O195&gt;0,INT(Fuelbeds_english!Q195*0.3048),O195)</f>
        <v>-1</v>
      </c>
      <c r="R195" s="45">
        <f>+IF(O195&gt;0,INT(Fuelbeds_english!R195*0.3048),O195)</f>
        <v>-1</v>
      </c>
      <c r="S195" s="45">
        <f>+IF(O195&gt;0,INT(Fuelbeds_english!S195*2.54),O195)</f>
        <v>-1</v>
      </c>
      <c r="T195" s="36">
        <v>-1</v>
      </c>
      <c r="U195" s="36">
        <v>-1</v>
      </c>
      <c r="V195" s="36">
        <v>-1</v>
      </c>
      <c r="W195" s="36">
        <v>1</v>
      </c>
      <c r="X195" s="98">
        <v>2</v>
      </c>
      <c r="Y195" s="81">
        <v>-1</v>
      </c>
      <c r="Z195" s="88">
        <f>+IF(Y195&gt;0,FIXED(Fuelbeds_english!Z195*0.3048,1,0),Y195)</f>
        <v>-1</v>
      </c>
      <c r="AA195" s="48">
        <v>-1</v>
      </c>
      <c r="AB195" s="10">
        <v>-1</v>
      </c>
      <c r="AC195" s="10">
        <v>-1</v>
      </c>
      <c r="AD195" s="10">
        <v>-1</v>
      </c>
      <c r="AE195" s="42">
        <v>44</v>
      </c>
      <c r="AF195" s="52" t="str">
        <f>+IF(AE195&gt;0,FIXED(Fuelbeds_english!AF195*0.3048,1,0),AE195)</f>
        <v>0.4</v>
      </c>
      <c r="AG195" s="45">
        <v>80</v>
      </c>
      <c r="AH195" s="52" t="str">
        <f>+IF(AE195&gt;0,FIXED(Fuelbeds_english!AH195*2.242,1,0),AE195)</f>
        <v>1.4</v>
      </c>
      <c r="AI195" s="45">
        <v>40529</v>
      </c>
      <c r="AJ195" s="45" t="s">
        <v>356</v>
      </c>
      <c r="AK195" s="45">
        <v>100</v>
      </c>
      <c r="AL195" s="34">
        <v>31.97</v>
      </c>
      <c r="AM195" s="52" t="str">
        <f>+IF(AL195&gt;0,FIXED(Fuelbeds_english!AM195*2.54,1,0),AL195)</f>
        <v>2.5</v>
      </c>
      <c r="AN195" s="52" t="str">
        <f>+IF($AM195&gt;0,FIXED(Fuelbeds_english!AN195*2.242,1,0),$AM195)</f>
        <v>0.9</v>
      </c>
      <c r="AO195" s="52" t="str">
        <f>+IF($AM195&gt;0,FIXED(Fuelbeds_english!AO195*2.242,1,0),$AM195)</f>
        <v>2.6</v>
      </c>
      <c r="AP195" s="52" t="str">
        <f>+IF($AM195&gt;0,FIXED(Fuelbeds_english!AP195*2.242,1,0),$AM195)</f>
        <v>5.2</v>
      </c>
      <c r="AQ195" s="52" t="str">
        <f>+IF($AM195&gt;0,FIXED(Fuelbeds_english!AQ195*2.242,1,0),$AM195)</f>
        <v>16.4</v>
      </c>
      <c r="AR195" s="36">
        <v>183412</v>
      </c>
      <c r="AS195" s="45" t="s">
        <v>398</v>
      </c>
      <c r="AT195" s="45">
        <v>100</v>
      </c>
      <c r="AU195" s="44">
        <v>-1</v>
      </c>
      <c r="AV195" s="52">
        <f>+IF(AU195&gt;0,FIXED(Fuelbeds_english!AV195*2.54,1,0),AU195)</f>
        <v>-1</v>
      </c>
      <c r="AW195" s="88">
        <v>1</v>
      </c>
      <c r="AX195" s="88">
        <v>63</v>
      </c>
      <c r="AY195" s="52" t="str">
        <f>+IF(AX195&gt;0,FIXED(Fuelbeds_english!AY195*2.54,1,0),AX195)</f>
        <v>5.8</v>
      </c>
      <c r="AZ195" s="45">
        <v>1</v>
      </c>
      <c r="BA195" s="36">
        <v>55.6</v>
      </c>
      <c r="BB195" s="52" t="str">
        <f>+IF(BA195&gt;0,FIXED(Fuelbeds_english!BB195*2.54,1,0),BA195)</f>
        <v>1.8</v>
      </c>
      <c r="BC195" s="45">
        <v>-1</v>
      </c>
      <c r="BD195" s="45">
        <v>-1</v>
      </c>
      <c r="BE195" s="45">
        <v>100</v>
      </c>
      <c r="BF195" s="45">
        <v>-1</v>
      </c>
      <c r="BG195" s="45">
        <v>-1</v>
      </c>
      <c r="BH195" s="45">
        <v>-1</v>
      </c>
      <c r="BI195" s="45">
        <v>-1</v>
      </c>
      <c r="BJ195" s="28">
        <v>2</v>
      </c>
      <c r="BK195" s="36">
        <v>100</v>
      </c>
      <c r="BL195" s="52" t="str">
        <f>+IF(BK195&gt;0,FIXED(Fuelbeds_english!BL195*2.54,1,0),BK195)</f>
        <v>12.7</v>
      </c>
      <c r="BM195" s="45">
        <v>4</v>
      </c>
      <c r="BN195" s="36">
        <v>69.499999999999986</v>
      </c>
      <c r="BO195" s="52" t="str">
        <f>+IF(BN195&gt;0,FIXED(Fuelbeds_english!BO195*2.54,1,0),BN195)</f>
        <v>12.7</v>
      </c>
    </row>
    <row r="196" spans="1:67" s="50" customFormat="1" x14ac:dyDescent="0.25">
      <c r="A196" s="50">
        <v>195</v>
      </c>
      <c r="B196" s="36">
        <v>6130</v>
      </c>
      <c r="C196" s="46">
        <v>6130</v>
      </c>
      <c r="D196" s="36" t="s">
        <v>204</v>
      </c>
      <c r="E196" s="14" t="s">
        <v>10</v>
      </c>
      <c r="F196" s="39">
        <v>-3</v>
      </c>
      <c r="G196" s="36">
        <v>-3</v>
      </c>
      <c r="H196" s="45">
        <f>+IF(F196&gt;0,INT(Fuelbeds_english!H196*2.471),F196)</f>
        <v>-3</v>
      </c>
      <c r="I196" s="36">
        <f>+IF(F196&gt;0,INT(Fuelbeds_english!I196*0.3048),F196)</f>
        <v>-3</v>
      </c>
      <c r="J196" s="45">
        <f>+IF(F196&gt;0,INT(Fuelbeds_english!J196*0.3048),F196)</f>
        <v>-3</v>
      </c>
      <c r="K196" s="45">
        <f>+IF(F196&gt;0,INT(Fuelbeds_english!K196*2.54),F196)</f>
        <v>-3</v>
      </c>
      <c r="L196" s="45">
        <v>-3</v>
      </c>
      <c r="M196" s="45">
        <v>-3</v>
      </c>
      <c r="N196" s="45">
        <v>-3</v>
      </c>
      <c r="O196" s="36">
        <v>-3</v>
      </c>
      <c r="P196" s="45">
        <f>+IF(O196&gt;0,INT(Fuelbeds_english!P196*2.471),O196)</f>
        <v>-3</v>
      </c>
      <c r="Q196" s="36">
        <f>+IF(O196&gt;0,INT(Fuelbeds_english!Q196*0.3048),O196)</f>
        <v>-3</v>
      </c>
      <c r="R196" s="45">
        <f>+IF(O196&gt;0,INT(Fuelbeds_english!R196*0.3048),O196)</f>
        <v>-3</v>
      </c>
      <c r="S196" s="45">
        <f>+IF(O196&gt;0,INT(Fuelbeds_english!S196*2.54),O196)</f>
        <v>-3</v>
      </c>
      <c r="T196" s="45">
        <v>-3</v>
      </c>
      <c r="U196" s="45">
        <v>-3</v>
      </c>
      <c r="V196" s="45">
        <v>-3</v>
      </c>
      <c r="W196" s="45">
        <v>-3</v>
      </c>
      <c r="X196" s="99">
        <v>-3</v>
      </c>
      <c r="Y196" s="29">
        <v>76.7</v>
      </c>
      <c r="Z196" s="88" t="str">
        <f>+IF(Y196&gt;0,FIXED(Fuelbeds_english!Z196*0.3048,1,0),Y196)</f>
        <v>2.4</v>
      </c>
      <c r="AA196" s="46">
        <v>90</v>
      </c>
      <c r="AB196" s="50">
        <v>22476</v>
      </c>
      <c r="AC196" s="50" t="s">
        <v>157</v>
      </c>
      <c r="AD196" s="50">
        <v>100</v>
      </c>
      <c r="AE196" s="42">
        <v>-3</v>
      </c>
      <c r="AF196" s="52">
        <f>+IF(AE196&gt;0,FIXED(Fuelbeds_english!AF196*0.3048,1,0),AE196)</f>
        <v>-3</v>
      </c>
      <c r="AG196" s="45">
        <v>-3</v>
      </c>
      <c r="AH196" s="52">
        <f>+IF(AE196&gt;0,FIXED(Fuelbeds_english!AH196*2.242,1,0),AE196)</f>
        <v>-3</v>
      </c>
      <c r="AI196" s="45">
        <v>-3</v>
      </c>
      <c r="AJ196" s="45">
        <v>-3</v>
      </c>
      <c r="AK196" s="45">
        <v>-3</v>
      </c>
      <c r="AL196" s="34">
        <v>19.175000000000001</v>
      </c>
      <c r="AM196" s="52" t="str">
        <f>+IF(AL196&gt;0,FIXED(Fuelbeds_english!AM196*2.54,1,0),AL196)</f>
        <v>1.2</v>
      </c>
      <c r="AN196" s="52" t="str">
        <f>+IF($AM196&gt;0,FIXED(Fuelbeds_english!AN196*2.242,1,0),$AM196)</f>
        <v>0.4</v>
      </c>
      <c r="AO196" s="52" t="str">
        <f>+IF($AM196&gt;0,FIXED(Fuelbeds_english!AO196*2.242,1,0),$AM196)</f>
        <v>1.1</v>
      </c>
      <c r="AP196" s="52" t="str">
        <f>+IF($AM196&gt;0,FIXED(Fuelbeds_english!AP196*2.242,1,0),$AM196)</f>
        <v>1.1</v>
      </c>
      <c r="AQ196" s="52" t="str">
        <f>+IF($AM196&gt;0,FIXED(Fuelbeds_english!AQ196*2.242,1,0),$AM196)</f>
        <v>43.0</v>
      </c>
      <c r="AR196" s="45">
        <v>22476</v>
      </c>
      <c r="AS196" s="45" t="s">
        <v>361</v>
      </c>
      <c r="AT196" s="35">
        <v>100</v>
      </c>
      <c r="AU196" s="44">
        <v>-1</v>
      </c>
      <c r="AV196" s="52">
        <f>+IF(AU196&gt;0,FIXED(Fuelbeds_english!AV196*2.54,1,0),AU196)</f>
        <v>-1</v>
      </c>
      <c r="AW196" s="52">
        <v>-1</v>
      </c>
      <c r="AX196" s="52">
        <v>-1</v>
      </c>
      <c r="AY196" s="52">
        <f>+IF(AX196&gt;0,FIXED(Fuelbeds_english!AY196*2.54,1,0),AX196)</f>
        <v>-1</v>
      </c>
      <c r="AZ196" s="45">
        <v>1</v>
      </c>
      <c r="BA196" s="36">
        <v>90</v>
      </c>
      <c r="BB196" s="52" t="str">
        <f>+IF(BA196&gt;0,FIXED(Fuelbeds_english!BB196*2.54,1,0),BA196)</f>
        <v>2.5</v>
      </c>
      <c r="BC196" s="45">
        <v>-1</v>
      </c>
      <c r="BD196" s="45">
        <v>-1</v>
      </c>
      <c r="BE196" s="45">
        <v>-1</v>
      </c>
      <c r="BF196" s="45">
        <v>100</v>
      </c>
      <c r="BG196" s="45">
        <v>-1</v>
      </c>
      <c r="BH196" s="45">
        <v>-1</v>
      </c>
      <c r="BI196" s="45">
        <v>-1</v>
      </c>
      <c r="BJ196" s="28">
        <v>1</v>
      </c>
      <c r="BK196" s="36">
        <v>90</v>
      </c>
      <c r="BL196" s="52" t="str">
        <f>+IF(BK196&gt;0,FIXED(Fuelbeds_english!BL196*2.54,1,0),BK196)</f>
        <v>2.5</v>
      </c>
      <c r="BM196" s="45">
        <v>3</v>
      </c>
      <c r="BN196" s="36">
        <v>90</v>
      </c>
      <c r="BO196" s="52" t="str">
        <f>+IF(BN196&gt;0,FIXED(Fuelbeds_english!BO196*2.54,1,0),BN196)</f>
        <v>2.5</v>
      </c>
    </row>
    <row r="197" spans="1:67" s="50" customFormat="1" x14ac:dyDescent="0.25">
      <c r="A197" s="50">
        <v>196</v>
      </c>
      <c r="B197" s="36">
        <v>6140</v>
      </c>
      <c r="C197" s="46">
        <v>6140</v>
      </c>
      <c r="D197" s="36" t="s">
        <v>204</v>
      </c>
      <c r="E197" s="15" t="s">
        <v>14</v>
      </c>
      <c r="F197" s="39">
        <v>-3</v>
      </c>
      <c r="G197" s="36">
        <v>-3</v>
      </c>
      <c r="H197" s="45">
        <f>+IF(F197&gt;0,INT(Fuelbeds_english!H197*2.471),F197)</f>
        <v>-3</v>
      </c>
      <c r="I197" s="36">
        <f>+IF(F197&gt;0,INT(Fuelbeds_english!I197*0.3048),F197)</f>
        <v>-3</v>
      </c>
      <c r="J197" s="45">
        <f>+IF(F197&gt;0,INT(Fuelbeds_english!J197*0.3048),F197)</f>
        <v>-3</v>
      </c>
      <c r="K197" s="45">
        <f>+IF(F197&gt;0,INT(Fuelbeds_english!K197*2.54),F197)</f>
        <v>-3</v>
      </c>
      <c r="L197" s="45">
        <v>-3</v>
      </c>
      <c r="M197" s="45">
        <v>-3</v>
      </c>
      <c r="N197" s="45">
        <v>-3</v>
      </c>
      <c r="O197" s="36">
        <v>-3</v>
      </c>
      <c r="P197" s="45">
        <f>+IF(O197&gt;0,INT(Fuelbeds_english!P197*2.471),O197)</f>
        <v>-3</v>
      </c>
      <c r="Q197" s="36">
        <f>+IF(O197&gt;0,INT(Fuelbeds_english!Q197*0.3048),O197)</f>
        <v>-3</v>
      </c>
      <c r="R197" s="45">
        <f>+IF(O197&gt;0,INT(Fuelbeds_english!R197*0.3048),O197)</f>
        <v>-3</v>
      </c>
      <c r="S197" s="45">
        <f>+IF(O197&gt;0,INT(Fuelbeds_english!S197*2.54),O197)</f>
        <v>-3</v>
      </c>
      <c r="T197" s="45">
        <v>-3</v>
      </c>
      <c r="U197" s="45">
        <v>-3</v>
      </c>
      <c r="V197" s="45">
        <v>-3</v>
      </c>
      <c r="W197" s="45">
        <v>-3</v>
      </c>
      <c r="X197" s="99">
        <v>-3</v>
      </c>
      <c r="Y197" s="81">
        <v>-3</v>
      </c>
      <c r="Z197" s="88">
        <f>+IF(Y197&gt;0,FIXED(Fuelbeds_english!Z197*0.3048,1,0),Y197)</f>
        <v>-3</v>
      </c>
      <c r="AA197" s="48">
        <v>-3</v>
      </c>
      <c r="AB197" s="10">
        <v>-3</v>
      </c>
      <c r="AC197" s="10">
        <v>-3</v>
      </c>
      <c r="AD197" s="10">
        <v>-3</v>
      </c>
      <c r="AE197" s="42">
        <v>74</v>
      </c>
      <c r="AF197" s="52" t="str">
        <f>+IF(AE197&gt;0,FIXED(Fuelbeds_english!AF197*0.3048,1,0),AE197)</f>
        <v>0.9</v>
      </c>
      <c r="AG197" s="36">
        <v>90</v>
      </c>
      <c r="AH197" s="52" t="str">
        <f>+IF(AE197&gt;0,FIXED(Fuelbeds_english!AH197*2.242,1,0),AE197)</f>
        <v>8.3</v>
      </c>
      <c r="AI197" s="45">
        <v>40544</v>
      </c>
      <c r="AJ197" s="45" t="s">
        <v>363</v>
      </c>
      <c r="AK197" s="45">
        <v>100</v>
      </c>
      <c r="AL197" s="34">
        <v>-3</v>
      </c>
      <c r="AM197" s="52">
        <f>+IF(AL197&gt;0,FIXED(Fuelbeds_english!AM197*2.54,1,0),AL197)</f>
        <v>-3</v>
      </c>
      <c r="AN197" s="52">
        <f>+IF(AM197&gt;0,FIXED(Fuelbeds_english!AN197*0.3048,1,0),AM197)</f>
        <v>-3</v>
      </c>
      <c r="AO197" s="52">
        <f>+IF(AN197&gt;0,FIXED(Fuelbeds_english!AO197*0.3048,1,0),AN197)</f>
        <v>-3</v>
      </c>
      <c r="AP197" s="52">
        <f>+IF(AO197&gt;0,FIXED(Fuelbeds_english!AP197*0.3048,1,0),AO197)</f>
        <v>-3</v>
      </c>
      <c r="AQ197" s="52">
        <f>+IF(AP197&gt;0,FIXED(Fuelbeds_english!AQ197*0.3048,1,0),AP197)</f>
        <v>-3</v>
      </c>
      <c r="AR197" s="36">
        <v>-3</v>
      </c>
      <c r="AS197" s="45">
        <v>-3</v>
      </c>
      <c r="AT197" s="45">
        <v>-3</v>
      </c>
      <c r="AU197" s="44">
        <v>-1</v>
      </c>
      <c r="AV197" s="52">
        <f>+IF(AU197&gt;0,FIXED(Fuelbeds_english!AV197*2.54,1,0),AU197)</f>
        <v>-1</v>
      </c>
      <c r="AW197" s="52">
        <v>-1</v>
      </c>
      <c r="AX197" s="52">
        <v>-1</v>
      </c>
      <c r="AY197" s="52">
        <f>+IF(AX197&gt;0,FIXED(Fuelbeds_english!AY197*2.54,1,0),AX197)</f>
        <v>-1</v>
      </c>
      <c r="AZ197" s="45">
        <v>1</v>
      </c>
      <c r="BA197" s="36">
        <v>74</v>
      </c>
      <c r="BB197" s="52" t="str">
        <f>+IF(BA197&gt;0,FIXED(Fuelbeds_english!BB197*2.54,1,0),BA197)</f>
        <v>7.6</v>
      </c>
      <c r="BC197" s="45">
        <v>-1</v>
      </c>
      <c r="BD197" s="45">
        <v>-1</v>
      </c>
      <c r="BE197" s="45">
        <v>-1</v>
      </c>
      <c r="BF197" s="45">
        <v>-1</v>
      </c>
      <c r="BG197" s="45">
        <v>-1</v>
      </c>
      <c r="BH197" s="45">
        <v>-1</v>
      </c>
      <c r="BI197" s="45">
        <v>100</v>
      </c>
      <c r="BJ197" s="28">
        <v>1</v>
      </c>
      <c r="BK197" s="36">
        <v>90</v>
      </c>
      <c r="BL197" s="52" t="str">
        <f>+IF(BK197&gt;0,FIXED(Fuelbeds_english!BL197*2.54,1,0),BK197)</f>
        <v>2.5</v>
      </c>
      <c r="BM197" s="45">
        <v>4</v>
      </c>
      <c r="BN197" s="36">
        <v>90</v>
      </c>
      <c r="BO197" s="52" t="str">
        <f>+IF(BN197&gt;0,FIXED(Fuelbeds_english!BO197*2.54,1,0),BN197)</f>
        <v>2.5</v>
      </c>
    </row>
    <row r="198" spans="1:67" s="50" customFormat="1" x14ac:dyDescent="0.25">
      <c r="A198" s="50">
        <v>197</v>
      </c>
      <c r="B198" s="36">
        <v>6150</v>
      </c>
      <c r="C198" s="46">
        <v>6150</v>
      </c>
      <c r="D198" s="36" t="s">
        <v>204</v>
      </c>
      <c r="E198" s="18" t="s">
        <v>15</v>
      </c>
      <c r="F198" s="39">
        <v>-3</v>
      </c>
      <c r="G198" s="36">
        <v>-3</v>
      </c>
      <c r="H198" s="45">
        <f>+IF(F198&gt;0,INT(Fuelbeds_english!H198*2.471),F198)</f>
        <v>-3</v>
      </c>
      <c r="I198" s="36">
        <f>+IF(F198&gt;0,INT(Fuelbeds_english!I198*0.3048),F198)</f>
        <v>-3</v>
      </c>
      <c r="J198" s="45">
        <f>+IF(F198&gt;0,INT(Fuelbeds_english!J198*0.3048),F198)</f>
        <v>-3</v>
      </c>
      <c r="K198" s="45">
        <f>+IF(F198&gt;0,INT(Fuelbeds_english!K198*2.54),F198)</f>
        <v>-3</v>
      </c>
      <c r="L198" s="45">
        <v>-3</v>
      </c>
      <c r="M198" s="45">
        <v>-3</v>
      </c>
      <c r="N198" s="45">
        <v>-3</v>
      </c>
      <c r="O198" s="36">
        <v>-3</v>
      </c>
      <c r="P198" s="45">
        <f>+IF(O198&gt;0,INT(Fuelbeds_english!P198*2.471),O198)</f>
        <v>-3</v>
      </c>
      <c r="Q198" s="36">
        <f>+IF(O198&gt;0,INT(Fuelbeds_english!Q198*0.3048),O198)</f>
        <v>-3</v>
      </c>
      <c r="R198" s="45">
        <f>+IF(O198&gt;0,INT(Fuelbeds_english!R198*0.3048),O198)</f>
        <v>-3</v>
      </c>
      <c r="S198" s="45">
        <f>+IF(O198&gt;0,INT(Fuelbeds_english!S198*2.54),O198)</f>
        <v>-3</v>
      </c>
      <c r="T198" s="45">
        <v>-3</v>
      </c>
      <c r="U198" s="45">
        <v>-3</v>
      </c>
      <c r="V198" s="45">
        <v>-3</v>
      </c>
      <c r="W198" s="45">
        <v>-3</v>
      </c>
      <c r="X198" s="99">
        <v>-3</v>
      </c>
      <c r="Y198" s="29">
        <v>8.9</v>
      </c>
      <c r="Z198" s="88" t="str">
        <f>+IF(Y198&gt;0,FIXED(Fuelbeds_english!Z198*0.3048,1,0),Y198)</f>
        <v>2.4</v>
      </c>
      <c r="AA198" s="46">
        <v>90</v>
      </c>
      <c r="AB198" s="50">
        <v>22476</v>
      </c>
      <c r="AC198" s="50" t="s">
        <v>157</v>
      </c>
      <c r="AD198" s="50">
        <v>100</v>
      </c>
      <c r="AE198" s="42">
        <v>6</v>
      </c>
      <c r="AF198" s="52" t="str">
        <f>+IF(AE198&gt;0,FIXED(Fuelbeds_english!AF198*0.3048,1,0),AE198)</f>
        <v>0.6</v>
      </c>
      <c r="AG198" s="36">
        <v>85</v>
      </c>
      <c r="AH198" s="52" t="str">
        <f>+IF(AE198&gt;0,FIXED(Fuelbeds_english!AH198*2.242,1,0),AE198)</f>
        <v>0.6</v>
      </c>
      <c r="AI198" s="45">
        <v>40544</v>
      </c>
      <c r="AJ198" s="45" t="s">
        <v>363</v>
      </c>
      <c r="AK198" s="45">
        <v>100</v>
      </c>
      <c r="AL198" s="34">
        <v>2.23</v>
      </c>
      <c r="AM198" s="52" t="str">
        <f>+IF(AL198&gt;0,FIXED(Fuelbeds_english!AM198*2.54,1,0),AL198)</f>
        <v>0.2</v>
      </c>
      <c r="AN198" s="52" t="str">
        <f>+IF($AM198&gt;0,FIXED(Fuelbeds_english!AN198*2.242,1,0),$AM198)</f>
        <v>0.0</v>
      </c>
      <c r="AO198" s="52" t="str">
        <f>+IF($AM198&gt;0,FIXED(Fuelbeds_english!AO198*2.242,1,0),$AM198)</f>
        <v>0.1</v>
      </c>
      <c r="AP198" s="52" t="str">
        <f>+IF($AM198&gt;0,FIXED(Fuelbeds_english!AP198*2.242,1,0),$AM198)</f>
        <v>0.1</v>
      </c>
      <c r="AQ198" s="52" t="str">
        <f>+IF($AM198&gt;0,FIXED(Fuelbeds_english!AQ198*2.242,1,0),$AM198)</f>
        <v>0.1</v>
      </c>
      <c r="AR198" s="45">
        <v>22476</v>
      </c>
      <c r="AS198" s="36" t="s">
        <v>361</v>
      </c>
      <c r="AT198" s="45">
        <v>100</v>
      </c>
      <c r="AU198" s="44">
        <v>-1</v>
      </c>
      <c r="AV198" s="52">
        <f>+IF(AU198&gt;0,FIXED(Fuelbeds_english!AV198*2.54,1,0),AU198)</f>
        <v>-1</v>
      </c>
      <c r="AW198" s="52">
        <v>-1</v>
      </c>
      <c r="AX198" s="52">
        <v>-1</v>
      </c>
      <c r="AY198" s="52">
        <f>+IF(AX198&gt;0,FIXED(Fuelbeds_english!AY198*2.54,1,0),AX198)</f>
        <v>-1</v>
      </c>
      <c r="AZ198" s="45">
        <v>1</v>
      </c>
      <c r="BA198" s="36">
        <v>15</v>
      </c>
      <c r="BB198" s="52" t="str">
        <f>+IF(BA198&gt;0,FIXED(Fuelbeds_english!BB198*2.54,1,0),BA198)</f>
        <v>5.1</v>
      </c>
      <c r="BC198" s="45">
        <v>-1</v>
      </c>
      <c r="BD198" s="45">
        <v>-1</v>
      </c>
      <c r="BE198" s="45">
        <v>-1</v>
      </c>
      <c r="BF198" s="45">
        <v>50</v>
      </c>
      <c r="BG198" s="45">
        <v>-1</v>
      </c>
      <c r="BH198" s="45">
        <v>-1</v>
      </c>
      <c r="BI198" s="45">
        <v>50</v>
      </c>
      <c r="BJ198" s="28">
        <v>1</v>
      </c>
      <c r="BK198" s="36">
        <v>90</v>
      </c>
      <c r="BL198" s="52" t="str">
        <f>+IF(BK198&gt;0,FIXED(Fuelbeds_english!BL198*2.54,1,0),BK198)</f>
        <v>2.5</v>
      </c>
      <c r="BM198" s="45">
        <v>3</v>
      </c>
      <c r="BN198" s="36">
        <v>90</v>
      </c>
      <c r="BO198" s="52" t="str">
        <f>+IF(BN198&gt;0,FIXED(Fuelbeds_english!BO198*2.54,1,0),BN198)</f>
        <v>2.5</v>
      </c>
    </row>
    <row r="199" spans="1:67" s="50" customFormat="1" x14ac:dyDescent="0.25">
      <c r="A199" s="50">
        <v>198</v>
      </c>
      <c r="B199" s="36">
        <v>6180</v>
      </c>
      <c r="C199" s="46">
        <v>6180</v>
      </c>
      <c r="D199" s="36" t="s">
        <v>204</v>
      </c>
      <c r="E199" s="16" t="s">
        <v>13</v>
      </c>
      <c r="F199" s="39">
        <v>-3</v>
      </c>
      <c r="G199" s="36">
        <v>-3</v>
      </c>
      <c r="H199" s="45">
        <f>+IF(F199&gt;0,INT(Fuelbeds_english!H199*2.471),F199)</f>
        <v>-3</v>
      </c>
      <c r="I199" s="36">
        <f>+IF(F199&gt;0,INT(Fuelbeds_english!I199*0.3048),F199)</f>
        <v>-3</v>
      </c>
      <c r="J199" s="45">
        <f>+IF(F199&gt;0,INT(Fuelbeds_english!J199*0.3048),F199)</f>
        <v>-3</v>
      </c>
      <c r="K199" s="45">
        <f>+IF(F199&gt;0,INT(Fuelbeds_english!K199*2.54),F199)</f>
        <v>-3</v>
      </c>
      <c r="L199" s="45">
        <v>-3</v>
      </c>
      <c r="M199" s="45">
        <v>-3</v>
      </c>
      <c r="N199" s="45">
        <v>-3</v>
      </c>
      <c r="O199" s="36">
        <v>-3</v>
      </c>
      <c r="P199" s="45">
        <f>+IF(O199&gt;0,INT(Fuelbeds_english!P199*2.471),O199)</f>
        <v>-3</v>
      </c>
      <c r="Q199" s="36">
        <f>+IF(O199&gt;0,INT(Fuelbeds_english!Q199*0.3048),O199)</f>
        <v>-3</v>
      </c>
      <c r="R199" s="45">
        <f>+IF(O199&gt;0,INT(Fuelbeds_english!R199*0.3048),O199)</f>
        <v>-3</v>
      </c>
      <c r="S199" s="45">
        <f>+IF(O199&gt;0,INT(Fuelbeds_english!S199*2.54),O199)</f>
        <v>-3</v>
      </c>
      <c r="T199" s="45">
        <v>-3</v>
      </c>
      <c r="U199" s="45">
        <v>-3</v>
      </c>
      <c r="V199" s="45">
        <v>-3</v>
      </c>
      <c r="W199" s="45">
        <v>-3</v>
      </c>
      <c r="X199" s="99">
        <v>-3</v>
      </c>
      <c r="Y199" s="81">
        <v>-1</v>
      </c>
      <c r="Z199" s="88">
        <f>+IF(Y199&gt;0,FIXED(Fuelbeds_english!Z199*0.3048,1,0),Y199)</f>
        <v>-1</v>
      </c>
      <c r="AA199" s="48">
        <v>-1</v>
      </c>
      <c r="AB199" s="10">
        <v>-1</v>
      </c>
      <c r="AC199" s="10">
        <v>-1</v>
      </c>
      <c r="AD199" s="10">
        <v>-1</v>
      </c>
      <c r="AE199" s="42">
        <v>77</v>
      </c>
      <c r="AF199" s="52" t="str">
        <f>+IF(AE199&gt;0,FIXED(Fuelbeds_english!AF199*0.3048,1,0),AE199)</f>
        <v>0.8</v>
      </c>
      <c r="AG199" s="36">
        <v>90</v>
      </c>
      <c r="AH199" s="52" t="str">
        <f>+IF(AE199&gt;0,FIXED(Fuelbeds_english!AH199*2.242,1,0),AE199)</f>
        <v>6.5</v>
      </c>
      <c r="AI199" s="45">
        <v>40792</v>
      </c>
      <c r="AJ199" s="45" t="s">
        <v>365</v>
      </c>
      <c r="AK199" s="45">
        <v>100</v>
      </c>
      <c r="AL199" s="34">
        <v>-1</v>
      </c>
      <c r="AM199" s="52">
        <f>+IF(AL199&gt;0,FIXED(Fuelbeds_english!AM199*2.54,1,0),AL199)</f>
        <v>-1</v>
      </c>
      <c r="AN199" s="52">
        <f>+IF(AM199&gt;0,FIXED(Fuelbeds_english!AN199*0.3048,1,0),AM199)</f>
        <v>-1</v>
      </c>
      <c r="AO199" s="52">
        <f>+IF(AN199&gt;0,FIXED(Fuelbeds_english!AO199*0.3048,1,0),AN199)</f>
        <v>-1</v>
      </c>
      <c r="AP199" s="52">
        <f>+IF(AO199&gt;0,FIXED(Fuelbeds_english!AP199*0.3048,1,0),AO199)</f>
        <v>-1</v>
      </c>
      <c r="AQ199" s="52">
        <f>+IF(AP199&gt;0,FIXED(Fuelbeds_english!AQ199*0.3048,1,0),AP199)</f>
        <v>-1</v>
      </c>
      <c r="AR199" s="36">
        <v>-1</v>
      </c>
      <c r="AS199" s="36">
        <v>-1</v>
      </c>
      <c r="AT199" s="36">
        <v>-1</v>
      </c>
      <c r="AU199" s="44">
        <v>-3</v>
      </c>
      <c r="AV199" s="52">
        <f>+IF(AU199&gt;0,FIXED(Fuelbeds_english!AV199*2.54,1,0),AU199)</f>
        <v>-3</v>
      </c>
      <c r="AW199" s="88">
        <v>2</v>
      </c>
      <c r="AX199" s="52">
        <v>10</v>
      </c>
      <c r="AY199" s="52" t="str">
        <f>+IF(AX199&gt;0,FIXED(Fuelbeds_english!AY199*2.54,1,0),AX199)</f>
        <v>2.5</v>
      </c>
      <c r="AZ199" s="45">
        <v>1</v>
      </c>
      <c r="BA199" s="36">
        <v>77</v>
      </c>
      <c r="BB199" s="52" t="str">
        <f>+IF(BA199&gt;0,FIXED(Fuelbeds_english!BB199*2.54,1,0),BA199)</f>
        <v>5.1</v>
      </c>
      <c r="BC199" s="45">
        <v>-1</v>
      </c>
      <c r="BD199" s="45">
        <v>-1</v>
      </c>
      <c r="BE199" s="45">
        <v>-1</v>
      </c>
      <c r="BF199" s="45">
        <v>-1</v>
      </c>
      <c r="BG199" s="45">
        <v>-1</v>
      </c>
      <c r="BH199" s="45">
        <v>-1</v>
      </c>
      <c r="BI199" s="45">
        <v>100</v>
      </c>
      <c r="BJ199" s="28">
        <v>1</v>
      </c>
      <c r="BK199" s="36">
        <v>50</v>
      </c>
      <c r="BL199" s="52" t="str">
        <f>+IF(BK199&gt;0,FIXED(Fuelbeds_english!BL199*2.54,1,0),BK199)</f>
        <v>1.3</v>
      </c>
      <c r="BM199" s="45">
        <v>4</v>
      </c>
      <c r="BN199" s="36">
        <v>50</v>
      </c>
      <c r="BO199" s="52" t="str">
        <f>+IF(BN199&gt;0,FIXED(Fuelbeds_english!BO199*2.54,1,0),BN199)</f>
        <v>1.3</v>
      </c>
    </row>
    <row r="200" spans="1:67" s="50" customFormat="1" x14ac:dyDescent="0.25">
      <c r="A200" s="50">
        <v>199</v>
      </c>
      <c r="B200" s="36">
        <v>7010</v>
      </c>
      <c r="C200" s="46">
        <v>7010</v>
      </c>
      <c r="D200" s="22" t="s">
        <v>4</v>
      </c>
      <c r="E200" s="25" t="s">
        <v>410</v>
      </c>
      <c r="F200" s="39">
        <v>-3</v>
      </c>
      <c r="G200" s="45">
        <v>-3</v>
      </c>
      <c r="H200" s="45">
        <f>+IF(F200&gt;0,INT(Fuelbeds_english!H200*2.471),F200)</f>
        <v>-3</v>
      </c>
      <c r="I200" s="36">
        <f>+IF(F200&gt;0,INT(Fuelbeds_english!I200*0.3048),F200)</f>
        <v>-3</v>
      </c>
      <c r="J200" s="45">
        <f>+IF(F200&gt;0,INT(Fuelbeds_english!J200*0.3048),F200)</f>
        <v>-3</v>
      </c>
      <c r="K200" s="45">
        <f>+IF(F200&gt;0,INT(Fuelbeds_english!K200*2.54),F200)</f>
        <v>-3</v>
      </c>
      <c r="L200" s="45">
        <v>-3</v>
      </c>
      <c r="M200" s="45">
        <v>-3</v>
      </c>
      <c r="N200" s="45">
        <v>-3</v>
      </c>
      <c r="O200" s="45">
        <v>-3</v>
      </c>
      <c r="P200" s="45">
        <f>+IF(O200&gt;0,INT(Fuelbeds_english!P200*2.471),O200)</f>
        <v>-3</v>
      </c>
      <c r="Q200" s="36">
        <f>+IF(O200&gt;0,INT(Fuelbeds_english!Q200*0.3048),O200)</f>
        <v>-3</v>
      </c>
      <c r="R200" s="45">
        <f>+IF(O200&gt;0,INT(Fuelbeds_english!R200*0.3048),O200)</f>
        <v>-3</v>
      </c>
      <c r="S200" s="45">
        <f>+IF(O200&gt;0,INT(Fuelbeds_english!S200*2.54),O200)</f>
        <v>-3</v>
      </c>
      <c r="T200" s="45">
        <v>-3</v>
      </c>
      <c r="U200" s="45">
        <v>-3</v>
      </c>
      <c r="V200" s="45">
        <v>-3</v>
      </c>
      <c r="W200" s="45">
        <v>-3</v>
      </c>
      <c r="X200" s="99">
        <v>-3</v>
      </c>
      <c r="Y200" s="81">
        <v>-3</v>
      </c>
      <c r="Z200" s="88">
        <f>+IF(Y200&gt;0,FIXED(Fuelbeds_english!Z200*0.3048,1,0),Y200)</f>
        <v>-3</v>
      </c>
      <c r="AA200" s="48">
        <v>-3</v>
      </c>
      <c r="AB200" s="10">
        <v>-3</v>
      </c>
      <c r="AC200" s="10">
        <v>-3</v>
      </c>
      <c r="AD200" s="10">
        <v>-3</v>
      </c>
      <c r="AE200" s="42">
        <v>100</v>
      </c>
      <c r="AF200" s="52" t="str">
        <f>+IF(AE200&gt;0,FIXED(Fuelbeds_english!AF200*0.3048,1,0),AE200)</f>
        <v>0.2</v>
      </c>
      <c r="AG200" s="36">
        <v>0</v>
      </c>
      <c r="AH200" s="52" t="str">
        <f>+IF(AE200&gt;0,FIXED(Fuelbeds_english!AH200*2.242,1,0),AE200)</f>
        <v>0.4</v>
      </c>
      <c r="AI200" s="45">
        <v>42236</v>
      </c>
      <c r="AJ200" s="45" t="s">
        <v>207</v>
      </c>
      <c r="AK200" s="45">
        <v>100</v>
      </c>
      <c r="AL200" s="34">
        <v>-3</v>
      </c>
      <c r="AM200" s="52">
        <f>+IF(AL200&gt;0,FIXED(Fuelbeds_english!AM200*2.54,1,0),AL200)</f>
        <v>-3</v>
      </c>
      <c r="AN200" s="52">
        <f>+IF(AM200&gt;0,FIXED(Fuelbeds_english!AN200*0.3048,1,0),AM200)</f>
        <v>-3</v>
      </c>
      <c r="AO200" s="52">
        <f>+IF(AN200&gt;0,FIXED(Fuelbeds_english!AO200*0.3048,1,0),AN200)</f>
        <v>-3</v>
      </c>
      <c r="AP200" s="52">
        <f>+IF(AO200&gt;0,FIXED(Fuelbeds_english!AP200*0.3048,1,0),AO200)</f>
        <v>-3</v>
      </c>
      <c r="AQ200" s="52">
        <f>+IF(AP200&gt;0,FIXED(Fuelbeds_english!AQ200*0.3048,1,0),AP200)</f>
        <v>-3</v>
      </c>
      <c r="AR200" s="36">
        <v>-3</v>
      </c>
      <c r="AS200" s="45">
        <v>-3</v>
      </c>
      <c r="AT200" s="45">
        <v>-3</v>
      </c>
      <c r="AU200" s="44">
        <v>-1</v>
      </c>
      <c r="AV200" s="52">
        <f>+IF(AU200&gt;0,FIXED(Fuelbeds_english!AV200*2.54,1,0),AU200)</f>
        <v>-1</v>
      </c>
      <c r="AW200" s="52">
        <v>-1</v>
      </c>
      <c r="AX200" s="52">
        <v>-1</v>
      </c>
      <c r="AY200" s="52">
        <f>+IF(AX200&gt;0,FIXED(Fuelbeds_english!AY200*2.54,1,0),AX200)</f>
        <v>-1</v>
      </c>
      <c r="AZ200" s="45">
        <v>2</v>
      </c>
      <c r="BA200" s="36">
        <v>65</v>
      </c>
      <c r="BB200" s="52" t="str">
        <f>+IF(BA200&gt;0,FIXED(Fuelbeds_english!BB200*2.54,1,0),BA200)</f>
        <v>1.3</v>
      </c>
      <c r="BC200" s="53">
        <v>-1</v>
      </c>
      <c r="BD200" s="53">
        <v>-1</v>
      </c>
      <c r="BE200" s="53">
        <v>-1</v>
      </c>
      <c r="BF200" s="53">
        <v>-1</v>
      </c>
      <c r="BG200" s="53">
        <v>-1</v>
      </c>
      <c r="BH200" s="53">
        <v>-1</v>
      </c>
      <c r="BI200" s="45">
        <v>100</v>
      </c>
      <c r="BJ200" s="28">
        <v>-1</v>
      </c>
      <c r="BK200" s="36">
        <v>-1</v>
      </c>
      <c r="BL200" s="52">
        <f>+IF(BK200&gt;0,FIXED(Fuelbeds_english!BL200*2.54,1,0),BK200)</f>
        <v>-1</v>
      </c>
      <c r="BM200" s="36">
        <v>-1</v>
      </c>
      <c r="BN200" s="36">
        <v>-1</v>
      </c>
      <c r="BO200" s="52">
        <f>+IF(BN200&gt;0,FIXED(Fuelbeds_english!BO200*2.54,1,0),BN200)</f>
        <v>-1</v>
      </c>
    </row>
    <row r="201" spans="1:67" s="50" customFormat="1" x14ac:dyDescent="0.25">
      <c r="A201" s="50">
        <v>200</v>
      </c>
      <c r="B201" s="36">
        <v>7011</v>
      </c>
      <c r="C201" s="46">
        <v>7011</v>
      </c>
      <c r="D201" s="22" t="s">
        <v>4</v>
      </c>
      <c r="E201" s="25" t="s">
        <v>411</v>
      </c>
      <c r="F201" s="39">
        <v>-3</v>
      </c>
      <c r="G201" s="45">
        <v>-3</v>
      </c>
      <c r="H201" s="45">
        <f>+IF(F201&gt;0,INT(Fuelbeds_english!H201*2.471),F201)</f>
        <v>-3</v>
      </c>
      <c r="I201" s="36">
        <f>+IF(F201&gt;0,INT(Fuelbeds_english!I201*0.3048),F201)</f>
        <v>-3</v>
      </c>
      <c r="J201" s="45">
        <f>+IF(F201&gt;0,INT(Fuelbeds_english!J201*0.3048),F201)</f>
        <v>-3</v>
      </c>
      <c r="K201" s="45">
        <f>+IF(F201&gt;0,INT(Fuelbeds_english!K201*2.54),F201)</f>
        <v>-3</v>
      </c>
      <c r="L201" s="45">
        <v>-3</v>
      </c>
      <c r="M201" s="45">
        <v>-3</v>
      </c>
      <c r="N201" s="45">
        <v>-3</v>
      </c>
      <c r="O201" s="45">
        <v>-3</v>
      </c>
      <c r="P201" s="45">
        <f>+IF(O201&gt;0,INT(Fuelbeds_english!P201*2.471),O201)</f>
        <v>-3</v>
      </c>
      <c r="Q201" s="36">
        <f>+IF(O201&gt;0,INT(Fuelbeds_english!Q201*0.3048),O201)</f>
        <v>-3</v>
      </c>
      <c r="R201" s="45">
        <f>+IF(O201&gt;0,INT(Fuelbeds_english!R201*0.3048),O201)</f>
        <v>-3</v>
      </c>
      <c r="S201" s="45">
        <f>+IF(O201&gt;0,INT(Fuelbeds_english!S201*2.54),O201)</f>
        <v>-3</v>
      </c>
      <c r="T201" s="45">
        <v>-3</v>
      </c>
      <c r="U201" s="45">
        <v>-3</v>
      </c>
      <c r="V201" s="45">
        <v>-3</v>
      </c>
      <c r="W201" s="45">
        <v>-3</v>
      </c>
      <c r="X201" s="99">
        <v>-3</v>
      </c>
      <c r="Y201" s="81">
        <v>-3</v>
      </c>
      <c r="Z201" s="88">
        <f>+IF(Y201&gt;0,FIXED(Fuelbeds_english!Z201*0.3048,1,0),Y201)</f>
        <v>-3</v>
      </c>
      <c r="AA201" s="48">
        <v>-3</v>
      </c>
      <c r="AB201" s="10">
        <v>-3</v>
      </c>
      <c r="AC201" s="10">
        <v>-3</v>
      </c>
      <c r="AD201" s="10">
        <v>-3</v>
      </c>
      <c r="AE201" s="42">
        <v>100</v>
      </c>
      <c r="AF201" s="52" t="str">
        <f>+IF(AE201&gt;0,FIXED(Fuelbeds_english!AF201*0.3048,1,0),AE201)</f>
        <v>0.2</v>
      </c>
      <c r="AG201" s="45">
        <v>0</v>
      </c>
      <c r="AH201" s="52" t="str">
        <f>+IF(AE201&gt;0,FIXED(Fuelbeds_english!AH201*2.242,1,0),AE201)</f>
        <v>2.9</v>
      </c>
      <c r="AI201" s="45">
        <v>41976</v>
      </c>
      <c r="AJ201" s="45" t="s">
        <v>209</v>
      </c>
      <c r="AK201" s="45">
        <v>100</v>
      </c>
      <c r="AL201" s="34">
        <v>-3</v>
      </c>
      <c r="AM201" s="52">
        <f>+IF(AL201&gt;0,FIXED(Fuelbeds_english!AM201*2.54,1,0),AL201)</f>
        <v>-3</v>
      </c>
      <c r="AN201" s="52">
        <f>+IF(AM201&gt;0,FIXED(Fuelbeds_english!AN201*0.3048,1,0),AM201)</f>
        <v>-3</v>
      </c>
      <c r="AO201" s="52">
        <f>+IF(AN201&gt;0,FIXED(Fuelbeds_english!AO201*0.3048,1,0),AN201)</f>
        <v>-3</v>
      </c>
      <c r="AP201" s="52">
        <f>+IF(AO201&gt;0,FIXED(Fuelbeds_english!AP201*0.3048,1,0),AO201)</f>
        <v>-3</v>
      </c>
      <c r="AQ201" s="52">
        <f>+IF(AP201&gt;0,FIXED(Fuelbeds_english!AQ201*0.3048,1,0),AP201)</f>
        <v>-3</v>
      </c>
      <c r="AR201" s="36">
        <v>-3</v>
      </c>
      <c r="AS201" s="45">
        <v>-3</v>
      </c>
      <c r="AT201" s="45">
        <v>-3</v>
      </c>
      <c r="AU201" s="44">
        <v>-1</v>
      </c>
      <c r="AV201" s="52">
        <f>+IF(AU201&gt;0,FIXED(Fuelbeds_english!AV201*2.54,1,0),AU201)</f>
        <v>-1</v>
      </c>
      <c r="AW201" s="52">
        <v>-1</v>
      </c>
      <c r="AX201" s="52">
        <v>-1</v>
      </c>
      <c r="AY201" s="52">
        <f>+IF(AX201&gt;0,FIXED(Fuelbeds_english!AY201*2.54,1,0),AX201)</f>
        <v>-1</v>
      </c>
      <c r="AZ201" s="45">
        <v>2</v>
      </c>
      <c r="BA201" s="36">
        <v>65</v>
      </c>
      <c r="BB201" s="52" t="str">
        <f>+IF(BA201&gt;0,FIXED(Fuelbeds_english!BB201*2.54,1,0),BA201)</f>
        <v>1.3</v>
      </c>
      <c r="BC201" s="53">
        <v>-1</v>
      </c>
      <c r="BD201" s="53">
        <v>-1</v>
      </c>
      <c r="BE201" s="53">
        <v>-1</v>
      </c>
      <c r="BF201" s="53">
        <v>-1</v>
      </c>
      <c r="BG201" s="53">
        <v>-1</v>
      </c>
      <c r="BH201" s="53">
        <v>-1</v>
      </c>
      <c r="BI201" s="45">
        <v>100</v>
      </c>
      <c r="BJ201" s="28">
        <v>-1</v>
      </c>
      <c r="BK201" s="36">
        <v>-1</v>
      </c>
      <c r="BL201" s="52">
        <f>+IF(BK201&gt;0,FIXED(Fuelbeds_english!BL201*2.54,1,0),BK201)</f>
        <v>-1</v>
      </c>
      <c r="BM201" s="36">
        <v>-1</v>
      </c>
      <c r="BN201" s="36">
        <v>-1</v>
      </c>
      <c r="BO201" s="52">
        <f>+IF(BN201&gt;0,FIXED(Fuelbeds_english!BO201*2.54,1,0),BN201)</f>
        <v>-1</v>
      </c>
    </row>
    <row r="202" spans="1:67" s="50" customFormat="1" x14ac:dyDescent="0.25">
      <c r="A202" s="50">
        <v>201</v>
      </c>
      <c r="B202" s="36">
        <v>7012</v>
      </c>
      <c r="C202" s="46">
        <v>7012</v>
      </c>
      <c r="D202" s="22" t="s">
        <v>4</v>
      </c>
      <c r="E202" s="25" t="s">
        <v>412</v>
      </c>
      <c r="F202" s="39">
        <v>-3</v>
      </c>
      <c r="G202" s="45">
        <v>-3</v>
      </c>
      <c r="H202" s="45">
        <f>+IF(F202&gt;0,INT(Fuelbeds_english!H202*2.471),F202)</f>
        <v>-3</v>
      </c>
      <c r="I202" s="36">
        <f>+IF(F202&gt;0,INT(Fuelbeds_english!I202*0.3048),F202)</f>
        <v>-3</v>
      </c>
      <c r="J202" s="45">
        <f>+IF(F202&gt;0,INT(Fuelbeds_english!J202*0.3048),F202)</f>
        <v>-3</v>
      </c>
      <c r="K202" s="45">
        <f>+IF(F202&gt;0,INT(Fuelbeds_english!K202*2.54),F202)</f>
        <v>-3</v>
      </c>
      <c r="L202" s="45">
        <v>-3</v>
      </c>
      <c r="M202" s="45">
        <v>-3</v>
      </c>
      <c r="N202" s="45">
        <v>-3</v>
      </c>
      <c r="O202" s="45">
        <v>-3</v>
      </c>
      <c r="P202" s="45">
        <f>+IF(O202&gt;0,INT(Fuelbeds_english!P202*2.471),O202)</f>
        <v>-3</v>
      </c>
      <c r="Q202" s="36">
        <f>+IF(O202&gt;0,INT(Fuelbeds_english!Q202*0.3048),O202)</f>
        <v>-3</v>
      </c>
      <c r="R202" s="45">
        <f>+IF(O202&gt;0,INT(Fuelbeds_english!R202*0.3048),O202)</f>
        <v>-3</v>
      </c>
      <c r="S202" s="45">
        <f>+IF(O202&gt;0,INT(Fuelbeds_english!S202*2.54),O202)</f>
        <v>-3</v>
      </c>
      <c r="T202" s="45">
        <v>-3</v>
      </c>
      <c r="U202" s="45">
        <v>-3</v>
      </c>
      <c r="V202" s="45">
        <v>-3</v>
      </c>
      <c r="W202" s="45">
        <v>-3</v>
      </c>
      <c r="X202" s="99">
        <v>-3</v>
      </c>
      <c r="Y202" s="81">
        <v>-3</v>
      </c>
      <c r="Z202" s="88">
        <f>+IF(Y202&gt;0,FIXED(Fuelbeds_english!Z202*0.3048,1,0),Y202)</f>
        <v>-3</v>
      </c>
      <c r="AA202" s="48">
        <v>-3</v>
      </c>
      <c r="AB202" s="10">
        <v>-3</v>
      </c>
      <c r="AC202" s="10">
        <v>-3</v>
      </c>
      <c r="AD202" s="10">
        <v>-3</v>
      </c>
      <c r="AE202" s="42">
        <v>100</v>
      </c>
      <c r="AF202" s="52" t="str">
        <f>+IF(AE202&gt;0,FIXED(Fuelbeds_english!AF202*0.3048,1,0),AE202)</f>
        <v>0.2</v>
      </c>
      <c r="AG202" s="62">
        <v>0</v>
      </c>
      <c r="AH202" s="52" t="str">
        <f>+IF(AE202&gt;0,FIXED(Fuelbeds_english!AH202*2.242,1,0),AE202)</f>
        <v>1.1</v>
      </c>
      <c r="AI202" s="45">
        <v>42269</v>
      </c>
      <c r="AJ202" s="45" t="s">
        <v>206</v>
      </c>
      <c r="AK202" s="45">
        <v>100</v>
      </c>
      <c r="AL202" s="34">
        <v>-3</v>
      </c>
      <c r="AM202" s="52">
        <f>+IF(AL202&gt;0,FIXED(Fuelbeds_english!AM202*2.54,1,0),AL202)</f>
        <v>-3</v>
      </c>
      <c r="AN202" s="52">
        <f>+IF(AM202&gt;0,FIXED(Fuelbeds_english!AN202*0.3048,1,0),AM202)</f>
        <v>-3</v>
      </c>
      <c r="AO202" s="52">
        <f>+IF(AN202&gt;0,FIXED(Fuelbeds_english!AO202*0.3048,1,0),AN202)</f>
        <v>-3</v>
      </c>
      <c r="AP202" s="52">
        <f>+IF(AO202&gt;0,FIXED(Fuelbeds_english!AP202*0.3048,1,0),AO202)</f>
        <v>-3</v>
      </c>
      <c r="AQ202" s="52">
        <f>+IF(AP202&gt;0,FIXED(Fuelbeds_english!AQ202*0.3048,1,0),AP202)</f>
        <v>-3</v>
      </c>
      <c r="AR202" s="36">
        <v>-3</v>
      </c>
      <c r="AS202" s="45">
        <v>-3</v>
      </c>
      <c r="AT202" s="45">
        <v>-3</v>
      </c>
      <c r="AU202" s="44">
        <v>-1</v>
      </c>
      <c r="AV202" s="52">
        <f>+IF(AU202&gt;0,FIXED(Fuelbeds_english!AV202*2.54,1,0),AU202)</f>
        <v>-1</v>
      </c>
      <c r="AW202" s="52">
        <v>-1</v>
      </c>
      <c r="AX202" s="52">
        <v>-1</v>
      </c>
      <c r="AY202" s="52">
        <f>+IF(AX202&gt;0,FIXED(Fuelbeds_english!AY202*2.54,1,0),AX202)</f>
        <v>-1</v>
      </c>
      <c r="AZ202" s="45">
        <v>2</v>
      </c>
      <c r="BA202" s="36">
        <v>65</v>
      </c>
      <c r="BB202" s="52" t="str">
        <f>+IF(BA202&gt;0,FIXED(Fuelbeds_english!BB202*2.54,1,0),BA202)</f>
        <v>1.3</v>
      </c>
      <c r="BC202" s="53">
        <v>-1</v>
      </c>
      <c r="BD202" s="53">
        <v>-1</v>
      </c>
      <c r="BE202" s="53">
        <v>-1</v>
      </c>
      <c r="BF202" s="53">
        <v>-1</v>
      </c>
      <c r="BG202" s="53">
        <v>-1</v>
      </c>
      <c r="BH202" s="53">
        <v>-1</v>
      </c>
      <c r="BI202" s="45">
        <v>100</v>
      </c>
      <c r="BJ202" s="28">
        <v>-1</v>
      </c>
      <c r="BK202" s="36">
        <v>-1</v>
      </c>
      <c r="BL202" s="52">
        <f>+IF(BK202&gt;0,FIXED(Fuelbeds_english!BL202*2.54,1,0),BK202)</f>
        <v>-1</v>
      </c>
      <c r="BM202" s="36">
        <v>-1</v>
      </c>
      <c r="BN202" s="36">
        <v>-1</v>
      </c>
      <c r="BO202" s="52">
        <f>+IF(BN202&gt;0,FIXED(Fuelbeds_english!BO202*2.54,1,0),BN202)</f>
        <v>-1</v>
      </c>
    </row>
    <row r="203" spans="1:67" s="50" customFormat="1" x14ac:dyDescent="0.25">
      <c r="A203" s="50">
        <v>202</v>
      </c>
      <c r="B203" s="36">
        <v>7013</v>
      </c>
      <c r="C203" s="46">
        <v>7013</v>
      </c>
      <c r="D203" s="22" t="s">
        <v>4</v>
      </c>
      <c r="E203" s="25" t="s">
        <v>413</v>
      </c>
      <c r="F203" s="39">
        <v>-3</v>
      </c>
      <c r="G203" s="45">
        <v>-3</v>
      </c>
      <c r="H203" s="45">
        <f>+IF(F203&gt;0,INT(Fuelbeds_english!H203*2.471),F203)</f>
        <v>-3</v>
      </c>
      <c r="I203" s="36">
        <f>+IF(F203&gt;0,INT(Fuelbeds_english!I203*0.3048),F203)</f>
        <v>-3</v>
      </c>
      <c r="J203" s="45">
        <f>+IF(F203&gt;0,INT(Fuelbeds_english!J203*0.3048),F203)</f>
        <v>-3</v>
      </c>
      <c r="K203" s="45">
        <f>+IF(F203&gt;0,INT(Fuelbeds_english!K203*2.54),F203)</f>
        <v>-3</v>
      </c>
      <c r="L203" s="45">
        <v>-3</v>
      </c>
      <c r="M203" s="45">
        <v>-3</v>
      </c>
      <c r="N203" s="45">
        <v>-3</v>
      </c>
      <c r="O203" s="45">
        <v>-3</v>
      </c>
      <c r="P203" s="45">
        <f>+IF(O203&gt;0,INT(Fuelbeds_english!P203*2.471),O203)</f>
        <v>-3</v>
      </c>
      <c r="Q203" s="36">
        <f>+IF(O203&gt;0,INT(Fuelbeds_english!Q203*0.3048),O203)</f>
        <v>-3</v>
      </c>
      <c r="R203" s="45">
        <f>+IF(O203&gt;0,INT(Fuelbeds_english!R203*0.3048),O203)</f>
        <v>-3</v>
      </c>
      <c r="S203" s="45">
        <f>+IF(O203&gt;0,INT(Fuelbeds_english!S203*2.54),O203)</f>
        <v>-3</v>
      </c>
      <c r="T203" s="45">
        <v>-3</v>
      </c>
      <c r="U203" s="45">
        <v>-3</v>
      </c>
      <c r="V203" s="45">
        <v>-3</v>
      </c>
      <c r="W203" s="45">
        <v>-3</v>
      </c>
      <c r="X203" s="99">
        <v>-3</v>
      </c>
      <c r="Y203" s="81">
        <v>-3</v>
      </c>
      <c r="Z203" s="88">
        <f>+IF(Y203&gt;0,FIXED(Fuelbeds_english!Z203*0.3048,1,0),Y203)</f>
        <v>-3</v>
      </c>
      <c r="AA203" s="48">
        <v>-3</v>
      </c>
      <c r="AB203" s="10">
        <v>-3</v>
      </c>
      <c r="AC203" s="10">
        <v>-3</v>
      </c>
      <c r="AD203" s="10">
        <v>-3</v>
      </c>
      <c r="AE203" s="42">
        <v>100</v>
      </c>
      <c r="AF203" s="52" t="str">
        <f>+IF(AE203&gt;0,FIXED(Fuelbeds_english!AF203*0.3048,1,0),AE203)</f>
        <v>0.2</v>
      </c>
      <c r="AG203" s="45">
        <v>0</v>
      </c>
      <c r="AH203" s="52" t="str">
        <f>+IF(AE203&gt;0,FIXED(Fuelbeds_english!AH203*2.242,1,0),AE203)</f>
        <v>0.4</v>
      </c>
      <c r="AI203" s="45">
        <v>26716</v>
      </c>
      <c r="AJ203" s="45" t="s">
        <v>208</v>
      </c>
      <c r="AK203" s="45">
        <v>100</v>
      </c>
      <c r="AL203" s="34">
        <v>-3</v>
      </c>
      <c r="AM203" s="52">
        <f>+IF(AL203&gt;0,FIXED(Fuelbeds_english!AM203*2.54,1,0),AL203)</f>
        <v>-3</v>
      </c>
      <c r="AN203" s="52">
        <f>+IF(AM203&gt;0,FIXED(Fuelbeds_english!AN203*0.3048,1,0),AM203)</f>
        <v>-3</v>
      </c>
      <c r="AO203" s="52">
        <f>+IF(AN203&gt;0,FIXED(Fuelbeds_english!AO203*0.3048,1,0),AN203)</f>
        <v>-3</v>
      </c>
      <c r="AP203" s="52">
        <f>+IF(AO203&gt;0,FIXED(Fuelbeds_english!AP203*0.3048,1,0),AO203)</f>
        <v>-3</v>
      </c>
      <c r="AQ203" s="52">
        <f>+IF(AP203&gt;0,FIXED(Fuelbeds_english!AQ203*0.3048,1,0),AP203)</f>
        <v>-3</v>
      </c>
      <c r="AR203" s="36">
        <v>-3</v>
      </c>
      <c r="AS203" s="45">
        <v>-3</v>
      </c>
      <c r="AT203" s="45">
        <v>-3</v>
      </c>
      <c r="AU203" s="44">
        <v>-1</v>
      </c>
      <c r="AV203" s="52">
        <f>+IF(AU203&gt;0,FIXED(Fuelbeds_english!AV203*2.54,1,0),AU203)</f>
        <v>-1</v>
      </c>
      <c r="AW203" s="52">
        <v>-1</v>
      </c>
      <c r="AX203" s="52">
        <v>-1</v>
      </c>
      <c r="AY203" s="52">
        <f>+IF(AX203&gt;0,FIXED(Fuelbeds_english!AY203*2.54,1,0),AX203)</f>
        <v>-1</v>
      </c>
      <c r="AZ203" s="45">
        <v>2</v>
      </c>
      <c r="BA203" s="36">
        <v>65</v>
      </c>
      <c r="BB203" s="52" t="str">
        <f>+IF(BA203&gt;0,FIXED(Fuelbeds_english!BB203*2.54,1,0),BA203)</f>
        <v>1.3</v>
      </c>
      <c r="BC203" s="53">
        <v>-1</v>
      </c>
      <c r="BD203" s="53">
        <v>-1</v>
      </c>
      <c r="BE203" s="53">
        <v>-1</v>
      </c>
      <c r="BF203" s="53">
        <v>-1</v>
      </c>
      <c r="BG203" s="53">
        <v>-1</v>
      </c>
      <c r="BH203" s="53">
        <v>-1</v>
      </c>
      <c r="BI203" s="45">
        <v>100</v>
      </c>
      <c r="BJ203" s="28">
        <v>-1</v>
      </c>
      <c r="BK203" s="36">
        <v>-1</v>
      </c>
      <c r="BL203" s="52">
        <f>+IF(BK203&gt;0,FIXED(Fuelbeds_english!BL203*2.54,1,0),BK203)</f>
        <v>-1</v>
      </c>
      <c r="BM203" s="36">
        <v>-1</v>
      </c>
      <c r="BN203" s="36">
        <v>-1</v>
      </c>
      <c r="BO203" s="52">
        <f>+IF(BN203&gt;0,FIXED(Fuelbeds_english!BO203*2.54,1,0),BN203)</f>
        <v>-1</v>
      </c>
    </row>
    <row r="204" spans="1:67" s="50" customFormat="1" x14ac:dyDescent="0.25">
      <c r="A204" s="50">
        <v>203</v>
      </c>
      <c r="B204" s="36">
        <v>7014</v>
      </c>
      <c r="C204" s="46">
        <v>7014</v>
      </c>
      <c r="D204" s="22" t="s">
        <v>4</v>
      </c>
      <c r="E204" s="25" t="s">
        <v>422</v>
      </c>
      <c r="F204" s="39">
        <v>-3</v>
      </c>
      <c r="G204" s="45">
        <v>-3</v>
      </c>
      <c r="H204" s="45">
        <f>+IF(F204&gt;0,INT(Fuelbeds_english!H204*2.471),F204)</f>
        <v>-3</v>
      </c>
      <c r="I204" s="36">
        <f>+IF(F204&gt;0,INT(Fuelbeds_english!I204*0.3048),F204)</f>
        <v>-3</v>
      </c>
      <c r="J204" s="45">
        <f>+IF(F204&gt;0,INT(Fuelbeds_english!J204*0.3048),F204)</f>
        <v>-3</v>
      </c>
      <c r="K204" s="45">
        <f>+IF(F204&gt;0,INT(Fuelbeds_english!K204*2.54),F204)</f>
        <v>-3</v>
      </c>
      <c r="L204" s="45">
        <v>-3</v>
      </c>
      <c r="M204" s="45">
        <v>-3</v>
      </c>
      <c r="N204" s="45">
        <v>-3</v>
      </c>
      <c r="O204" s="45">
        <v>-3</v>
      </c>
      <c r="P204" s="45">
        <f>+IF(O204&gt;0,INT(Fuelbeds_english!P204*2.471),O204)</f>
        <v>-3</v>
      </c>
      <c r="Q204" s="36">
        <f>+IF(O204&gt;0,INT(Fuelbeds_english!Q204*0.3048),O204)</f>
        <v>-3</v>
      </c>
      <c r="R204" s="45">
        <f>+IF(O204&gt;0,INT(Fuelbeds_english!R204*0.3048),O204)</f>
        <v>-3</v>
      </c>
      <c r="S204" s="45">
        <f>+IF(O204&gt;0,INT(Fuelbeds_english!S204*2.54),O204)</f>
        <v>-3</v>
      </c>
      <c r="T204" s="45">
        <v>-3</v>
      </c>
      <c r="U204" s="45">
        <v>-3</v>
      </c>
      <c r="V204" s="45">
        <v>-3</v>
      </c>
      <c r="W204" s="45">
        <v>-3</v>
      </c>
      <c r="X204" s="99">
        <v>-3</v>
      </c>
      <c r="Y204" s="81">
        <v>-3</v>
      </c>
      <c r="Z204" s="88">
        <f>+IF(Y204&gt;0,FIXED(Fuelbeds_english!Z204*0.3048,1,0),Y204)</f>
        <v>-3</v>
      </c>
      <c r="AA204" s="48">
        <v>-3</v>
      </c>
      <c r="AB204" s="10">
        <v>-3</v>
      </c>
      <c r="AC204" s="10">
        <v>-3</v>
      </c>
      <c r="AD204" s="10">
        <v>-3</v>
      </c>
      <c r="AE204" s="42">
        <v>100</v>
      </c>
      <c r="AF204" s="52" t="str">
        <f>+IF(AE204&gt;0,FIXED(Fuelbeds_english!AF204*0.3048,1,0),AE204)</f>
        <v>0.2</v>
      </c>
      <c r="AG204" s="62">
        <v>0</v>
      </c>
      <c r="AH204" s="52" t="str">
        <f>+IF(AE204&gt;0,FIXED(Fuelbeds_english!AH204*2.242,1,0),AE204)</f>
        <v>1.1</v>
      </c>
      <c r="AI204" s="45">
        <v>42013</v>
      </c>
      <c r="AJ204" s="45" t="s">
        <v>423</v>
      </c>
      <c r="AK204" s="62">
        <v>100</v>
      </c>
      <c r="AL204" s="34">
        <v>-3</v>
      </c>
      <c r="AM204" s="52">
        <f>+IF(AL204&gt;0,FIXED(Fuelbeds_english!AM204*2.54,1,0),AL204)</f>
        <v>-3</v>
      </c>
      <c r="AN204" s="52">
        <f>+IF(AM204&gt;0,FIXED(Fuelbeds_english!AN204*0.3048,1,0),AM204)</f>
        <v>-3</v>
      </c>
      <c r="AO204" s="52">
        <f>+IF(AN204&gt;0,FIXED(Fuelbeds_english!AO204*0.3048,1,0),AN204)</f>
        <v>-3</v>
      </c>
      <c r="AP204" s="52">
        <f>+IF(AO204&gt;0,FIXED(Fuelbeds_english!AP204*0.3048,1,0),AO204)</f>
        <v>-3</v>
      </c>
      <c r="AQ204" s="52">
        <f>+IF(AP204&gt;0,FIXED(Fuelbeds_english!AQ204*0.3048,1,0),AP204)</f>
        <v>-3</v>
      </c>
      <c r="AR204" s="36">
        <v>-3</v>
      </c>
      <c r="AS204" s="45">
        <v>-3</v>
      </c>
      <c r="AT204" s="45">
        <v>-3</v>
      </c>
      <c r="AU204" s="44">
        <v>-1</v>
      </c>
      <c r="AV204" s="52">
        <f>+IF(AU204&gt;0,FIXED(Fuelbeds_english!AV204*2.54,1,0),AU204)</f>
        <v>-1</v>
      </c>
      <c r="AW204" s="52">
        <v>-1</v>
      </c>
      <c r="AX204" s="52">
        <v>-1</v>
      </c>
      <c r="AY204" s="52">
        <f>+IF(AX204&gt;0,FIXED(Fuelbeds_english!AY204*2.54,1,0),AX204)</f>
        <v>-1</v>
      </c>
      <c r="AZ204" s="45">
        <v>2</v>
      </c>
      <c r="BA204" s="36">
        <v>65</v>
      </c>
      <c r="BB204" s="52" t="str">
        <f>+IF(BA204&gt;0,FIXED(Fuelbeds_english!BB204*2.54,1,0),BA204)</f>
        <v>1.3</v>
      </c>
      <c r="BC204" s="53">
        <v>-1</v>
      </c>
      <c r="BD204" s="53">
        <v>-1</v>
      </c>
      <c r="BE204" s="53">
        <v>-1</v>
      </c>
      <c r="BF204" s="53">
        <v>-1</v>
      </c>
      <c r="BG204" s="53">
        <v>-1</v>
      </c>
      <c r="BH204" s="53">
        <v>-1</v>
      </c>
      <c r="BI204" s="45">
        <v>100</v>
      </c>
      <c r="BJ204" s="28">
        <v>-1</v>
      </c>
      <c r="BK204" s="36">
        <v>-1</v>
      </c>
      <c r="BL204" s="52">
        <f>+IF(BK204&gt;0,FIXED(Fuelbeds_english!BL204*2.54,1,0),BK204)</f>
        <v>-1</v>
      </c>
      <c r="BM204" s="36">
        <v>-1</v>
      </c>
      <c r="BN204" s="36">
        <v>-1</v>
      </c>
      <c r="BO204" s="52">
        <f>+IF(BN204&gt;0,FIXED(Fuelbeds_english!BO204*2.54,1,0),BN204)</f>
        <v>-1</v>
      </c>
    </row>
    <row r="205" spans="1:67" s="50" customFormat="1" x14ac:dyDescent="0.25">
      <c r="A205" s="50">
        <v>204</v>
      </c>
      <c r="B205" s="36">
        <v>7015</v>
      </c>
      <c r="C205" s="46">
        <v>7015</v>
      </c>
      <c r="D205" s="22" t="s">
        <v>4</v>
      </c>
      <c r="E205" s="25" t="s">
        <v>424</v>
      </c>
      <c r="F205" s="39">
        <v>-3</v>
      </c>
      <c r="G205" s="45">
        <v>-3</v>
      </c>
      <c r="H205" s="45">
        <f>+IF(F205&gt;0,INT(Fuelbeds_english!H205*2.471),F205)</f>
        <v>-3</v>
      </c>
      <c r="I205" s="36">
        <f>+IF(F205&gt;0,INT(Fuelbeds_english!I205*0.3048),F205)</f>
        <v>-3</v>
      </c>
      <c r="J205" s="45">
        <f>+IF(F205&gt;0,INT(Fuelbeds_english!J205*0.3048),F205)</f>
        <v>-3</v>
      </c>
      <c r="K205" s="45">
        <f>+IF(F205&gt;0,INT(Fuelbeds_english!K205*2.54),F205)</f>
        <v>-3</v>
      </c>
      <c r="L205" s="45">
        <v>-3</v>
      </c>
      <c r="M205" s="45">
        <v>-3</v>
      </c>
      <c r="N205" s="45">
        <v>-3</v>
      </c>
      <c r="O205" s="45">
        <v>-3</v>
      </c>
      <c r="P205" s="45">
        <f>+IF(O205&gt;0,INT(Fuelbeds_english!P205*2.471),O205)</f>
        <v>-3</v>
      </c>
      <c r="Q205" s="36">
        <f>+IF(O205&gt;0,INT(Fuelbeds_english!Q205*0.3048),O205)</f>
        <v>-3</v>
      </c>
      <c r="R205" s="45">
        <f>+IF(O205&gt;0,INT(Fuelbeds_english!R205*0.3048),O205)</f>
        <v>-3</v>
      </c>
      <c r="S205" s="45">
        <f>+IF(O205&gt;0,INT(Fuelbeds_english!S205*2.54),O205)</f>
        <v>-3</v>
      </c>
      <c r="T205" s="45">
        <v>-3</v>
      </c>
      <c r="U205" s="45">
        <v>-3</v>
      </c>
      <c r="V205" s="45">
        <v>-3</v>
      </c>
      <c r="W205" s="45">
        <v>-3</v>
      </c>
      <c r="X205" s="99">
        <v>-3</v>
      </c>
      <c r="Y205" s="81">
        <v>-3</v>
      </c>
      <c r="Z205" s="88">
        <f>+IF(Y205&gt;0,FIXED(Fuelbeds_english!Z205*0.3048,1,0),Y205)</f>
        <v>-3</v>
      </c>
      <c r="AA205" s="48">
        <v>-3</v>
      </c>
      <c r="AB205" s="10">
        <v>-3</v>
      </c>
      <c r="AC205" s="10">
        <v>-3</v>
      </c>
      <c r="AD205" s="10">
        <v>-3</v>
      </c>
      <c r="AE205" s="42">
        <v>100</v>
      </c>
      <c r="AF205" s="52" t="str">
        <f>+IF(AE205&gt;0,FIXED(Fuelbeds_english!AF205*0.3048,1,0),AE205)</f>
        <v>0.2</v>
      </c>
      <c r="AG205" s="62">
        <v>0</v>
      </c>
      <c r="AH205" s="52" t="str">
        <f>+IF(AE205&gt;0,FIXED(Fuelbeds_english!AH205*2.242,1,0),AE205)</f>
        <v>1.5</v>
      </c>
      <c r="AI205" s="45">
        <v>21711</v>
      </c>
      <c r="AJ205" s="45" t="s">
        <v>425</v>
      </c>
      <c r="AK205" s="45">
        <v>100</v>
      </c>
      <c r="AL205" s="34">
        <v>-3</v>
      </c>
      <c r="AM205" s="52">
        <f>+IF(AL205&gt;0,FIXED(Fuelbeds_english!AM205*2.54,1,0),AL205)</f>
        <v>-3</v>
      </c>
      <c r="AN205" s="52">
        <f>+IF(AM205&gt;0,FIXED(Fuelbeds_english!AN205*0.3048,1,0),AM205)</f>
        <v>-3</v>
      </c>
      <c r="AO205" s="52">
        <f>+IF(AN205&gt;0,FIXED(Fuelbeds_english!AO205*0.3048,1,0),AN205)</f>
        <v>-3</v>
      </c>
      <c r="AP205" s="52">
        <f>+IF(AO205&gt;0,FIXED(Fuelbeds_english!AP205*0.3048,1,0),AO205)</f>
        <v>-3</v>
      </c>
      <c r="AQ205" s="52">
        <f>+IF(AP205&gt;0,FIXED(Fuelbeds_english!AQ205*0.3048,1,0),AP205)</f>
        <v>-3</v>
      </c>
      <c r="AR205" s="36">
        <v>-3</v>
      </c>
      <c r="AS205" s="45">
        <v>-3</v>
      </c>
      <c r="AT205" s="45">
        <v>-3</v>
      </c>
      <c r="AU205" s="44">
        <v>-1</v>
      </c>
      <c r="AV205" s="52">
        <f>+IF(AU205&gt;0,FIXED(Fuelbeds_english!AV205*2.54,1,0),AU205)</f>
        <v>-1</v>
      </c>
      <c r="AW205" s="52">
        <v>-1</v>
      </c>
      <c r="AX205" s="52">
        <v>-1</v>
      </c>
      <c r="AY205" s="52">
        <f>+IF(AX205&gt;0,FIXED(Fuelbeds_english!AY205*2.54,1,0),AX205)</f>
        <v>-1</v>
      </c>
      <c r="AZ205" s="45">
        <v>2</v>
      </c>
      <c r="BA205" s="36">
        <v>65</v>
      </c>
      <c r="BB205" s="52" t="str">
        <f>+IF(BA205&gt;0,FIXED(Fuelbeds_english!BB205*2.54,1,0),BA205)</f>
        <v>1.3</v>
      </c>
      <c r="BC205" s="53">
        <v>-1</v>
      </c>
      <c r="BD205" s="53">
        <v>-1</v>
      </c>
      <c r="BE205" s="53">
        <v>-1</v>
      </c>
      <c r="BF205" s="53">
        <v>-1</v>
      </c>
      <c r="BG205" s="53">
        <v>-1</v>
      </c>
      <c r="BH205" s="53">
        <v>-1</v>
      </c>
      <c r="BI205" s="45">
        <v>100</v>
      </c>
      <c r="BJ205" s="28">
        <v>-1</v>
      </c>
      <c r="BK205" s="36">
        <v>-1</v>
      </c>
      <c r="BL205" s="52">
        <f>+IF(BK205&gt;0,FIXED(Fuelbeds_english!BL205*2.54,1,0),BK205)</f>
        <v>-1</v>
      </c>
      <c r="BM205" s="36">
        <v>-1</v>
      </c>
      <c r="BN205" s="36">
        <v>-1</v>
      </c>
      <c r="BO205" s="52">
        <f>+IF(BN205&gt;0,FIXED(Fuelbeds_english!BO205*2.54,1,0),BN205)</f>
        <v>-1</v>
      </c>
    </row>
    <row r="206" spans="1:67" s="50" customFormat="1" x14ac:dyDescent="0.25">
      <c r="A206" s="50">
        <v>205</v>
      </c>
      <c r="B206" s="36">
        <v>7017</v>
      </c>
      <c r="C206" s="46">
        <v>7017</v>
      </c>
      <c r="D206" s="22" t="s">
        <v>4</v>
      </c>
      <c r="E206" s="25" t="s">
        <v>416</v>
      </c>
      <c r="F206" s="39">
        <v>-3</v>
      </c>
      <c r="G206" s="45">
        <v>-3</v>
      </c>
      <c r="H206" s="45">
        <f>+IF(F206&gt;0,INT(Fuelbeds_english!H206*2.471),F206)</f>
        <v>-3</v>
      </c>
      <c r="I206" s="36">
        <f>+IF(F206&gt;0,INT(Fuelbeds_english!I206*0.3048),F206)</f>
        <v>-3</v>
      </c>
      <c r="J206" s="45">
        <f>+IF(F206&gt;0,INT(Fuelbeds_english!J206*0.3048),F206)</f>
        <v>-3</v>
      </c>
      <c r="K206" s="45">
        <f>+IF(F206&gt;0,INT(Fuelbeds_english!K206*2.54),F206)</f>
        <v>-3</v>
      </c>
      <c r="L206" s="45">
        <v>-3</v>
      </c>
      <c r="M206" s="45">
        <v>-3</v>
      </c>
      <c r="N206" s="45">
        <v>-3</v>
      </c>
      <c r="O206" s="45">
        <v>-3</v>
      </c>
      <c r="P206" s="45">
        <f>+IF(O206&gt;0,INT(Fuelbeds_english!P206*2.471),O206)</f>
        <v>-3</v>
      </c>
      <c r="Q206" s="36">
        <f>+IF(O206&gt;0,INT(Fuelbeds_english!Q206*0.3048),O206)</f>
        <v>-3</v>
      </c>
      <c r="R206" s="45">
        <f>+IF(O206&gt;0,INT(Fuelbeds_english!R206*0.3048),O206)</f>
        <v>-3</v>
      </c>
      <c r="S206" s="45">
        <f>+IF(O206&gt;0,INT(Fuelbeds_english!S206*2.54),O206)</f>
        <v>-3</v>
      </c>
      <c r="T206" s="45">
        <v>-3</v>
      </c>
      <c r="U206" s="45">
        <v>-3</v>
      </c>
      <c r="V206" s="45">
        <v>-3</v>
      </c>
      <c r="W206" s="45">
        <v>-3</v>
      </c>
      <c r="X206" s="99">
        <v>-3</v>
      </c>
      <c r="Y206" s="81">
        <v>-3</v>
      </c>
      <c r="Z206" s="88">
        <f>+IF(Y206&gt;0,FIXED(Fuelbeds_english!Z206*0.3048,1,0),Y206)</f>
        <v>-3</v>
      </c>
      <c r="AA206" s="48">
        <v>-3</v>
      </c>
      <c r="AB206" s="10">
        <v>-3</v>
      </c>
      <c r="AC206" s="10">
        <v>-3</v>
      </c>
      <c r="AD206" s="10">
        <v>-3</v>
      </c>
      <c r="AE206" s="42">
        <v>75</v>
      </c>
      <c r="AF206" s="52" t="str">
        <f>+IF(AE206&gt;0,FIXED(Fuelbeds_english!AF206*0.3048,1,0),AE206)</f>
        <v>0.0</v>
      </c>
      <c r="AG206" s="62">
        <v>0</v>
      </c>
      <c r="AH206" s="52" t="str">
        <f>+IF(AE206&gt;0,FIXED(Fuelbeds_english!AH206*2.242,1,0),AE206)</f>
        <v>0.0</v>
      </c>
      <c r="AI206" s="36">
        <v>505272</v>
      </c>
      <c r="AJ206" s="43" t="s">
        <v>417</v>
      </c>
      <c r="AK206" s="45">
        <v>100</v>
      </c>
      <c r="AL206" s="34">
        <v>-3</v>
      </c>
      <c r="AM206" s="52">
        <f>+IF(AL206&gt;0,FIXED(Fuelbeds_english!AM206*2.54,1,0),AL206)</f>
        <v>-3</v>
      </c>
      <c r="AN206" s="52">
        <f>+IF(AM206&gt;0,FIXED(Fuelbeds_english!AN206*0.3048,1,0),AM206)</f>
        <v>-3</v>
      </c>
      <c r="AO206" s="52">
        <f>+IF(AN206&gt;0,FIXED(Fuelbeds_english!AO206*0.3048,1,0),AN206)</f>
        <v>-3</v>
      </c>
      <c r="AP206" s="52">
        <f>+IF(AO206&gt;0,FIXED(Fuelbeds_english!AP206*0.3048,1,0),AO206)</f>
        <v>-3</v>
      </c>
      <c r="AQ206" s="52">
        <f>+IF(AP206&gt;0,FIXED(Fuelbeds_english!AQ206*0.3048,1,0),AP206)</f>
        <v>-3</v>
      </c>
      <c r="AR206" s="36">
        <v>-3</v>
      </c>
      <c r="AS206" s="45">
        <v>-3</v>
      </c>
      <c r="AT206" s="45">
        <v>-3</v>
      </c>
      <c r="AU206" s="44">
        <v>-1</v>
      </c>
      <c r="AV206" s="52">
        <f>+IF(AU206&gt;0,FIXED(Fuelbeds_english!AV206*2.54,1,0),AU206)</f>
        <v>-1</v>
      </c>
      <c r="AW206" s="52">
        <v>-1</v>
      </c>
      <c r="AX206" s="52">
        <v>-1</v>
      </c>
      <c r="AY206" s="52">
        <f>+IF(AX206&gt;0,FIXED(Fuelbeds_english!AY206*2.54,1,0),AX206)</f>
        <v>-1</v>
      </c>
      <c r="AZ206" s="45">
        <v>2</v>
      </c>
      <c r="BA206" s="36">
        <v>65</v>
      </c>
      <c r="BB206" s="52" t="str">
        <f>+IF(BA206&gt;0,FIXED(Fuelbeds_english!BB206*2.54,1,0),BA206)</f>
        <v>1.3</v>
      </c>
      <c r="BC206" s="53">
        <v>-1</v>
      </c>
      <c r="BD206" s="53">
        <v>-1</v>
      </c>
      <c r="BE206" s="53">
        <v>-1</v>
      </c>
      <c r="BF206" s="53">
        <v>-1</v>
      </c>
      <c r="BG206" s="53">
        <v>-1</v>
      </c>
      <c r="BH206" s="53">
        <v>-1</v>
      </c>
      <c r="BI206" s="45">
        <v>100</v>
      </c>
      <c r="BJ206" s="28">
        <v>-1</v>
      </c>
      <c r="BK206" s="36">
        <v>-1</v>
      </c>
      <c r="BL206" s="52">
        <f>+IF(BK206&gt;0,FIXED(Fuelbeds_english!BL206*2.54,1,0),BK206)</f>
        <v>-1</v>
      </c>
      <c r="BM206" s="36">
        <v>-1</v>
      </c>
      <c r="BN206" s="36">
        <v>-1</v>
      </c>
      <c r="BO206" s="52">
        <f>+IF(BN206&gt;0,FIXED(Fuelbeds_english!BO206*2.54,1,0),BN206)</f>
        <v>-1</v>
      </c>
    </row>
    <row r="207" spans="1:67" s="50" customFormat="1" x14ac:dyDescent="0.25">
      <c r="A207" s="50">
        <v>206</v>
      </c>
      <c r="B207" s="36">
        <v>7019</v>
      </c>
      <c r="C207" s="46">
        <v>7019</v>
      </c>
      <c r="D207" s="22" t="s">
        <v>4</v>
      </c>
      <c r="E207" s="25" t="s">
        <v>419</v>
      </c>
      <c r="F207" s="39">
        <v>-3</v>
      </c>
      <c r="G207" s="45">
        <v>-3</v>
      </c>
      <c r="H207" s="45">
        <f>+IF(F207&gt;0,INT(Fuelbeds_english!H207*2.471),F207)</f>
        <v>-3</v>
      </c>
      <c r="I207" s="36">
        <f>+IF(F207&gt;0,INT(Fuelbeds_english!I207*0.3048),F207)</f>
        <v>-3</v>
      </c>
      <c r="J207" s="45">
        <f>+IF(F207&gt;0,INT(Fuelbeds_english!J207*0.3048),F207)</f>
        <v>-3</v>
      </c>
      <c r="K207" s="45">
        <f>+IF(F207&gt;0,INT(Fuelbeds_english!K207*2.54),F207)</f>
        <v>-3</v>
      </c>
      <c r="L207" s="45">
        <v>-3</v>
      </c>
      <c r="M207" s="45">
        <v>-3</v>
      </c>
      <c r="N207" s="45">
        <v>-3</v>
      </c>
      <c r="O207" s="45">
        <v>-3</v>
      </c>
      <c r="P207" s="45">
        <f>+IF(O207&gt;0,INT(Fuelbeds_english!P207*2.471),O207)</f>
        <v>-3</v>
      </c>
      <c r="Q207" s="36">
        <f>+IF(O207&gt;0,INT(Fuelbeds_english!Q207*0.3048),O207)</f>
        <v>-3</v>
      </c>
      <c r="R207" s="45">
        <f>+IF(O207&gt;0,INT(Fuelbeds_english!R207*0.3048),O207)</f>
        <v>-3</v>
      </c>
      <c r="S207" s="45">
        <f>+IF(O207&gt;0,INT(Fuelbeds_english!S207*2.54),O207)</f>
        <v>-3</v>
      </c>
      <c r="T207" s="45">
        <v>-3</v>
      </c>
      <c r="U207" s="45">
        <v>-3</v>
      </c>
      <c r="V207" s="45">
        <v>-3</v>
      </c>
      <c r="W207" s="45">
        <v>-3</v>
      </c>
      <c r="X207" s="99">
        <v>-3</v>
      </c>
      <c r="Y207" s="81">
        <v>-3</v>
      </c>
      <c r="Z207" s="88">
        <f>+IF(Y207&gt;0,FIXED(Fuelbeds_english!Z207*0.3048,1,0),Y207)</f>
        <v>-3</v>
      </c>
      <c r="AA207" s="48">
        <v>-3</v>
      </c>
      <c r="AB207" s="10">
        <v>-3</v>
      </c>
      <c r="AC207" s="10">
        <v>-3</v>
      </c>
      <c r="AD207" s="10">
        <v>-3</v>
      </c>
      <c r="AE207" s="42">
        <v>100</v>
      </c>
      <c r="AF207" s="52" t="str">
        <f>+IF(AE207&gt;0,FIXED(Fuelbeds_english!AF207*0.3048,1,0),AE207)</f>
        <v>3.0</v>
      </c>
      <c r="AG207" s="62">
        <v>100</v>
      </c>
      <c r="AH207" s="52" t="str">
        <f>+IF(AE207&gt;0,FIXED(Fuelbeds_english!AH207*2.242,1,0),AE207)</f>
        <v>9.1</v>
      </c>
      <c r="AI207" s="45">
        <v>42058</v>
      </c>
      <c r="AJ207" s="45" t="s">
        <v>421</v>
      </c>
      <c r="AK207" s="62">
        <v>100</v>
      </c>
      <c r="AL207" s="34">
        <v>-3</v>
      </c>
      <c r="AM207" s="52">
        <f>+IF(AL207&gt;0,FIXED(Fuelbeds_english!AM207*2.54,1,0),AL207)</f>
        <v>-3</v>
      </c>
      <c r="AN207" s="52">
        <f>+IF(AM207&gt;0,FIXED(Fuelbeds_english!AN207*0.3048,1,0),AM207)</f>
        <v>-3</v>
      </c>
      <c r="AO207" s="52">
        <f>+IF(AN207&gt;0,FIXED(Fuelbeds_english!AO207*0.3048,1,0),AN207)</f>
        <v>-3</v>
      </c>
      <c r="AP207" s="52">
        <f>+IF(AO207&gt;0,FIXED(Fuelbeds_english!AP207*0.3048,1,0),AO207)</f>
        <v>-3</v>
      </c>
      <c r="AQ207" s="52">
        <f>+IF(AP207&gt;0,FIXED(Fuelbeds_english!AQ207*0.3048,1,0),AP207)</f>
        <v>-3</v>
      </c>
      <c r="AR207" s="36">
        <v>-3</v>
      </c>
      <c r="AS207" s="45">
        <v>-3</v>
      </c>
      <c r="AT207" s="45">
        <v>-3</v>
      </c>
      <c r="AU207" s="44">
        <v>-1</v>
      </c>
      <c r="AV207" s="52">
        <f>+IF(AU207&gt;0,FIXED(Fuelbeds_english!AV207*2.54,1,0),AU207)</f>
        <v>-1</v>
      </c>
      <c r="AW207" s="52">
        <v>-1</v>
      </c>
      <c r="AX207" s="52">
        <v>-1</v>
      </c>
      <c r="AY207" s="52">
        <f>+IF(AX207&gt;0,FIXED(Fuelbeds_english!AY207*2.54,1,0),AX207)</f>
        <v>-1</v>
      </c>
      <c r="AZ207" s="45">
        <v>2</v>
      </c>
      <c r="BA207" s="36">
        <v>65</v>
      </c>
      <c r="BB207" s="52" t="str">
        <f>+IF(BA207&gt;0,FIXED(Fuelbeds_english!BB207*2.54,1,0),BA207)</f>
        <v>1.3</v>
      </c>
      <c r="BC207" s="53">
        <v>-1</v>
      </c>
      <c r="BD207" s="53">
        <v>-1</v>
      </c>
      <c r="BE207" s="53">
        <v>-1</v>
      </c>
      <c r="BF207" s="53">
        <v>-1</v>
      </c>
      <c r="BG207" s="53">
        <v>-1</v>
      </c>
      <c r="BH207" s="53">
        <v>-1</v>
      </c>
      <c r="BI207" s="45">
        <v>100</v>
      </c>
      <c r="BJ207" s="28">
        <v>-1</v>
      </c>
      <c r="BK207" s="36">
        <v>-1</v>
      </c>
      <c r="BL207" s="52">
        <f>+IF(BK207&gt;0,FIXED(Fuelbeds_english!BL207*2.54,1,0),BK207)</f>
        <v>-1</v>
      </c>
      <c r="BM207" s="36">
        <v>-1</v>
      </c>
      <c r="BN207" s="36">
        <v>-1</v>
      </c>
      <c r="BO207" s="52">
        <f>+IF(BN207&gt;0,FIXED(Fuelbeds_english!BO207*2.54,1,0),BN207)</f>
        <v>-1</v>
      </c>
    </row>
    <row r="208" spans="1:67" s="50" customFormat="1" x14ac:dyDescent="0.25">
      <c r="A208" s="50">
        <v>207</v>
      </c>
      <c r="B208" s="36">
        <v>7020</v>
      </c>
      <c r="C208" s="46">
        <v>7020</v>
      </c>
      <c r="D208" s="22" t="s">
        <v>4</v>
      </c>
      <c r="E208" s="38" t="s">
        <v>427</v>
      </c>
      <c r="F208" s="39">
        <v>4.69414</v>
      </c>
      <c r="G208" s="56">
        <v>4.69414</v>
      </c>
      <c r="H208" s="45">
        <f>+IF(F208&gt;0,INT(Fuelbeds_english!H208*2.471),F208)</f>
        <v>22</v>
      </c>
      <c r="I208" s="36">
        <f>+IF(F208&gt;0,INT(Fuelbeds_english!I208*0.3048),F208)</f>
        <v>7</v>
      </c>
      <c r="J208" s="45">
        <f>+IF(F208&gt;0,INT(Fuelbeds_english!J208*0.3048),F208)</f>
        <v>4</v>
      </c>
      <c r="K208" s="45">
        <f>+IF(F208&gt;0,INT(Fuelbeds_english!K208*2.54),F208)</f>
        <v>14</v>
      </c>
      <c r="L208" s="36">
        <v>28766</v>
      </c>
      <c r="M208" s="36" t="s">
        <v>137</v>
      </c>
      <c r="N208" s="36">
        <v>100</v>
      </c>
      <c r="O208" s="43">
        <v>2.5708885309278351</v>
      </c>
      <c r="P208" s="45">
        <f>+IF(O208&gt;0,INT(Fuelbeds_english!P208*2.471),O208)</f>
        <v>15</v>
      </c>
      <c r="Q208" s="36">
        <f>+IF(O208&gt;0,INT(Fuelbeds_english!Q208*0.3048),O208)</f>
        <v>4</v>
      </c>
      <c r="R208" s="45">
        <f>+IF(O208&gt;0,INT(Fuelbeds_english!R208*0.3048),O208)</f>
        <v>1</v>
      </c>
      <c r="S208" s="45">
        <f>+IF(O208&gt;0,INT(Fuelbeds_english!S208*2.54),O208)</f>
        <v>8</v>
      </c>
      <c r="T208" s="36">
        <v>28766</v>
      </c>
      <c r="U208" s="36" t="s">
        <v>137</v>
      </c>
      <c r="V208" s="36">
        <v>100</v>
      </c>
      <c r="W208" s="36">
        <v>1</v>
      </c>
      <c r="X208" s="98">
        <v>3</v>
      </c>
      <c r="Y208" s="29">
        <v>35</v>
      </c>
      <c r="Z208" s="88" t="str">
        <f>+IF(Y208&gt;0,FIXED(Fuelbeds_english!Z208*0.3048,1,0),Y208)</f>
        <v>1.2</v>
      </c>
      <c r="AA208" s="36">
        <v>85</v>
      </c>
      <c r="AB208" s="50">
        <v>28675</v>
      </c>
      <c r="AC208" s="50" t="s">
        <v>375</v>
      </c>
      <c r="AD208" s="50">
        <v>100</v>
      </c>
      <c r="AE208" s="42">
        <v>60</v>
      </c>
      <c r="AF208" s="52" t="str">
        <f>+IF(AE208&gt;0,FIXED(Fuelbeds_english!AF208*0.3048,1,0),AE208)</f>
        <v>0.2</v>
      </c>
      <c r="AG208" s="45">
        <v>0</v>
      </c>
      <c r="AH208" s="52" t="str">
        <f>+IF(AE208&gt;0,FIXED(Fuelbeds_english!AH208*2.242,1,0),AE208)</f>
        <v>0.2</v>
      </c>
      <c r="AI208" s="45">
        <v>42236</v>
      </c>
      <c r="AJ208" s="45" t="s">
        <v>207</v>
      </c>
      <c r="AK208" s="45">
        <v>100</v>
      </c>
      <c r="AL208" s="34">
        <v>11</v>
      </c>
      <c r="AM208" s="52" t="str">
        <f>+IF(AL208&gt;0,FIXED(Fuelbeds_english!AM208*2.54,1,0),AL208)</f>
        <v>1.5</v>
      </c>
      <c r="AN208" s="52" t="str">
        <f>+IF($AM208&gt;0,FIXED(Fuelbeds_english!AN208*2.242,1,0),$AM208)</f>
        <v>1.3</v>
      </c>
      <c r="AO208" s="52" t="str">
        <f>+IF($AM208&gt;0,FIXED(Fuelbeds_english!AO208*2.242,1,0),$AM208)</f>
        <v>1.0</v>
      </c>
      <c r="AP208" s="52" t="str">
        <f>+IF($AM208&gt;0,FIXED(Fuelbeds_english!AP208*2.242,1,0),$AM208)</f>
        <v>1.5</v>
      </c>
      <c r="AQ208" s="52" t="str">
        <f>+IF($AM208&gt;0,FIXED(Fuelbeds_english!AQ208*2.242,1,0),$AM208)</f>
        <v>1.2</v>
      </c>
      <c r="AR208" s="36">
        <v>28766</v>
      </c>
      <c r="AS208" s="36" t="s">
        <v>137</v>
      </c>
      <c r="AT208" s="36">
        <v>100</v>
      </c>
      <c r="AU208" s="44">
        <v>-1</v>
      </c>
      <c r="AV208" s="52">
        <f>+IF(AU208&gt;0,FIXED(Fuelbeds_english!AV208*2.54,1,0),AU208)</f>
        <v>-1</v>
      </c>
      <c r="AW208" s="52">
        <v>-1</v>
      </c>
      <c r="AX208" s="52">
        <v>-1</v>
      </c>
      <c r="AY208" s="52">
        <f>+IF(AX208&gt;0,FIXED(Fuelbeds_english!AY208*2.54,1,0),AX208)</f>
        <v>-1</v>
      </c>
      <c r="AZ208" s="59">
        <v>2</v>
      </c>
      <c r="BA208" s="36">
        <v>90</v>
      </c>
      <c r="BB208" s="52" t="str">
        <f>+IF(BA208&gt;0,FIXED(Fuelbeds_english!BB208*2.54,1,0),BA208)</f>
        <v>2.5</v>
      </c>
      <c r="BC208" s="59">
        <v>-1</v>
      </c>
      <c r="BD208" s="59">
        <v>-1</v>
      </c>
      <c r="BE208" s="59">
        <v>-1</v>
      </c>
      <c r="BF208" s="61">
        <v>5</v>
      </c>
      <c r="BG208" s="59">
        <v>35</v>
      </c>
      <c r="BH208" s="59">
        <v>-1</v>
      </c>
      <c r="BI208" s="59">
        <v>60</v>
      </c>
      <c r="BJ208" s="28">
        <v>1</v>
      </c>
      <c r="BK208" s="67">
        <v>32.750940594059401</v>
      </c>
      <c r="BL208" s="52" t="str">
        <f>+IF(BK208&gt;0,FIXED(Fuelbeds_english!BL208*2.54,1,0),BK208)</f>
        <v>0.5</v>
      </c>
      <c r="BM208" s="59">
        <v>3</v>
      </c>
      <c r="BN208" s="67">
        <v>29.47584653465346</v>
      </c>
      <c r="BO208" s="52" t="str">
        <f>+IF(BN208&gt;0,FIXED(Fuelbeds_english!BO208*2.54,1,0),BN208)</f>
        <v>0.4</v>
      </c>
    </row>
    <row r="209" spans="1:67" s="50" customFormat="1" x14ac:dyDescent="0.25">
      <c r="A209" s="50">
        <v>208</v>
      </c>
      <c r="B209" s="36">
        <v>7021</v>
      </c>
      <c r="C209" s="46">
        <v>7021</v>
      </c>
      <c r="D209" s="22" t="s">
        <v>4</v>
      </c>
      <c r="E209" s="38" t="s">
        <v>426</v>
      </c>
      <c r="F209" s="39">
        <v>18.663399999999999</v>
      </c>
      <c r="G209" s="56">
        <v>18.663399999999999</v>
      </c>
      <c r="H209" s="45">
        <f>+IF(F209&gt;0,INT(Fuelbeds_english!H209*2.471),F209)</f>
        <v>90</v>
      </c>
      <c r="I209" s="36">
        <f>+IF(F209&gt;0,INT(Fuelbeds_english!I209*0.3048),F209)</f>
        <v>11</v>
      </c>
      <c r="J209" s="45">
        <f>+IF(F209&gt;0,INT(Fuelbeds_english!J209*0.3048),F209)</f>
        <v>6</v>
      </c>
      <c r="K209" s="45">
        <f>+IF(F209&gt;0,INT(Fuelbeds_english!K209*2.54),F209)</f>
        <v>22</v>
      </c>
      <c r="L209" s="36">
        <v>28766</v>
      </c>
      <c r="M209" s="36" t="s">
        <v>137</v>
      </c>
      <c r="N209" s="36">
        <v>100</v>
      </c>
      <c r="O209" s="43">
        <v>10.221578608247423</v>
      </c>
      <c r="P209" s="45">
        <f>+IF(O209&gt;0,INT(Fuelbeds_english!P209*2.471),O209)</f>
        <v>62</v>
      </c>
      <c r="Q209" s="36">
        <f>+IF(O209&gt;0,INT(Fuelbeds_english!Q209*0.3048),O209)</f>
        <v>6</v>
      </c>
      <c r="R209" s="45">
        <f>+IF(O209&gt;0,INT(Fuelbeds_english!R209*0.3048),O209)</f>
        <v>2</v>
      </c>
      <c r="S209" s="45">
        <f>+IF(O209&gt;0,INT(Fuelbeds_english!S209*2.54),O209)</f>
        <v>13</v>
      </c>
      <c r="T209" s="36">
        <v>28766</v>
      </c>
      <c r="U209" s="36" t="s">
        <v>137</v>
      </c>
      <c r="V209" s="36">
        <v>100</v>
      </c>
      <c r="W209" s="36">
        <v>1</v>
      </c>
      <c r="X209" s="98">
        <v>3</v>
      </c>
      <c r="Y209" s="29">
        <v>21</v>
      </c>
      <c r="Z209" s="88" t="str">
        <f>+IF(Y209&gt;0,FIXED(Fuelbeds_english!Z209*0.3048,1,0),Y209)</f>
        <v>1.2</v>
      </c>
      <c r="AA209" s="36">
        <v>85</v>
      </c>
      <c r="AB209" s="50">
        <v>28675</v>
      </c>
      <c r="AC209" s="50" t="s">
        <v>375</v>
      </c>
      <c r="AD209" s="50">
        <v>100</v>
      </c>
      <c r="AE209" s="42">
        <v>60</v>
      </c>
      <c r="AF209" s="52" t="str">
        <f>+IF(AE209&gt;0,FIXED(Fuelbeds_english!AF209*0.3048,1,0),AE209)</f>
        <v>0.2</v>
      </c>
      <c r="AG209" s="45">
        <v>0</v>
      </c>
      <c r="AH209" s="52" t="str">
        <f>+IF(AE209&gt;0,FIXED(Fuelbeds_english!AH209*2.242,1,0),AE209)</f>
        <v>1.7</v>
      </c>
      <c r="AI209" s="45">
        <v>41976</v>
      </c>
      <c r="AJ209" s="45" t="s">
        <v>209</v>
      </c>
      <c r="AK209" s="45">
        <v>100</v>
      </c>
      <c r="AL209" s="34">
        <v>11</v>
      </c>
      <c r="AM209" s="52" t="str">
        <f>+IF(AL209&gt;0,FIXED(Fuelbeds_english!AM209*2.54,1,0),AL209)</f>
        <v>1.5</v>
      </c>
      <c r="AN209" s="52" t="str">
        <f>+IF($AM209&gt;0,FIXED(Fuelbeds_english!AN209*2.242,1,0),$AM209)</f>
        <v>1.3</v>
      </c>
      <c r="AO209" s="52" t="str">
        <f>+IF($AM209&gt;0,FIXED(Fuelbeds_english!AO209*2.242,1,0),$AM209)</f>
        <v>1.0</v>
      </c>
      <c r="AP209" s="52" t="str">
        <f>+IF($AM209&gt;0,FIXED(Fuelbeds_english!AP209*2.242,1,0),$AM209)</f>
        <v>1.5</v>
      </c>
      <c r="AQ209" s="52" t="str">
        <f>+IF($AM209&gt;0,FIXED(Fuelbeds_english!AQ209*2.242,1,0),$AM209)</f>
        <v>1.2</v>
      </c>
      <c r="AR209" s="36">
        <v>28766</v>
      </c>
      <c r="AS209" s="36" t="s">
        <v>137</v>
      </c>
      <c r="AT209" s="36">
        <v>100</v>
      </c>
      <c r="AU209" s="44">
        <v>-1</v>
      </c>
      <c r="AV209" s="52">
        <f>+IF(AU209&gt;0,FIXED(Fuelbeds_english!AV209*2.54,1,0),AU209)</f>
        <v>-1</v>
      </c>
      <c r="AW209" s="52">
        <v>-1</v>
      </c>
      <c r="AX209" s="52">
        <v>-1</v>
      </c>
      <c r="AY209" s="52">
        <f>+IF(AX209&gt;0,FIXED(Fuelbeds_english!AY209*2.54,1,0),AX209)</f>
        <v>-1</v>
      </c>
      <c r="AZ209" s="59">
        <v>2</v>
      </c>
      <c r="BA209" s="36">
        <v>90</v>
      </c>
      <c r="BB209" s="52" t="str">
        <f>+IF(BA209&gt;0,FIXED(Fuelbeds_english!BB209*2.54,1,0),BA209)</f>
        <v>2.5</v>
      </c>
      <c r="BC209" s="59">
        <v>-1</v>
      </c>
      <c r="BD209" s="59">
        <v>-1</v>
      </c>
      <c r="BE209" s="59">
        <v>-1</v>
      </c>
      <c r="BF209" s="61">
        <v>19</v>
      </c>
      <c r="BG209" s="59">
        <v>21</v>
      </c>
      <c r="BH209" s="59">
        <v>-1</v>
      </c>
      <c r="BI209" s="59">
        <v>60</v>
      </c>
      <c r="BJ209" s="28">
        <v>1</v>
      </c>
      <c r="BK209" s="67">
        <v>32.72557755775577</v>
      </c>
      <c r="BL209" s="52" t="str">
        <f>+IF(BK209&gt;0,FIXED(Fuelbeds_english!BL209*2.54,1,0),BK209)</f>
        <v>0.5</v>
      </c>
      <c r="BM209" s="59">
        <v>3</v>
      </c>
      <c r="BN209" s="67">
        <v>29.453019801980194</v>
      </c>
      <c r="BO209" s="52" t="str">
        <f>+IF(BN209&gt;0,FIXED(Fuelbeds_english!BO209*2.54,1,0),BN209)</f>
        <v>0.4</v>
      </c>
    </row>
    <row r="210" spans="1:67" s="50" customFormat="1" x14ac:dyDescent="0.25">
      <c r="A210" s="50">
        <v>209</v>
      </c>
      <c r="B210" s="36">
        <v>7022</v>
      </c>
      <c r="C210" s="46">
        <v>7022</v>
      </c>
      <c r="D210" s="22" t="s">
        <v>4</v>
      </c>
      <c r="E210" s="38" t="s">
        <v>428</v>
      </c>
      <c r="F210" s="39">
        <v>12.066000000000001</v>
      </c>
      <c r="G210" s="56">
        <v>12.066000000000001</v>
      </c>
      <c r="H210" s="45">
        <f>+IF(F210&gt;0,INT(Fuelbeds_english!H210*2.471),F210)</f>
        <v>58</v>
      </c>
      <c r="I210" s="36">
        <f>+IF(F210&gt;0,INT(Fuelbeds_english!I210*0.3048),F210)</f>
        <v>11</v>
      </c>
      <c r="J210" s="45">
        <f>+IF(F210&gt;0,INT(Fuelbeds_english!J210*0.3048),F210)</f>
        <v>6</v>
      </c>
      <c r="K210" s="45">
        <f>+IF(F210&gt;0,INT(Fuelbeds_english!K210*2.54),F210)</f>
        <v>21</v>
      </c>
      <c r="L210" s="36">
        <v>28766</v>
      </c>
      <c r="M210" s="36" t="s">
        <v>137</v>
      </c>
      <c r="N210" s="36">
        <v>100</v>
      </c>
      <c r="O210" s="43">
        <v>6.6083118556701042</v>
      </c>
      <c r="P210" s="45">
        <f>+IF(O210&gt;0,INT(Fuelbeds_english!P210*2.471),O210)</f>
        <v>40</v>
      </c>
      <c r="Q210" s="36">
        <f>+IF(O210&gt;0,INT(Fuelbeds_english!Q210*0.3048),O210)</f>
        <v>6</v>
      </c>
      <c r="R210" s="45">
        <f>+IF(O210&gt;0,INT(Fuelbeds_english!R210*0.3048),O210)</f>
        <v>2</v>
      </c>
      <c r="S210" s="45">
        <f>+IF(O210&gt;0,INT(Fuelbeds_english!S210*2.54),O210)</f>
        <v>12</v>
      </c>
      <c r="T210" s="36">
        <v>28766</v>
      </c>
      <c r="U210" s="36" t="s">
        <v>137</v>
      </c>
      <c r="V210" s="36">
        <v>100</v>
      </c>
      <c r="W210" s="36">
        <v>1</v>
      </c>
      <c r="X210" s="98">
        <v>3</v>
      </c>
      <c r="Y210" s="29">
        <v>28</v>
      </c>
      <c r="Z210" s="88" t="str">
        <f>+IF(Y210&gt;0,FIXED(Fuelbeds_english!Z210*0.3048,1,0),Y210)</f>
        <v>1.2</v>
      </c>
      <c r="AA210" s="36">
        <v>85</v>
      </c>
      <c r="AB210" s="50">
        <v>28675</v>
      </c>
      <c r="AC210" s="50" t="s">
        <v>375</v>
      </c>
      <c r="AD210" s="50">
        <v>100</v>
      </c>
      <c r="AE210" s="42">
        <v>60</v>
      </c>
      <c r="AF210" s="52" t="str">
        <f>+IF(AE210&gt;0,FIXED(Fuelbeds_english!AF210*0.3048,1,0),AE210)</f>
        <v>0.2</v>
      </c>
      <c r="AG210" s="45">
        <v>0</v>
      </c>
      <c r="AH210" s="52" t="str">
        <f>+IF(AE210&gt;0,FIXED(Fuelbeds_english!AH210*2.242,1,0),AE210)</f>
        <v>0.6</v>
      </c>
      <c r="AI210" s="45">
        <v>42269</v>
      </c>
      <c r="AJ210" s="45" t="s">
        <v>206</v>
      </c>
      <c r="AK210" s="45">
        <v>100</v>
      </c>
      <c r="AL210" s="34">
        <v>11</v>
      </c>
      <c r="AM210" s="52" t="str">
        <f>+IF(AL210&gt;0,FIXED(Fuelbeds_english!AM210*2.54,1,0),AL210)</f>
        <v>1.5</v>
      </c>
      <c r="AN210" s="52" t="str">
        <f>+IF($AM210&gt;0,FIXED(Fuelbeds_english!AN210*2.242,1,0),$AM210)</f>
        <v>1.3</v>
      </c>
      <c r="AO210" s="52" t="str">
        <f>+IF($AM210&gt;0,FIXED(Fuelbeds_english!AO210*2.242,1,0),$AM210)</f>
        <v>1.0</v>
      </c>
      <c r="AP210" s="52" t="str">
        <f>+IF($AM210&gt;0,FIXED(Fuelbeds_english!AP210*2.242,1,0),$AM210)</f>
        <v>1.5</v>
      </c>
      <c r="AQ210" s="52" t="str">
        <f>+IF($AM210&gt;0,FIXED(Fuelbeds_english!AQ210*2.242,1,0),$AM210)</f>
        <v>1.2</v>
      </c>
      <c r="AR210" s="36">
        <v>28766</v>
      </c>
      <c r="AS210" s="36" t="s">
        <v>137</v>
      </c>
      <c r="AT210" s="36">
        <v>100</v>
      </c>
      <c r="AU210" s="44">
        <v>-1</v>
      </c>
      <c r="AV210" s="52">
        <f>+IF(AU210&gt;0,FIXED(Fuelbeds_english!AV210*2.54,1,0),AU210)</f>
        <v>-1</v>
      </c>
      <c r="AW210" s="52">
        <v>-1</v>
      </c>
      <c r="AX210" s="52">
        <v>-1</v>
      </c>
      <c r="AY210" s="52">
        <f>+IF(AX210&gt;0,FIXED(Fuelbeds_english!AY210*2.54,1,0),AX210)</f>
        <v>-1</v>
      </c>
      <c r="AZ210" s="59">
        <v>2</v>
      </c>
      <c r="BA210" s="36">
        <v>90</v>
      </c>
      <c r="BB210" s="52" t="str">
        <f>+IF(BA210&gt;0,FIXED(Fuelbeds_english!BB210*2.54,1,0),BA210)</f>
        <v>2.5</v>
      </c>
      <c r="BC210" s="59">
        <v>-1</v>
      </c>
      <c r="BD210" s="59">
        <v>-1</v>
      </c>
      <c r="BE210" s="59">
        <v>-1</v>
      </c>
      <c r="BF210" s="61">
        <v>12</v>
      </c>
      <c r="BG210" s="59">
        <v>28</v>
      </c>
      <c r="BH210" s="59">
        <v>-1</v>
      </c>
      <c r="BI210" s="59">
        <v>60</v>
      </c>
      <c r="BJ210" s="28">
        <v>1</v>
      </c>
      <c r="BK210" s="67">
        <v>33.057755775577562</v>
      </c>
      <c r="BL210" s="52" t="str">
        <f>+IF(BK210&gt;0,FIXED(Fuelbeds_english!BL210*2.54,1,0),BK210)</f>
        <v>0.5</v>
      </c>
      <c r="BM210" s="59">
        <v>3</v>
      </c>
      <c r="BN210" s="67">
        <v>29.751980198019805</v>
      </c>
      <c r="BO210" s="52" t="str">
        <f>+IF(BN210&gt;0,FIXED(Fuelbeds_english!BO210*2.54,1,0),BN210)</f>
        <v>0.4</v>
      </c>
    </row>
    <row r="211" spans="1:67" s="50" customFormat="1" x14ac:dyDescent="0.25">
      <c r="A211" s="50">
        <v>210</v>
      </c>
      <c r="B211" s="36">
        <v>7023</v>
      </c>
      <c r="C211" s="46">
        <v>7023</v>
      </c>
      <c r="D211" s="22" t="s">
        <v>4</v>
      </c>
      <c r="E211" s="38" t="s">
        <v>429</v>
      </c>
      <c r="F211" s="39">
        <v>14.8795</v>
      </c>
      <c r="G211" s="56">
        <v>14.8795</v>
      </c>
      <c r="H211" s="45">
        <f>+IF(F211&gt;0,INT(Fuelbeds_english!H211*2.471),F211)</f>
        <v>72</v>
      </c>
      <c r="I211" s="36">
        <f>+IF(F211&gt;0,INT(Fuelbeds_english!I211*0.3048),F211)</f>
        <v>11</v>
      </c>
      <c r="J211" s="45">
        <f>+IF(F211&gt;0,INT(Fuelbeds_english!J211*0.3048),F211)</f>
        <v>6</v>
      </c>
      <c r="K211" s="45">
        <f>+IF(F211&gt;0,INT(Fuelbeds_english!K211*2.54),F211)</f>
        <v>23</v>
      </c>
      <c r="L211" s="36">
        <v>28766</v>
      </c>
      <c r="M211" s="36" t="s">
        <v>137</v>
      </c>
      <c r="N211" s="36">
        <v>100</v>
      </c>
      <c r="O211" s="43">
        <v>8.1492106958762882</v>
      </c>
      <c r="P211" s="45">
        <f>+IF(O211&gt;0,INT(Fuelbeds_english!P211*2.471),O211)</f>
        <v>49</v>
      </c>
      <c r="Q211" s="36">
        <f>+IF(O211&gt;0,INT(Fuelbeds_english!Q211*0.3048),O211)</f>
        <v>7</v>
      </c>
      <c r="R211" s="45">
        <f>+IF(O211&gt;0,INT(Fuelbeds_english!R211*0.3048),O211)</f>
        <v>2</v>
      </c>
      <c r="S211" s="45">
        <f>+IF(O211&gt;0,INT(Fuelbeds_english!S211*2.54),O211)</f>
        <v>14</v>
      </c>
      <c r="T211" s="36">
        <v>28766</v>
      </c>
      <c r="U211" s="36" t="s">
        <v>137</v>
      </c>
      <c r="V211" s="36">
        <v>100</v>
      </c>
      <c r="W211" s="36">
        <v>1</v>
      </c>
      <c r="X211" s="98">
        <v>3</v>
      </c>
      <c r="Y211" s="29">
        <v>25</v>
      </c>
      <c r="Z211" s="88" t="str">
        <f>+IF(Y211&gt;0,FIXED(Fuelbeds_english!Z211*0.3048,1,0),Y211)</f>
        <v>1.2</v>
      </c>
      <c r="AA211" s="36">
        <v>85</v>
      </c>
      <c r="AB211" s="50">
        <v>28675</v>
      </c>
      <c r="AC211" s="50" t="s">
        <v>375</v>
      </c>
      <c r="AD211" s="50">
        <v>100</v>
      </c>
      <c r="AE211" s="42">
        <v>60</v>
      </c>
      <c r="AF211" s="52" t="str">
        <f>+IF(AE211&gt;0,FIXED(Fuelbeds_english!AF211*0.3048,1,0),AE211)</f>
        <v>0.2</v>
      </c>
      <c r="AG211" s="45">
        <v>0</v>
      </c>
      <c r="AH211" s="52" t="str">
        <f>+IF(AE211&gt;0,FIXED(Fuelbeds_english!AH211*2.242,1,0),AE211)</f>
        <v>0.2</v>
      </c>
      <c r="AI211" s="45">
        <v>26716</v>
      </c>
      <c r="AJ211" s="45" t="s">
        <v>208</v>
      </c>
      <c r="AK211" s="45">
        <v>100</v>
      </c>
      <c r="AL211" s="34">
        <v>11</v>
      </c>
      <c r="AM211" s="52" t="str">
        <f>+IF(AL211&gt;0,FIXED(Fuelbeds_english!AM211*2.54,1,0),AL211)</f>
        <v>1.5</v>
      </c>
      <c r="AN211" s="52" t="str">
        <f>+IF($AM211&gt;0,FIXED(Fuelbeds_english!AN211*2.242,1,0),$AM211)</f>
        <v>1.3</v>
      </c>
      <c r="AO211" s="52" t="str">
        <f>+IF($AM211&gt;0,FIXED(Fuelbeds_english!AO211*2.242,1,0),$AM211)</f>
        <v>1.0</v>
      </c>
      <c r="AP211" s="52" t="str">
        <f>+IF($AM211&gt;0,FIXED(Fuelbeds_english!AP211*2.242,1,0),$AM211)</f>
        <v>1.5</v>
      </c>
      <c r="AQ211" s="52" t="str">
        <f>+IF($AM211&gt;0,FIXED(Fuelbeds_english!AQ211*2.242,1,0),$AM211)</f>
        <v>1.2</v>
      </c>
      <c r="AR211" s="36">
        <v>28766</v>
      </c>
      <c r="AS211" s="36" t="s">
        <v>137</v>
      </c>
      <c r="AT211" s="36">
        <v>100</v>
      </c>
      <c r="AU211" s="44">
        <v>-1</v>
      </c>
      <c r="AV211" s="52">
        <f>+IF(AU211&gt;0,FIXED(Fuelbeds_english!AV211*2.54,1,0),AU211)</f>
        <v>-1</v>
      </c>
      <c r="AW211" s="52">
        <v>-1</v>
      </c>
      <c r="AX211" s="52">
        <v>-1</v>
      </c>
      <c r="AY211" s="52">
        <f>+IF(AX211&gt;0,FIXED(Fuelbeds_english!AY211*2.54,1,0),AX211)</f>
        <v>-1</v>
      </c>
      <c r="AZ211" s="59">
        <v>2</v>
      </c>
      <c r="BA211" s="36">
        <v>90</v>
      </c>
      <c r="BB211" s="52" t="str">
        <f>+IF(BA211&gt;0,FIXED(Fuelbeds_english!BB211*2.54,1,0),BA211)</f>
        <v>2.5</v>
      </c>
      <c r="BC211" s="59">
        <v>-1</v>
      </c>
      <c r="BD211" s="59">
        <v>-1</v>
      </c>
      <c r="BE211" s="59">
        <v>-1</v>
      </c>
      <c r="BF211" s="61">
        <v>15</v>
      </c>
      <c r="BG211" s="59">
        <v>25</v>
      </c>
      <c r="BH211" s="59">
        <v>-1</v>
      </c>
      <c r="BI211" s="59">
        <v>60</v>
      </c>
      <c r="BJ211" s="28">
        <v>1</v>
      </c>
      <c r="BK211" s="67">
        <v>32.903877887788781</v>
      </c>
      <c r="BL211" s="52" t="str">
        <f>+IF(BK211&gt;0,FIXED(Fuelbeds_english!BL211*2.54,1,0),BK211)</f>
        <v>0.5</v>
      </c>
      <c r="BM211" s="59">
        <v>3</v>
      </c>
      <c r="BN211" s="67">
        <v>29.613490099009901</v>
      </c>
      <c r="BO211" s="52" t="str">
        <f>+IF(BN211&gt;0,FIXED(Fuelbeds_english!BO211*2.54,1,0),BN211)</f>
        <v>0.4</v>
      </c>
    </row>
    <row r="212" spans="1:67" s="50" customFormat="1" x14ac:dyDescent="0.25">
      <c r="A212" s="50">
        <v>211</v>
      </c>
      <c r="B212" s="36">
        <v>7024</v>
      </c>
      <c r="C212" s="46">
        <v>7024</v>
      </c>
      <c r="D212" s="22" t="s">
        <v>4</v>
      </c>
      <c r="E212" s="38" t="s">
        <v>436</v>
      </c>
      <c r="F212" s="39">
        <v>3.3522099999999999</v>
      </c>
      <c r="G212" s="56">
        <v>3.3522099999999999</v>
      </c>
      <c r="H212" s="45">
        <f>+IF(F212&gt;0,INT(Fuelbeds_english!H212*2.471),F212)</f>
        <v>16</v>
      </c>
      <c r="I212" s="36">
        <f>+IF(F212&gt;0,INT(Fuelbeds_english!I212*0.3048),F212)</f>
        <v>6</v>
      </c>
      <c r="J212" s="45">
        <f>+IF(F212&gt;0,INT(Fuelbeds_english!J212*0.3048),F212)</f>
        <v>3</v>
      </c>
      <c r="K212" s="45">
        <f>+IF(F212&gt;0,INT(Fuelbeds_english!K212*2.54),F212)</f>
        <v>13</v>
      </c>
      <c r="L212" s="36">
        <v>28766</v>
      </c>
      <c r="M212" s="36" t="s">
        <v>137</v>
      </c>
      <c r="N212" s="36">
        <v>100</v>
      </c>
      <c r="O212" s="43">
        <v>1.835939755154639</v>
      </c>
      <c r="P212" s="45">
        <f>+IF(O212&gt;0,INT(Fuelbeds_english!P212*2.471),O212)</f>
        <v>11</v>
      </c>
      <c r="Q212" s="36">
        <f>+IF(O212&gt;0,INT(Fuelbeds_english!Q212*0.3048),O212)</f>
        <v>3</v>
      </c>
      <c r="R212" s="45">
        <f>+IF(O212&gt;0,INT(Fuelbeds_english!R212*0.3048),O212)</f>
        <v>1</v>
      </c>
      <c r="S212" s="45">
        <f>+IF(O212&gt;0,INT(Fuelbeds_english!S212*2.54),O212)</f>
        <v>7</v>
      </c>
      <c r="T212" s="36">
        <v>28766</v>
      </c>
      <c r="U212" s="36" t="s">
        <v>137</v>
      </c>
      <c r="V212" s="36">
        <v>100</v>
      </c>
      <c r="W212" s="36">
        <v>1</v>
      </c>
      <c r="X212" s="98">
        <v>3</v>
      </c>
      <c r="Y212" s="29">
        <v>37</v>
      </c>
      <c r="Z212" s="88" t="str">
        <f>+IF(Y212&gt;0,FIXED(Fuelbeds_english!Z212*0.3048,1,0),Y212)</f>
        <v>1.2</v>
      </c>
      <c r="AA212" s="36">
        <v>85</v>
      </c>
      <c r="AB212" s="50">
        <v>28675</v>
      </c>
      <c r="AC212" s="50" t="s">
        <v>375</v>
      </c>
      <c r="AD212" s="50">
        <v>100</v>
      </c>
      <c r="AE212" s="42">
        <v>60</v>
      </c>
      <c r="AF212" s="52" t="str">
        <f>+IF(AE212&gt;0,FIXED(Fuelbeds_english!AF212*0.3048,1,0),AE212)</f>
        <v>0.2</v>
      </c>
      <c r="AG212" s="45">
        <v>0</v>
      </c>
      <c r="AH212" s="52" t="str">
        <f>+IF(AE212&gt;0,FIXED(Fuelbeds_english!AH212*2.242,1,0),AE212)</f>
        <v>0.6</v>
      </c>
      <c r="AI212" s="45">
        <v>42013</v>
      </c>
      <c r="AJ212" s="45" t="s">
        <v>423</v>
      </c>
      <c r="AK212" s="62">
        <v>100</v>
      </c>
      <c r="AL212" s="34">
        <v>11</v>
      </c>
      <c r="AM212" s="52" t="str">
        <f>+IF(AL212&gt;0,FIXED(Fuelbeds_english!AM212*2.54,1,0),AL212)</f>
        <v>1.5</v>
      </c>
      <c r="AN212" s="52" t="str">
        <f>+IF($AM212&gt;0,FIXED(Fuelbeds_english!AN212*2.242,1,0),$AM212)</f>
        <v>1.4</v>
      </c>
      <c r="AO212" s="52" t="str">
        <f>+IF($AM212&gt;0,FIXED(Fuelbeds_english!AO212*2.242,1,0),$AM212)</f>
        <v>1.0</v>
      </c>
      <c r="AP212" s="52" t="str">
        <f>+IF($AM212&gt;0,FIXED(Fuelbeds_english!AP212*2.242,1,0),$AM212)</f>
        <v>1.6</v>
      </c>
      <c r="AQ212" s="52" t="str">
        <f>+IF($AM212&gt;0,FIXED(Fuelbeds_english!AQ212*2.242,1,0),$AM212)</f>
        <v>1.2</v>
      </c>
      <c r="AR212" s="36">
        <v>28766</v>
      </c>
      <c r="AS212" s="36" t="s">
        <v>137</v>
      </c>
      <c r="AT212" s="36">
        <v>100</v>
      </c>
      <c r="AU212" s="44">
        <v>-1</v>
      </c>
      <c r="AV212" s="52">
        <f>+IF(AU212&gt;0,FIXED(Fuelbeds_english!AV212*2.54,1,0),AU212)</f>
        <v>-1</v>
      </c>
      <c r="AW212" s="52">
        <v>-1</v>
      </c>
      <c r="AX212" s="52">
        <v>-1</v>
      </c>
      <c r="AY212" s="52">
        <f>+IF(AX212&gt;0,FIXED(Fuelbeds_english!AY212*2.54,1,0),AX212)</f>
        <v>-1</v>
      </c>
      <c r="AZ212" s="59">
        <v>2</v>
      </c>
      <c r="BA212" s="36">
        <v>90</v>
      </c>
      <c r="BB212" s="52" t="str">
        <f>+IF(BA212&gt;0,FIXED(Fuelbeds_english!BB212*2.54,1,0),BA212)</f>
        <v>2.5</v>
      </c>
      <c r="BC212" s="59">
        <v>-1</v>
      </c>
      <c r="BD212" s="59">
        <v>-1</v>
      </c>
      <c r="BE212" s="59">
        <v>-1</v>
      </c>
      <c r="BF212" s="61">
        <v>3</v>
      </c>
      <c r="BG212" s="59">
        <v>37</v>
      </c>
      <c r="BH212" s="59">
        <v>-1</v>
      </c>
      <c r="BI212" s="59">
        <v>60</v>
      </c>
      <c r="BJ212" s="28">
        <v>1</v>
      </c>
      <c r="BK212" s="67">
        <v>33.293902640264022</v>
      </c>
      <c r="BL212" s="52" t="str">
        <f>+IF(BK212&gt;0,FIXED(Fuelbeds_english!BL212*2.54,1,0),BK212)</f>
        <v>0.5</v>
      </c>
      <c r="BM212" s="59">
        <v>3</v>
      </c>
      <c r="BN212" s="67">
        <v>29.964512376237625</v>
      </c>
      <c r="BO212" s="52" t="str">
        <f>+IF(BN212&gt;0,FIXED(Fuelbeds_english!BO212*2.54,1,0),BN212)</f>
        <v>0.4</v>
      </c>
    </row>
    <row r="213" spans="1:67" s="50" customFormat="1" x14ac:dyDescent="0.25">
      <c r="A213" s="50">
        <v>212</v>
      </c>
      <c r="B213" s="36">
        <v>7025</v>
      </c>
      <c r="C213" s="46">
        <v>7025</v>
      </c>
      <c r="D213" s="22" t="s">
        <v>4</v>
      </c>
      <c r="E213" s="38" t="s">
        <v>437</v>
      </c>
      <c r="F213" s="39">
        <v>7.0849799999999998</v>
      </c>
      <c r="G213" s="56">
        <v>7.0849799999999998</v>
      </c>
      <c r="H213" s="45">
        <f>+IF(F213&gt;0,INT(Fuelbeds_english!H213*2.471),F213)</f>
        <v>34</v>
      </c>
      <c r="I213" s="36">
        <f>+IF(F213&gt;0,INT(Fuelbeds_english!I213*0.3048),F213)</f>
        <v>8</v>
      </c>
      <c r="J213" s="45">
        <f>+IF(F213&gt;0,INT(Fuelbeds_english!J213*0.3048),F213)</f>
        <v>4</v>
      </c>
      <c r="K213" s="45">
        <f>+IF(F213&gt;0,INT(Fuelbeds_english!K213*2.54),F213)</f>
        <v>16</v>
      </c>
      <c r="L213" s="36">
        <v>28766</v>
      </c>
      <c r="M213" s="36" t="s">
        <v>137</v>
      </c>
      <c r="N213" s="36">
        <v>100</v>
      </c>
      <c r="O213" s="43">
        <v>3.8803047680412375</v>
      </c>
      <c r="P213" s="45">
        <f>+IF(O213&gt;0,INT(Fuelbeds_english!P213*2.471),O213)</f>
        <v>23</v>
      </c>
      <c r="Q213" s="36">
        <f>+IF(O213&gt;0,INT(Fuelbeds_english!Q213*0.3048),O213)</f>
        <v>4</v>
      </c>
      <c r="R213" s="45">
        <f>+IF(O213&gt;0,INT(Fuelbeds_english!R213*0.3048),O213)</f>
        <v>1</v>
      </c>
      <c r="S213" s="45">
        <f>+IF(O213&gt;0,INT(Fuelbeds_english!S213*2.54),O213)</f>
        <v>9</v>
      </c>
      <c r="T213" s="36">
        <v>28766</v>
      </c>
      <c r="U213" s="36" t="s">
        <v>137</v>
      </c>
      <c r="V213" s="36">
        <v>100</v>
      </c>
      <c r="W213" s="36">
        <v>1</v>
      </c>
      <c r="X213" s="98">
        <v>3</v>
      </c>
      <c r="Y213" s="29">
        <v>33</v>
      </c>
      <c r="Z213" s="88" t="str">
        <f>+IF(Y213&gt;0,FIXED(Fuelbeds_english!Z213*0.3048,1,0),Y213)</f>
        <v>1.2</v>
      </c>
      <c r="AA213" s="36">
        <v>85</v>
      </c>
      <c r="AB213" s="50">
        <v>28675</v>
      </c>
      <c r="AC213" s="50" t="s">
        <v>375</v>
      </c>
      <c r="AD213" s="50">
        <v>100</v>
      </c>
      <c r="AE213" s="42">
        <v>60</v>
      </c>
      <c r="AF213" s="52" t="str">
        <f>+IF(AE213&gt;0,FIXED(Fuelbeds_english!AF213*0.3048,1,0),AE213)</f>
        <v>0.2</v>
      </c>
      <c r="AG213" s="45">
        <v>0</v>
      </c>
      <c r="AH213" s="52" t="str">
        <f>+IF(AE213&gt;0,FIXED(Fuelbeds_english!AH213*2.242,1,0),AE213)</f>
        <v>0.9</v>
      </c>
      <c r="AI213" s="45">
        <v>21711</v>
      </c>
      <c r="AJ213" s="45" t="s">
        <v>425</v>
      </c>
      <c r="AK213" s="45">
        <v>100</v>
      </c>
      <c r="AL213" s="34">
        <v>11</v>
      </c>
      <c r="AM213" s="52" t="str">
        <f>+IF(AL213&gt;0,FIXED(Fuelbeds_english!AM213*2.54,1,0),AL213)</f>
        <v>1.5</v>
      </c>
      <c r="AN213" s="52" t="str">
        <f>+IF($AM213&gt;0,FIXED(Fuelbeds_english!AN213*2.242,1,0),$AM213)</f>
        <v>1.3</v>
      </c>
      <c r="AO213" s="52" t="str">
        <f>+IF($AM213&gt;0,FIXED(Fuelbeds_english!AO213*2.242,1,0),$AM213)</f>
        <v>1.0</v>
      </c>
      <c r="AP213" s="52" t="str">
        <f>+IF($AM213&gt;0,FIXED(Fuelbeds_english!AP213*2.242,1,0),$AM213)</f>
        <v>1.5</v>
      </c>
      <c r="AQ213" s="52" t="str">
        <f>+IF($AM213&gt;0,FIXED(Fuelbeds_english!AQ213*2.242,1,0),$AM213)</f>
        <v>1.2</v>
      </c>
      <c r="AR213" s="36">
        <v>28766</v>
      </c>
      <c r="AS213" s="36" t="s">
        <v>137</v>
      </c>
      <c r="AT213" s="36">
        <v>100</v>
      </c>
      <c r="AU213" s="44">
        <v>-1</v>
      </c>
      <c r="AV213" s="52">
        <f>+IF(AU213&gt;0,FIXED(Fuelbeds_english!AV213*2.54,1,0),AU213)</f>
        <v>-1</v>
      </c>
      <c r="AW213" s="52">
        <v>-1</v>
      </c>
      <c r="AX213" s="52">
        <v>-1</v>
      </c>
      <c r="AY213" s="52">
        <f>+IF(AX213&gt;0,FIXED(Fuelbeds_english!AY213*2.54,1,0),AX213)</f>
        <v>-1</v>
      </c>
      <c r="AZ213" s="59">
        <v>2</v>
      </c>
      <c r="BA213" s="36">
        <v>90</v>
      </c>
      <c r="BB213" s="52" t="str">
        <f>+IF(BA213&gt;0,FIXED(Fuelbeds_english!BB213*2.54,1,0),BA213)</f>
        <v>2.5</v>
      </c>
      <c r="BC213" s="59">
        <v>-1</v>
      </c>
      <c r="BD213" s="59">
        <v>-1</v>
      </c>
      <c r="BE213" s="59">
        <v>-1</v>
      </c>
      <c r="BF213" s="61">
        <v>7</v>
      </c>
      <c r="BG213" s="59">
        <v>33</v>
      </c>
      <c r="BH213" s="59">
        <v>-1</v>
      </c>
      <c r="BI213" s="59">
        <v>60</v>
      </c>
      <c r="BJ213" s="28">
        <v>1</v>
      </c>
      <c r="BK213" s="67">
        <v>33.073415841584158</v>
      </c>
      <c r="BL213" s="52" t="str">
        <f>+IF(BK213&gt;0,FIXED(Fuelbeds_english!BL213*2.54,1,0),BK213)</f>
        <v>0.5</v>
      </c>
      <c r="BM213" s="59">
        <v>3</v>
      </c>
      <c r="BN213" s="67">
        <v>29.766074257425743</v>
      </c>
      <c r="BO213" s="52" t="str">
        <f>+IF(BN213&gt;0,FIXED(Fuelbeds_english!BO213*2.54,1,0),BN213)</f>
        <v>0.4</v>
      </c>
    </row>
    <row r="214" spans="1:67" s="50" customFormat="1" x14ac:dyDescent="0.25">
      <c r="A214" s="50">
        <v>213</v>
      </c>
      <c r="B214" s="36">
        <v>7026</v>
      </c>
      <c r="C214" s="46">
        <v>7026</v>
      </c>
      <c r="D214" s="22" t="s">
        <v>4</v>
      </c>
      <c r="E214" s="38" t="s">
        <v>430</v>
      </c>
      <c r="F214" s="39">
        <v>11.8605</v>
      </c>
      <c r="G214" s="56">
        <v>11.8605</v>
      </c>
      <c r="H214" s="45">
        <f>+IF(F214&gt;0,INT(Fuelbeds_english!H214*2.471),F214)</f>
        <v>57</v>
      </c>
      <c r="I214" s="36">
        <f>+IF(F214&gt;0,INT(Fuelbeds_english!I214*0.3048),F214)</f>
        <v>8</v>
      </c>
      <c r="J214" s="45">
        <f>+IF(F214&gt;0,INT(Fuelbeds_english!J214*0.3048),F214)</f>
        <v>5</v>
      </c>
      <c r="K214" s="45">
        <f>+IF(F214&gt;0,INT(Fuelbeds_english!K214*2.54),F214)</f>
        <v>17</v>
      </c>
      <c r="L214" s="36">
        <v>28766</v>
      </c>
      <c r="M214" s="36" t="s">
        <v>137</v>
      </c>
      <c r="N214" s="36">
        <v>100</v>
      </c>
      <c r="O214" s="43">
        <v>6.4957635309278361</v>
      </c>
      <c r="P214" s="45">
        <f>+IF(O214&gt;0,INT(Fuelbeds_english!P214*2.471),O214)</f>
        <v>39</v>
      </c>
      <c r="Q214" s="36">
        <f>+IF(O214&gt;0,INT(Fuelbeds_english!Q214*0.3048),O214)</f>
        <v>5</v>
      </c>
      <c r="R214" s="45">
        <f>+IF(O214&gt;0,INT(Fuelbeds_english!R214*0.3048),O214)</f>
        <v>2</v>
      </c>
      <c r="S214" s="45">
        <f>+IF(O214&gt;0,INT(Fuelbeds_english!S214*2.54),O214)</f>
        <v>10</v>
      </c>
      <c r="T214" s="36">
        <v>28766</v>
      </c>
      <c r="U214" s="36" t="s">
        <v>137</v>
      </c>
      <c r="V214" s="36">
        <v>100</v>
      </c>
      <c r="W214" s="36">
        <v>1</v>
      </c>
      <c r="X214" s="98">
        <v>3</v>
      </c>
      <c r="Y214" s="29">
        <v>28</v>
      </c>
      <c r="Z214" s="88" t="str">
        <f>+IF(Y214&gt;0,FIXED(Fuelbeds_english!Z214*0.3048,1,0),Y214)</f>
        <v>1.2</v>
      </c>
      <c r="AA214" s="36">
        <v>85</v>
      </c>
      <c r="AB214" s="50">
        <v>28675</v>
      </c>
      <c r="AC214" s="50" t="s">
        <v>375</v>
      </c>
      <c r="AD214" s="50">
        <v>100</v>
      </c>
      <c r="AE214" s="42">
        <v>60</v>
      </c>
      <c r="AF214" s="52" t="str">
        <f>+IF(AE214&gt;0,FIXED(Fuelbeds_english!AF214*0.3048,1,0),AE214)</f>
        <v>0.2</v>
      </c>
      <c r="AG214" s="45">
        <v>0</v>
      </c>
      <c r="AH214" s="52" t="str">
        <f>+IF(AE214&gt;0,FIXED(Fuelbeds_english!AH214*2.242,1,0),AE214)</f>
        <v>0.2</v>
      </c>
      <c r="AI214" s="36">
        <v>26857</v>
      </c>
      <c r="AJ214" s="43" t="s">
        <v>415</v>
      </c>
      <c r="AK214" s="36">
        <v>100</v>
      </c>
      <c r="AL214" s="34">
        <v>11</v>
      </c>
      <c r="AM214" s="52" t="str">
        <f>+IF(AL214&gt;0,FIXED(Fuelbeds_english!AM214*2.54,1,0),AL214)</f>
        <v>1.5</v>
      </c>
      <c r="AN214" s="52" t="str">
        <f>+IF($AM214&gt;0,FIXED(Fuelbeds_english!AN214*2.242,1,0),$AM214)</f>
        <v>1.3</v>
      </c>
      <c r="AO214" s="52" t="str">
        <f>+IF($AM214&gt;0,FIXED(Fuelbeds_english!AO214*2.242,1,0),$AM214)</f>
        <v>1.0</v>
      </c>
      <c r="AP214" s="52" t="str">
        <f>+IF($AM214&gt;0,FIXED(Fuelbeds_english!AP214*2.242,1,0),$AM214)</f>
        <v>1.5</v>
      </c>
      <c r="AQ214" s="52" t="str">
        <f>+IF($AM214&gt;0,FIXED(Fuelbeds_english!AQ214*2.242,1,0),$AM214)</f>
        <v>1.2</v>
      </c>
      <c r="AR214" s="36">
        <v>28766</v>
      </c>
      <c r="AS214" s="36" t="s">
        <v>137</v>
      </c>
      <c r="AT214" s="36">
        <v>100</v>
      </c>
      <c r="AU214" s="44">
        <v>-1</v>
      </c>
      <c r="AV214" s="52">
        <f>+IF(AU214&gt;0,FIXED(Fuelbeds_english!AV214*2.54,1,0),AU214)</f>
        <v>-1</v>
      </c>
      <c r="AW214" s="52">
        <v>-1</v>
      </c>
      <c r="AX214" s="52">
        <v>-1</v>
      </c>
      <c r="AY214" s="52">
        <f>+IF(AX214&gt;0,FIXED(Fuelbeds_english!AY214*2.54,1,0),AX214)</f>
        <v>-1</v>
      </c>
      <c r="AZ214" s="59">
        <v>2</v>
      </c>
      <c r="BA214" s="36">
        <v>90</v>
      </c>
      <c r="BB214" s="52" t="str">
        <f>+IF(BA214&gt;0,FIXED(Fuelbeds_english!BB214*2.54,1,0),BA214)</f>
        <v>2.5</v>
      </c>
      <c r="BC214" s="59">
        <v>-1</v>
      </c>
      <c r="BD214" s="59">
        <v>-1</v>
      </c>
      <c r="BE214" s="59">
        <v>-1</v>
      </c>
      <c r="BF214" s="61">
        <v>12</v>
      </c>
      <c r="BG214" s="59">
        <v>28</v>
      </c>
      <c r="BH214" s="59">
        <v>-1</v>
      </c>
      <c r="BI214" s="59">
        <v>60</v>
      </c>
      <c r="BJ214" s="28">
        <v>1</v>
      </c>
      <c r="BK214" s="67">
        <v>32.888201320132012</v>
      </c>
      <c r="BL214" s="52" t="str">
        <f>+IF(BK214&gt;0,FIXED(Fuelbeds_english!BL214*2.54,1,0),BK214)</f>
        <v>0.5</v>
      </c>
      <c r="BM214" s="59">
        <v>3</v>
      </c>
      <c r="BN214" s="67">
        <v>29.599381188118816</v>
      </c>
      <c r="BO214" s="52" t="str">
        <f>+IF(BN214&gt;0,FIXED(Fuelbeds_english!BO214*2.54,1,0),BN214)</f>
        <v>0.4</v>
      </c>
    </row>
    <row r="215" spans="1:67" s="50" customFormat="1" x14ac:dyDescent="0.25">
      <c r="A215" s="50">
        <v>214</v>
      </c>
      <c r="B215" s="36">
        <v>7027</v>
      </c>
      <c r="C215" s="46">
        <v>7027</v>
      </c>
      <c r="D215" s="22" t="s">
        <v>4</v>
      </c>
      <c r="E215" s="38" t="s">
        <v>431</v>
      </c>
      <c r="F215" s="39">
        <v>6.5643799999999999</v>
      </c>
      <c r="G215" s="56">
        <v>6.5643799999999999</v>
      </c>
      <c r="H215" s="45">
        <f>+IF(F215&gt;0,INT(Fuelbeds_english!H215*2.471),F215)</f>
        <v>31</v>
      </c>
      <c r="I215" s="36">
        <f>+IF(F215&gt;0,INT(Fuelbeds_english!I215*0.3048),F215)</f>
        <v>7</v>
      </c>
      <c r="J215" s="45">
        <f>+IF(F215&gt;0,INT(Fuelbeds_english!J215*0.3048),F215)</f>
        <v>4</v>
      </c>
      <c r="K215" s="45">
        <f>+IF(F215&gt;0,INT(Fuelbeds_english!K215*2.54),F215)</f>
        <v>13</v>
      </c>
      <c r="L215" s="36">
        <v>28766</v>
      </c>
      <c r="M215" s="36" t="s">
        <v>137</v>
      </c>
      <c r="N215" s="36">
        <v>100</v>
      </c>
      <c r="O215" s="43">
        <v>3.5951823453608251</v>
      </c>
      <c r="P215" s="45">
        <f>+IF(O215&gt;0,INT(Fuelbeds_english!P215*2.471),O215)</f>
        <v>21</v>
      </c>
      <c r="Q215" s="36">
        <f>+IF(O215&gt;0,INT(Fuelbeds_english!Q215*0.3048),O215)</f>
        <v>4</v>
      </c>
      <c r="R215" s="45">
        <f>+IF(O215&gt;0,INT(Fuelbeds_english!R215*0.3048),O215)</f>
        <v>1</v>
      </c>
      <c r="S215" s="45">
        <f>+IF(O215&gt;0,INT(Fuelbeds_english!S215*2.54),O215)</f>
        <v>8</v>
      </c>
      <c r="T215" s="36">
        <v>28766</v>
      </c>
      <c r="U215" s="36" t="s">
        <v>137</v>
      </c>
      <c r="V215" s="36">
        <v>100</v>
      </c>
      <c r="W215" s="36">
        <v>1</v>
      </c>
      <c r="X215" s="98">
        <v>3</v>
      </c>
      <c r="Y215" s="29">
        <v>33</v>
      </c>
      <c r="Z215" s="88" t="str">
        <f>+IF(Y215&gt;0,FIXED(Fuelbeds_english!Z215*0.3048,1,0),Y215)</f>
        <v>1.2</v>
      </c>
      <c r="AA215" s="36">
        <v>85</v>
      </c>
      <c r="AB215" s="50">
        <v>28675</v>
      </c>
      <c r="AC215" s="50" t="s">
        <v>375</v>
      </c>
      <c r="AD215" s="50">
        <v>100</v>
      </c>
      <c r="AE215" s="42">
        <v>60</v>
      </c>
      <c r="AF215" s="52" t="str">
        <f>+IF(AE215&gt;0,FIXED(Fuelbeds_english!AF215*0.3048,1,0),AE215)</f>
        <v>0.2</v>
      </c>
      <c r="AG215" s="45">
        <v>0</v>
      </c>
      <c r="AH215" s="52" t="str">
        <f>+IF(AE215&gt;0,FIXED(Fuelbeds_english!AH215*2.242,1,0),AE215)</f>
        <v>0.0</v>
      </c>
      <c r="AI215" s="36">
        <v>505272</v>
      </c>
      <c r="AJ215" s="43" t="s">
        <v>417</v>
      </c>
      <c r="AK215" s="36">
        <v>100</v>
      </c>
      <c r="AL215" s="34">
        <v>11</v>
      </c>
      <c r="AM215" s="52" t="str">
        <f>+IF(AL215&gt;0,FIXED(Fuelbeds_english!AM215*2.54,1,0),AL215)</f>
        <v>1.5</v>
      </c>
      <c r="AN215" s="52" t="str">
        <f>+IF($AM215&gt;0,FIXED(Fuelbeds_english!AN215*2.242,1,0),$AM215)</f>
        <v>1.3</v>
      </c>
      <c r="AO215" s="52" t="str">
        <f>+IF($AM215&gt;0,FIXED(Fuelbeds_english!AO215*2.242,1,0),$AM215)</f>
        <v>1.0</v>
      </c>
      <c r="AP215" s="52" t="str">
        <f>+IF($AM215&gt;0,FIXED(Fuelbeds_english!AP215*2.242,1,0),$AM215)</f>
        <v>1.5</v>
      </c>
      <c r="AQ215" s="52" t="str">
        <f>+IF($AM215&gt;0,FIXED(Fuelbeds_english!AQ215*2.242,1,0),$AM215)</f>
        <v>1.2</v>
      </c>
      <c r="AR215" s="36">
        <v>28766</v>
      </c>
      <c r="AS215" s="36" t="s">
        <v>137</v>
      </c>
      <c r="AT215" s="36">
        <v>100</v>
      </c>
      <c r="AU215" s="44">
        <v>-1</v>
      </c>
      <c r="AV215" s="52">
        <f>+IF(AU215&gt;0,FIXED(Fuelbeds_english!AV215*2.54,1,0),AU215)</f>
        <v>-1</v>
      </c>
      <c r="AW215" s="52">
        <v>-1</v>
      </c>
      <c r="AX215" s="52">
        <v>-1</v>
      </c>
      <c r="AY215" s="52">
        <f>+IF(AX215&gt;0,FIXED(Fuelbeds_english!AY215*2.54,1,0),AX215)</f>
        <v>-1</v>
      </c>
      <c r="AZ215" s="59">
        <v>2</v>
      </c>
      <c r="BA215" s="36">
        <v>90</v>
      </c>
      <c r="BB215" s="52" t="str">
        <f>+IF(BA215&gt;0,FIXED(Fuelbeds_english!BB215*2.54,1,0),BA215)</f>
        <v>2.5</v>
      </c>
      <c r="BC215" s="59">
        <v>-1</v>
      </c>
      <c r="BD215" s="59">
        <v>-1</v>
      </c>
      <c r="BE215" s="59">
        <v>-1</v>
      </c>
      <c r="BF215" s="61">
        <v>7</v>
      </c>
      <c r="BG215" s="59">
        <v>33</v>
      </c>
      <c r="BH215" s="59">
        <v>-1</v>
      </c>
      <c r="BI215" s="59">
        <v>60</v>
      </c>
      <c r="BJ215" s="28">
        <v>1</v>
      </c>
      <c r="BK215" s="67">
        <v>32.643877887788776</v>
      </c>
      <c r="BL215" s="52" t="str">
        <f>+IF(BK215&gt;0,FIXED(Fuelbeds_english!BL215*2.54,1,0),BK215)</f>
        <v>0.5</v>
      </c>
      <c r="BM215" s="59">
        <v>3</v>
      </c>
      <c r="BN215" s="67">
        <v>29.379490099009903</v>
      </c>
      <c r="BO215" s="52" t="str">
        <f>+IF(BN215&gt;0,FIXED(Fuelbeds_english!BO215*2.54,1,0),BN215)</f>
        <v>0.4</v>
      </c>
    </row>
    <row r="216" spans="1:67" s="50" customFormat="1" x14ac:dyDescent="0.25">
      <c r="A216" s="50">
        <v>215</v>
      </c>
      <c r="B216" s="36">
        <v>7028</v>
      </c>
      <c r="C216" s="46">
        <v>7028</v>
      </c>
      <c r="D216" s="22" t="s">
        <v>4</v>
      </c>
      <c r="E216" s="38" t="s">
        <v>432</v>
      </c>
      <c r="F216" s="39">
        <v>22.740300000000001</v>
      </c>
      <c r="G216" s="56">
        <v>22.740300000000001</v>
      </c>
      <c r="H216" s="45">
        <f>+IF(F216&gt;0,INT(Fuelbeds_english!H216*2.471),F216)</f>
        <v>110</v>
      </c>
      <c r="I216" s="36">
        <f>+IF(F216&gt;0,INT(Fuelbeds_english!I216*0.3048),F216)</f>
        <v>11</v>
      </c>
      <c r="J216" s="45">
        <f>+IF(F216&gt;0,INT(Fuelbeds_english!J216*0.3048),F216)</f>
        <v>6</v>
      </c>
      <c r="K216" s="45">
        <f>+IF(F216&gt;0,INT(Fuelbeds_english!K216*2.54),F216)</f>
        <v>21</v>
      </c>
      <c r="L216" s="36">
        <v>28766</v>
      </c>
      <c r="M216" s="36" t="s">
        <v>137</v>
      </c>
      <c r="N216" s="36">
        <v>100</v>
      </c>
      <c r="O216" s="43">
        <v>12.454416881443301</v>
      </c>
      <c r="P216" s="45">
        <f>+IF(O216&gt;0,INT(Fuelbeds_english!P216*2.471),O216)</f>
        <v>76</v>
      </c>
      <c r="Q216" s="36">
        <f>+IF(O216&gt;0,INT(Fuelbeds_english!Q216*0.3048),O216)</f>
        <v>6</v>
      </c>
      <c r="R216" s="45">
        <f>+IF(O216&gt;0,INT(Fuelbeds_english!R216*0.3048),O216)</f>
        <v>2</v>
      </c>
      <c r="S216" s="45">
        <f>+IF(O216&gt;0,INT(Fuelbeds_english!S216*2.54),O216)</f>
        <v>12</v>
      </c>
      <c r="T216" s="36">
        <v>28766</v>
      </c>
      <c r="U216" s="36" t="s">
        <v>137</v>
      </c>
      <c r="V216" s="36">
        <v>100</v>
      </c>
      <c r="W216" s="36">
        <v>1</v>
      </c>
      <c r="X216" s="98">
        <v>3</v>
      </c>
      <c r="Y216" s="29">
        <v>17</v>
      </c>
      <c r="Z216" s="88" t="str">
        <f>+IF(Y216&gt;0,FIXED(Fuelbeds_english!Z216*0.3048,1,0),Y216)</f>
        <v>1.2</v>
      </c>
      <c r="AA216" s="36">
        <v>85</v>
      </c>
      <c r="AB216" s="50">
        <v>28675</v>
      </c>
      <c r="AC216" s="50" t="s">
        <v>375</v>
      </c>
      <c r="AD216" s="50">
        <v>100</v>
      </c>
      <c r="AE216" s="42">
        <v>60</v>
      </c>
      <c r="AF216" s="52" t="str">
        <f>+IF(AE216&gt;0,FIXED(Fuelbeds_english!AF216*0.3048,1,0),AE216)</f>
        <v>0.2</v>
      </c>
      <c r="AG216" s="45">
        <v>0</v>
      </c>
      <c r="AH216" s="52" t="str">
        <f>+IF(AE216&gt;0,FIXED(Fuelbeds_english!AH216*2.242,1,0),AE216)</f>
        <v>1.6</v>
      </c>
      <c r="AI216" s="45">
        <v>41088</v>
      </c>
      <c r="AJ216" s="45" t="s">
        <v>420</v>
      </c>
      <c r="AK216" s="45">
        <v>100</v>
      </c>
      <c r="AL216" s="34">
        <v>11</v>
      </c>
      <c r="AM216" s="52" t="str">
        <f>+IF(AL216&gt;0,FIXED(Fuelbeds_english!AM216*2.54,1,0),AL216)</f>
        <v>1.5</v>
      </c>
      <c r="AN216" s="52" t="str">
        <f>+IF($AM216&gt;0,FIXED(Fuelbeds_english!AN216*2.242,1,0),$AM216)</f>
        <v>1.3</v>
      </c>
      <c r="AO216" s="52" t="str">
        <f>+IF($AM216&gt;0,FIXED(Fuelbeds_english!AO216*2.242,1,0),$AM216)</f>
        <v>1.0</v>
      </c>
      <c r="AP216" s="52" t="str">
        <f>+IF($AM216&gt;0,FIXED(Fuelbeds_english!AP216*2.242,1,0),$AM216)</f>
        <v>1.5</v>
      </c>
      <c r="AQ216" s="52" t="str">
        <f>+IF($AM216&gt;0,FIXED(Fuelbeds_english!AQ216*2.242,1,0),$AM216)</f>
        <v>1.2</v>
      </c>
      <c r="AR216" s="36">
        <v>28766</v>
      </c>
      <c r="AS216" s="36" t="s">
        <v>137</v>
      </c>
      <c r="AT216" s="36">
        <v>100</v>
      </c>
      <c r="AU216" s="44">
        <v>-1</v>
      </c>
      <c r="AV216" s="52">
        <f>+IF(AU216&gt;0,FIXED(Fuelbeds_english!AV216*2.54,1,0),AU216)</f>
        <v>-1</v>
      </c>
      <c r="AW216" s="52">
        <v>-1</v>
      </c>
      <c r="AX216" s="52">
        <v>-1</v>
      </c>
      <c r="AY216" s="52">
        <f>+IF(AX216&gt;0,FIXED(Fuelbeds_english!AY216*2.54,1,0),AX216)</f>
        <v>-1</v>
      </c>
      <c r="AZ216" s="59">
        <v>2</v>
      </c>
      <c r="BA216" s="36">
        <v>90</v>
      </c>
      <c r="BB216" s="52" t="str">
        <f>+IF(BA216&gt;0,FIXED(Fuelbeds_english!BB216*2.54,1,0),BA216)</f>
        <v>2.5</v>
      </c>
      <c r="BC216" s="59">
        <v>-1</v>
      </c>
      <c r="BD216" s="59">
        <v>-1</v>
      </c>
      <c r="BE216" s="59">
        <v>-1</v>
      </c>
      <c r="BF216" s="61">
        <v>23</v>
      </c>
      <c r="BG216" s="59">
        <v>17</v>
      </c>
      <c r="BH216" s="59">
        <v>-1</v>
      </c>
      <c r="BI216" s="59">
        <v>60</v>
      </c>
      <c r="BJ216" s="28">
        <v>1</v>
      </c>
      <c r="BK216" s="67">
        <v>32.789026402640268</v>
      </c>
      <c r="BL216" s="52" t="str">
        <f>+IF(BK216&gt;0,FIXED(Fuelbeds_english!BL216*2.54,1,0),BK216)</f>
        <v>0.5</v>
      </c>
      <c r="BM216" s="59">
        <v>3</v>
      </c>
      <c r="BN216" s="67">
        <v>29.510123762376242</v>
      </c>
      <c r="BO216" s="52" t="str">
        <f>+IF(BN216&gt;0,FIXED(Fuelbeds_english!BO216*2.54,1,0),BN216)</f>
        <v>0.4</v>
      </c>
    </row>
    <row r="217" spans="1:67" s="50" customFormat="1" x14ac:dyDescent="0.25">
      <c r="A217" s="50">
        <v>216</v>
      </c>
      <c r="B217" s="36">
        <v>7029</v>
      </c>
      <c r="C217" s="36">
        <v>7029</v>
      </c>
      <c r="D217" s="22" t="s">
        <v>4</v>
      </c>
      <c r="E217" s="38" t="s">
        <v>433</v>
      </c>
      <c r="F217" s="39">
        <v>14.919600000000001</v>
      </c>
      <c r="G217" s="56">
        <v>14.919600000000001</v>
      </c>
      <c r="H217" s="45">
        <f>+IF(F217&gt;0,INT(Fuelbeds_english!H217*2.471),F217)</f>
        <v>72</v>
      </c>
      <c r="I217" s="36">
        <f>+IF(F217&gt;0,INT(Fuelbeds_english!I217*0.3048),F217)</f>
        <v>14</v>
      </c>
      <c r="J217" s="45">
        <f>+IF(F217&gt;0,INT(Fuelbeds_english!J217*0.3048),F217)</f>
        <v>8</v>
      </c>
      <c r="K217" s="45">
        <f>+IF(F217&gt;0,INT(Fuelbeds_english!K217*2.54),F217)</f>
        <v>28</v>
      </c>
      <c r="L217" s="36">
        <v>28766</v>
      </c>
      <c r="M217" s="36" t="s">
        <v>137</v>
      </c>
      <c r="N217" s="36">
        <v>100</v>
      </c>
      <c r="O217" s="43">
        <v>8.1711726804123721</v>
      </c>
      <c r="P217" s="45">
        <f>+IF(O217&gt;0,INT(Fuelbeds_english!P217*2.471),O217)</f>
        <v>49</v>
      </c>
      <c r="Q217" s="36">
        <f>+IF(O217&gt;0,INT(Fuelbeds_english!Q217*0.3048),O217)</f>
        <v>8</v>
      </c>
      <c r="R217" s="45">
        <f>+IF(O217&gt;0,INT(Fuelbeds_english!R217*0.3048),O217)</f>
        <v>3</v>
      </c>
      <c r="S217" s="45">
        <f>+IF(O217&gt;0,INT(Fuelbeds_english!S217*2.54),O217)</f>
        <v>17</v>
      </c>
      <c r="T217" s="36">
        <v>28766</v>
      </c>
      <c r="U217" s="36" t="s">
        <v>137</v>
      </c>
      <c r="V217" s="36">
        <v>100</v>
      </c>
      <c r="W217" s="36">
        <v>1</v>
      </c>
      <c r="X217" s="98">
        <v>3</v>
      </c>
      <c r="Y217" s="29">
        <v>25</v>
      </c>
      <c r="Z217" s="88" t="str">
        <f>+IF(Y217&gt;0,FIXED(Fuelbeds_english!Z217*0.3048,1,0),Y217)</f>
        <v>1.2</v>
      </c>
      <c r="AA217" s="36">
        <v>85</v>
      </c>
      <c r="AB217" s="50">
        <v>28675</v>
      </c>
      <c r="AC217" s="50" t="s">
        <v>375</v>
      </c>
      <c r="AD217" s="50">
        <v>100</v>
      </c>
      <c r="AE217" s="42">
        <v>60</v>
      </c>
      <c r="AF217" s="52" t="str">
        <f>+IF(AE217&gt;0,FIXED(Fuelbeds_english!AF217*0.3048,1,0),AE217)</f>
        <v>3.0</v>
      </c>
      <c r="AG217" s="62">
        <v>100</v>
      </c>
      <c r="AH217" s="52" t="str">
        <f>+IF(AE217&gt;0,FIXED(Fuelbeds_english!AH217*2.242,1,0),AE217)</f>
        <v>5.4</v>
      </c>
      <c r="AI217" s="45">
        <v>42058</v>
      </c>
      <c r="AJ217" s="45" t="s">
        <v>421</v>
      </c>
      <c r="AK217" s="62">
        <v>100</v>
      </c>
      <c r="AL217" s="34">
        <v>11</v>
      </c>
      <c r="AM217" s="52" t="str">
        <f>+IF(AL217&gt;0,FIXED(Fuelbeds_english!AM217*2.54,1,0),AL217)</f>
        <v>1.5</v>
      </c>
      <c r="AN217" s="52" t="str">
        <f>+IF($AM217&gt;0,FIXED(Fuelbeds_english!AN217*2.242,1,0),$AM217)</f>
        <v>1.3</v>
      </c>
      <c r="AO217" s="52" t="str">
        <f>+IF($AM217&gt;0,FIXED(Fuelbeds_english!AO217*2.242,1,0),$AM217)</f>
        <v>1.0</v>
      </c>
      <c r="AP217" s="52" t="str">
        <f>+IF($AM217&gt;0,FIXED(Fuelbeds_english!AP217*2.242,1,0),$AM217)</f>
        <v>1.5</v>
      </c>
      <c r="AQ217" s="52" t="str">
        <f>+IF($AM217&gt;0,FIXED(Fuelbeds_english!AQ217*2.242,1,0),$AM217)</f>
        <v>1.2</v>
      </c>
      <c r="AR217" s="36">
        <v>28766</v>
      </c>
      <c r="AS217" s="36" t="s">
        <v>137</v>
      </c>
      <c r="AT217" s="36">
        <v>100</v>
      </c>
      <c r="AU217" s="44">
        <v>-1</v>
      </c>
      <c r="AV217" s="52">
        <f>+IF(AU217&gt;0,FIXED(Fuelbeds_english!AV217*2.54,1,0),AU217)</f>
        <v>-1</v>
      </c>
      <c r="AW217" s="52">
        <v>-1</v>
      </c>
      <c r="AX217" s="52">
        <v>-1</v>
      </c>
      <c r="AY217" s="52">
        <f>+IF(AX217&gt;0,FIXED(Fuelbeds_english!AY217*2.54,1,0),AX217)</f>
        <v>-1</v>
      </c>
      <c r="AZ217" s="59">
        <v>2</v>
      </c>
      <c r="BA217" s="36">
        <v>90</v>
      </c>
      <c r="BB217" s="52" t="str">
        <f>+IF(BA217&gt;0,FIXED(Fuelbeds_english!BB217*2.54,1,0),BA217)</f>
        <v>2.5</v>
      </c>
      <c r="BC217" s="59">
        <v>-1</v>
      </c>
      <c r="BD217" s="59">
        <v>-1</v>
      </c>
      <c r="BE217" s="59">
        <v>-1</v>
      </c>
      <c r="BF217" s="61">
        <v>15</v>
      </c>
      <c r="BG217" s="59">
        <v>25</v>
      </c>
      <c r="BH217" s="59">
        <v>-1</v>
      </c>
      <c r="BI217" s="59">
        <v>60</v>
      </c>
      <c r="BJ217" s="28">
        <v>1</v>
      </c>
      <c r="BK217" s="67">
        <v>32.936963696369638</v>
      </c>
      <c r="BL217" s="52" t="str">
        <f>+IF(BK217&gt;0,FIXED(Fuelbeds_english!BL217*2.54,1,0),BK217)</f>
        <v>0.5</v>
      </c>
      <c r="BM217" s="59">
        <v>3</v>
      </c>
      <c r="BN217" s="67">
        <v>29.643267326732676</v>
      </c>
      <c r="BO217" s="52" t="str">
        <f>+IF(BN217&gt;0,FIXED(Fuelbeds_english!BO217*2.54,1,0),BN217)</f>
        <v>0.4</v>
      </c>
    </row>
    <row r="218" spans="1:67" s="50" customFormat="1" x14ac:dyDescent="0.25">
      <c r="A218" s="50">
        <v>217</v>
      </c>
      <c r="B218" s="52">
        <v>7030</v>
      </c>
      <c r="C218" s="52">
        <v>7030</v>
      </c>
      <c r="D218" s="22" t="s">
        <v>4</v>
      </c>
      <c r="E218" s="39" t="s">
        <v>461</v>
      </c>
      <c r="F218" s="39">
        <v>5.3046100000000003</v>
      </c>
      <c r="G218" s="56">
        <v>5.3046100000000003</v>
      </c>
      <c r="H218" s="45">
        <f>+IF(F218&gt;0,INT(Fuelbeds_english!H218*2.471),F218)</f>
        <v>25</v>
      </c>
      <c r="I218" s="36">
        <f>+IF(F218&gt;0,INT(Fuelbeds_english!I218*0.3048),F218)</f>
        <v>6</v>
      </c>
      <c r="J218" s="45">
        <f>+IF(F218&gt;0,INT(Fuelbeds_english!J218*0.3048),F218)</f>
        <v>3</v>
      </c>
      <c r="K218" s="45">
        <f>+IF(F218&gt;0,INT(Fuelbeds_english!K218*2.54),F218)</f>
        <v>12</v>
      </c>
      <c r="L218" s="36">
        <v>28766</v>
      </c>
      <c r="M218" s="36" t="s">
        <v>137</v>
      </c>
      <c r="N218" s="36">
        <v>100</v>
      </c>
      <c r="O218" s="43">
        <v>2.9052309922680415</v>
      </c>
      <c r="P218" s="45">
        <f>+IF(O218&gt;0,INT(Fuelbeds_english!P218*2.471),O218)</f>
        <v>17</v>
      </c>
      <c r="Q218" s="36">
        <f>+IF(O218&gt;0,INT(Fuelbeds_english!Q218*0.3048),O218)</f>
        <v>3</v>
      </c>
      <c r="R218" s="45">
        <f>+IF(O218&gt;0,INT(Fuelbeds_english!R218*0.3048),O218)</f>
        <v>1</v>
      </c>
      <c r="S218" s="45">
        <f>+IF(O218&gt;0,INT(Fuelbeds_english!S218*2.54),O218)</f>
        <v>7</v>
      </c>
      <c r="T218" s="36">
        <v>28766</v>
      </c>
      <c r="U218" s="36" t="s">
        <v>137</v>
      </c>
      <c r="V218" s="36">
        <v>100</v>
      </c>
      <c r="W218" s="36">
        <v>1</v>
      </c>
      <c r="X218" s="98">
        <v>3</v>
      </c>
      <c r="Y218" s="29">
        <v>55</v>
      </c>
      <c r="Z218" s="88" t="str">
        <f>+IF(Y218&gt;0,FIXED(Fuelbeds_english!Z218*0.3048,1,0),Y218)</f>
        <v>1.2</v>
      </c>
      <c r="AA218" s="36">
        <v>85</v>
      </c>
      <c r="AB218" s="50">
        <v>28675</v>
      </c>
      <c r="AC218" s="50" t="s">
        <v>375</v>
      </c>
      <c r="AD218" s="50">
        <v>100</v>
      </c>
      <c r="AE218" s="42">
        <v>40</v>
      </c>
      <c r="AF218" s="52" t="str">
        <f>+IF(AE218&gt;0,FIXED(Fuelbeds_english!AF218*0.3048,1,0),AE218)</f>
        <v>0.2</v>
      </c>
      <c r="AG218" s="45">
        <v>0</v>
      </c>
      <c r="AH218" s="52" t="str">
        <f>+IF(AE218&gt;0,FIXED(Fuelbeds_english!AH218*2.242,1,0),AE218)</f>
        <v>0.2</v>
      </c>
      <c r="AI218" s="45">
        <v>42236</v>
      </c>
      <c r="AJ218" s="45" t="s">
        <v>207</v>
      </c>
      <c r="AK218" s="45">
        <v>100</v>
      </c>
      <c r="AL218" s="34">
        <v>17</v>
      </c>
      <c r="AM218" s="52" t="str">
        <f>+IF(AL218&gt;0,FIXED(Fuelbeds_english!AM218*2.54,1,0),AL218)</f>
        <v>2.3</v>
      </c>
      <c r="AN218" s="52" t="str">
        <f>+IF($AM218&gt;0,FIXED(Fuelbeds_english!AN218*2.242,1,0),$AM218)</f>
        <v>2.0</v>
      </c>
      <c r="AO218" s="52" t="str">
        <f>+IF($AM218&gt;0,FIXED(Fuelbeds_english!AO218*2.242,1,0),$AM218)</f>
        <v>1.6</v>
      </c>
      <c r="AP218" s="52" t="str">
        <f>+IF($AM218&gt;0,FIXED(Fuelbeds_english!AP218*2.242,1,0),$AM218)</f>
        <v>2.3</v>
      </c>
      <c r="AQ218" s="52" t="str">
        <f>+IF($AM218&gt;0,FIXED(Fuelbeds_english!AQ218*2.242,1,0),$AM218)</f>
        <v>1.8</v>
      </c>
      <c r="AR218" s="36">
        <v>28766</v>
      </c>
      <c r="AS218" s="36" t="s">
        <v>137</v>
      </c>
      <c r="AT218" s="36">
        <v>100</v>
      </c>
      <c r="AU218" s="44">
        <v>-1</v>
      </c>
      <c r="AV218" s="52">
        <f>+IF(AU218&gt;0,FIXED(Fuelbeds_english!AV218*2.54,1,0),AU218)</f>
        <v>-1</v>
      </c>
      <c r="AW218" s="52">
        <v>-1</v>
      </c>
      <c r="AX218" s="52">
        <v>-1</v>
      </c>
      <c r="AY218" s="52">
        <f>+IF(AX218&gt;0,FIXED(Fuelbeds_english!AY218*2.54,1,0),AX218)</f>
        <v>-1</v>
      </c>
      <c r="AZ218" s="59">
        <v>1</v>
      </c>
      <c r="BA218" s="36">
        <v>90</v>
      </c>
      <c r="BB218" s="52" t="str">
        <f>+IF(BA218&gt;0,FIXED(Fuelbeds_english!BB218*2.54,1,0),BA218)</f>
        <v>2.5</v>
      </c>
      <c r="BC218" s="59">
        <v>-1</v>
      </c>
      <c r="BD218" s="59">
        <v>-1</v>
      </c>
      <c r="BE218" s="59">
        <v>-1</v>
      </c>
      <c r="BF218" s="61">
        <v>5</v>
      </c>
      <c r="BG218" s="59">
        <v>55</v>
      </c>
      <c r="BH218" s="59">
        <v>-1</v>
      </c>
      <c r="BI218" s="59">
        <v>40</v>
      </c>
      <c r="BJ218" s="28">
        <v>1</v>
      </c>
      <c r="BK218" s="67">
        <v>49.75627887788778</v>
      </c>
      <c r="BL218" s="52" t="str">
        <f>+IF(BK218&gt;0,FIXED(Fuelbeds_english!BL218*2.54,1,0),BK218)</f>
        <v>0.5</v>
      </c>
      <c r="BM218" s="59">
        <v>3</v>
      </c>
      <c r="BN218" s="67">
        <v>44.780650990099005</v>
      </c>
      <c r="BO218" s="52" t="str">
        <f>+IF(BN218&gt;0,FIXED(Fuelbeds_english!BO218*2.54,1,0),BN218)</f>
        <v>0.4</v>
      </c>
    </row>
    <row r="219" spans="1:67" s="50" customFormat="1" x14ac:dyDescent="0.25">
      <c r="A219" s="50">
        <v>218</v>
      </c>
      <c r="B219" s="52" t="s">
        <v>522</v>
      </c>
      <c r="C219" s="52">
        <v>917031</v>
      </c>
      <c r="D219" s="22" t="s">
        <v>4</v>
      </c>
      <c r="E219" s="39" t="s">
        <v>460</v>
      </c>
      <c r="F219" s="39">
        <v>14.42</v>
      </c>
      <c r="G219" s="56">
        <v>14.42</v>
      </c>
      <c r="H219" s="45">
        <f>+IF(F219&gt;0,INT(Fuelbeds_english!H219*2.471),F219)</f>
        <v>70</v>
      </c>
      <c r="I219" s="36">
        <f>+IF(F219&gt;0,INT(Fuelbeds_english!I219*0.3048),F219)</f>
        <v>10</v>
      </c>
      <c r="J219" s="45">
        <f>+IF(F219&gt;0,INT(Fuelbeds_english!J219*0.3048),F219)</f>
        <v>6</v>
      </c>
      <c r="K219" s="45">
        <f>+IF(F219&gt;0,INT(Fuelbeds_english!K219*2.54),F219)</f>
        <v>20</v>
      </c>
      <c r="L219" s="36">
        <v>28766</v>
      </c>
      <c r="M219" s="36" t="s">
        <v>137</v>
      </c>
      <c r="N219" s="36">
        <v>100</v>
      </c>
      <c r="O219" s="43">
        <v>7.8975515463917532</v>
      </c>
      <c r="P219" s="45">
        <f>+IF(O219&gt;0,INT(Fuelbeds_english!P219*2.471),O219)</f>
        <v>48</v>
      </c>
      <c r="Q219" s="36">
        <f>+IF(O219&gt;0,INT(Fuelbeds_english!Q219*0.3048),O219)</f>
        <v>6</v>
      </c>
      <c r="R219" s="45">
        <f>+IF(O219&gt;0,INT(Fuelbeds_english!R219*0.3048),O219)</f>
        <v>2</v>
      </c>
      <c r="S219" s="45">
        <f>+IF(O219&gt;0,INT(Fuelbeds_english!S219*2.54),O219)</f>
        <v>12</v>
      </c>
      <c r="T219" s="36">
        <v>28766</v>
      </c>
      <c r="U219" s="36" t="s">
        <v>137</v>
      </c>
      <c r="V219" s="36">
        <v>100</v>
      </c>
      <c r="W219" s="36">
        <v>1</v>
      </c>
      <c r="X219" s="98">
        <v>3</v>
      </c>
      <c r="Y219" s="29">
        <v>46</v>
      </c>
      <c r="Z219" s="88" t="str">
        <f>+IF(Y219&gt;0,FIXED(Fuelbeds_english!Z219*0.3048,1,0),Y219)</f>
        <v>1.2</v>
      </c>
      <c r="AA219" s="36">
        <v>85</v>
      </c>
      <c r="AB219" s="50">
        <v>28675</v>
      </c>
      <c r="AC219" s="50" t="s">
        <v>375</v>
      </c>
      <c r="AD219" s="50">
        <v>100</v>
      </c>
      <c r="AE219" s="42">
        <v>40</v>
      </c>
      <c r="AF219" s="52" t="str">
        <f>+IF(AE219&gt;0,FIXED(Fuelbeds_english!AF219*0.3048,1,0),AE219)</f>
        <v>0.2</v>
      </c>
      <c r="AG219" s="45">
        <v>0</v>
      </c>
      <c r="AH219" s="52" t="str">
        <f>+IF(AE219&gt;0,FIXED(Fuelbeds_english!AH219*2.242,1,0),AE219)</f>
        <v>1.2</v>
      </c>
      <c r="AI219" s="45">
        <v>41976</v>
      </c>
      <c r="AJ219" s="45" t="s">
        <v>209</v>
      </c>
      <c r="AK219" s="45">
        <v>100</v>
      </c>
      <c r="AL219" s="34">
        <v>17</v>
      </c>
      <c r="AM219" s="52" t="str">
        <f>+IF(AL219&gt;0,FIXED(Fuelbeds_english!AM219*2.54,1,0),AL219)</f>
        <v>2.3</v>
      </c>
      <c r="AN219" s="52" t="str">
        <f>+IF($AM219&gt;0,FIXED(Fuelbeds_english!AN219*2.242,1,0),$AM219)</f>
        <v>2.0</v>
      </c>
      <c r="AO219" s="52" t="str">
        <f>+IF($AM219&gt;0,FIXED(Fuelbeds_english!AO219*2.242,1,0),$AM219)</f>
        <v>1.6</v>
      </c>
      <c r="AP219" s="52" t="str">
        <f>+IF($AM219&gt;0,FIXED(Fuelbeds_english!AP219*2.242,1,0),$AM219)</f>
        <v>2.3</v>
      </c>
      <c r="AQ219" s="52" t="str">
        <f>+IF($AM219&gt;0,FIXED(Fuelbeds_english!AQ219*2.242,1,0),$AM219)</f>
        <v>1.8</v>
      </c>
      <c r="AR219" s="36">
        <v>28766</v>
      </c>
      <c r="AS219" s="36" t="s">
        <v>137</v>
      </c>
      <c r="AT219" s="36">
        <v>100</v>
      </c>
      <c r="AU219" s="44">
        <v>-1</v>
      </c>
      <c r="AV219" s="52">
        <f>+IF(AU219&gt;0,FIXED(Fuelbeds_english!AV219*2.54,1,0),AU219)</f>
        <v>-1</v>
      </c>
      <c r="AW219" s="52">
        <v>-1</v>
      </c>
      <c r="AX219" s="52">
        <v>-1</v>
      </c>
      <c r="AY219" s="52">
        <f>+IF(AX219&gt;0,FIXED(Fuelbeds_english!AY219*2.54,1,0),AX219)</f>
        <v>-1</v>
      </c>
      <c r="AZ219" s="59">
        <v>1</v>
      </c>
      <c r="BA219" s="36">
        <v>90</v>
      </c>
      <c r="BB219" s="52" t="str">
        <f>+IF(BA219&gt;0,FIXED(Fuelbeds_english!BB219*2.54,1,0),BA219)</f>
        <v>2.5</v>
      </c>
      <c r="BC219" s="59">
        <v>-1</v>
      </c>
      <c r="BD219" s="59">
        <v>-1</v>
      </c>
      <c r="BE219" s="59">
        <v>-1</v>
      </c>
      <c r="BF219" s="61">
        <v>14</v>
      </c>
      <c r="BG219" s="59">
        <v>46</v>
      </c>
      <c r="BH219" s="59">
        <v>-1</v>
      </c>
      <c r="BI219" s="59">
        <v>40</v>
      </c>
      <c r="BJ219" s="28">
        <v>1</v>
      </c>
      <c r="BK219" s="67">
        <v>49.851485148514854</v>
      </c>
      <c r="BL219" s="52" t="str">
        <f>+IF(BK219&gt;0,FIXED(Fuelbeds_english!BL219*2.54,1,0),BK219)</f>
        <v>0.5</v>
      </c>
      <c r="BM219" s="59">
        <v>3</v>
      </c>
      <c r="BN219" s="67">
        <v>44.866336633663366</v>
      </c>
      <c r="BO219" s="52" t="str">
        <f>+IF(BN219&gt;0,FIXED(Fuelbeds_english!BO219*2.54,1,0),BN219)</f>
        <v>0.4</v>
      </c>
    </row>
    <row r="220" spans="1:67" s="50" customFormat="1" x14ac:dyDescent="0.25">
      <c r="A220" s="50">
        <v>219</v>
      </c>
      <c r="B220" s="52" t="s">
        <v>523</v>
      </c>
      <c r="C220" s="52">
        <v>927031</v>
      </c>
      <c r="D220" s="22" t="s">
        <v>4</v>
      </c>
      <c r="E220" s="39" t="s">
        <v>460</v>
      </c>
      <c r="F220" s="39">
        <v>56.9542</v>
      </c>
      <c r="G220" s="56">
        <v>56.9542</v>
      </c>
      <c r="H220" s="45">
        <f>+IF(F220&gt;0,INT(Fuelbeds_english!H220*2.471),F220)</f>
        <v>276</v>
      </c>
      <c r="I220" s="36">
        <f>+IF(F220&gt;0,INT(Fuelbeds_english!I220*0.3048),F220)</f>
        <v>19</v>
      </c>
      <c r="J220" s="45">
        <f>+IF(F220&gt;0,INT(Fuelbeds_english!J220*0.3048),F220)</f>
        <v>11</v>
      </c>
      <c r="K220" s="45">
        <f>+IF(F220&gt;0,INT(Fuelbeds_english!K220*2.54),F220)</f>
        <v>39</v>
      </c>
      <c r="L220" s="36">
        <v>28766</v>
      </c>
      <c r="M220" s="36" t="s">
        <v>137</v>
      </c>
      <c r="N220" s="36">
        <v>100</v>
      </c>
      <c r="O220" s="43">
        <v>31.192699742268044</v>
      </c>
      <c r="P220" s="45">
        <f>+IF(O220&gt;0,INT(Fuelbeds_english!P220*2.471),O220)</f>
        <v>190</v>
      </c>
      <c r="Q220" s="36">
        <f>+IF(O220&gt;0,INT(Fuelbeds_english!Q220*0.3048),O220)</f>
        <v>11</v>
      </c>
      <c r="R220" s="45">
        <f>+IF(O220&gt;0,INT(Fuelbeds_english!R220*0.3048),O220)</f>
        <v>4</v>
      </c>
      <c r="S220" s="45">
        <f>+IF(O220&gt;0,INT(Fuelbeds_english!S220*2.54),O220)</f>
        <v>23</v>
      </c>
      <c r="T220" s="36">
        <v>28766</v>
      </c>
      <c r="U220" s="36" t="s">
        <v>137</v>
      </c>
      <c r="V220" s="36">
        <v>100</v>
      </c>
      <c r="W220" s="36">
        <v>1</v>
      </c>
      <c r="X220" s="98">
        <v>3</v>
      </c>
      <c r="Y220" s="29">
        <v>3</v>
      </c>
      <c r="Z220" s="88" t="str">
        <f>+IF(Y220&gt;0,FIXED(Fuelbeds_english!Z220*0.3048,1,0),Y220)</f>
        <v>1.2</v>
      </c>
      <c r="AA220" s="36">
        <v>85</v>
      </c>
      <c r="AB220" s="50">
        <v>28675</v>
      </c>
      <c r="AC220" s="50" t="s">
        <v>375</v>
      </c>
      <c r="AD220" s="50">
        <v>100</v>
      </c>
      <c r="AE220" s="42">
        <v>40</v>
      </c>
      <c r="AF220" s="52" t="str">
        <f>+IF(AE220&gt;0,FIXED(Fuelbeds_english!AF220*0.3048,1,0),AE220)</f>
        <v>0.2</v>
      </c>
      <c r="AG220" s="45">
        <v>0</v>
      </c>
      <c r="AH220" s="52" t="str">
        <f>+IF(AE220&gt;0,FIXED(Fuelbeds_english!AH220*2.242,1,0),AE220)</f>
        <v>1.2</v>
      </c>
      <c r="AI220" s="45">
        <v>41976</v>
      </c>
      <c r="AJ220" s="45" t="s">
        <v>209</v>
      </c>
      <c r="AK220" s="45">
        <v>100</v>
      </c>
      <c r="AL220" s="34">
        <v>16.997324742268045</v>
      </c>
      <c r="AM220" s="52" t="str">
        <f>+IF(AL220&gt;0,FIXED(Fuelbeds_english!AM220*2.54,1,0),AL220)</f>
        <v>2.3</v>
      </c>
      <c r="AN220" s="52" t="str">
        <f>+IF($AM220&gt;0,FIXED(Fuelbeds_english!AN220*2.242,1,0),$AM220)</f>
        <v>2.0</v>
      </c>
      <c r="AO220" s="52" t="str">
        <f>+IF($AM220&gt;0,FIXED(Fuelbeds_english!AO220*2.242,1,0),$AM220)</f>
        <v>1.5</v>
      </c>
      <c r="AP220" s="52" t="str">
        <f>+IF($AM220&gt;0,FIXED(Fuelbeds_english!AP220*2.242,1,0),$AM220)</f>
        <v>2.3</v>
      </c>
      <c r="AQ220" s="52" t="str">
        <f>+IF($AM220&gt;0,FIXED(Fuelbeds_english!AQ220*2.242,1,0),$AM220)</f>
        <v>1.8</v>
      </c>
      <c r="AR220" s="36">
        <v>28766</v>
      </c>
      <c r="AS220" s="36" t="s">
        <v>137</v>
      </c>
      <c r="AT220" s="36">
        <v>100</v>
      </c>
      <c r="AU220" s="44">
        <v>-1</v>
      </c>
      <c r="AV220" s="52">
        <f>+IF(AU220&gt;0,FIXED(Fuelbeds_english!AV220*2.54,1,0),AU220)</f>
        <v>-1</v>
      </c>
      <c r="AW220" s="52">
        <v>-1</v>
      </c>
      <c r="AX220" s="52">
        <v>-1</v>
      </c>
      <c r="AY220" s="52">
        <f>+IF(AX220&gt;0,FIXED(Fuelbeds_english!AY220*2.54,1,0),AX220)</f>
        <v>-1</v>
      </c>
      <c r="AZ220" s="59">
        <v>1</v>
      </c>
      <c r="BA220" s="36">
        <v>90</v>
      </c>
      <c r="BB220" s="52" t="str">
        <f>+IF(BA220&gt;0,FIXED(Fuelbeds_english!BB220*2.54,1,0),BA220)</f>
        <v>2.5</v>
      </c>
      <c r="BC220" s="59">
        <v>-1</v>
      </c>
      <c r="BD220" s="59">
        <v>-1</v>
      </c>
      <c r="BE220" s="59">
        <v>-1</v>
      </c>
      <c r="BF220" s="61">
        <v>57</v>
      </c>
      <c r="BG220" s="59">
        <v>3</v>
      </c>
      <c r="BH220" s="59">
        <v>-1</v>
      </c>
      <c r="BI220" s="59">
        <v>40</v>
      </c>
      <c r="BJ220" s="28">
        <v>1</v>
      </c>
      <c r="BK220" s="67">
        <v>49.467161716171617</v>
      </c>
      <c r="BL220" s="52" t="str">
        <f>+IF(BK220&gt;0,FIXED(Fuelbeds_english!BL220*2.54,1,0),BK220)</f>
        <v>0.5</v>
      </c>
      <c r="BM220" s="59">
        <v>3</v>
      </c>
      <c r="BN220" s="67">
        <v>44.520445544554448</v>
      </c>
      <c r="BO220" s="52" t="str">
        <f>+IF(BN220&gt;0,FIXED(Fuelbeds_english!BO220*2.54,1,0),BN220)</f>
        <v>0.4</v>
      </c>
    </row>
    <row r="221" spans="1:67" s="50" customFormat="1" x14ac:dyDescent="0.25">
      <c r="A221" s="50">
        <v>220</v>
      </c>
      <c r="B221" s="52" t="s">
        <v>524</v>
      </c>
      <c r="C221" s="68">
        <v>917032</v>
      </c>
      <c r="D221" s="22" t="s">
        <v>4</v>
      </c>
      <c r="E221" s="39" t="s">
        <v>462</v>
      </c>
      <c r="F221" s="39">
        <v>8.26633</v>
      </c>
      <c r="G221" s="56">
        <v>8.26633</v>
      </c>
      <c r="H221" s="45">
        <f>+IF(F221&gt;0,INT(Fuelbeds_english!H221*2.471),F221)</f>
        <v>40</v>
      </c>
      <c r="I221" s="36">
        <f>+IF(F221&gt;0,INT(Fuelbeds_english!I221*0.3048),F221)</f>
        <v>10</v>
      </c>
      <c r="J221" s="45">
        <f>+IF(F221&gt;0,INT(Fuelbeds_english!J221*0.3048),F221)</f>
        <v>5</v>
      </c>
      <c r="K221" s="45">
        <f>+IF(F221&gt;0,INT(Fuelbeds_english!K221*2.54),F221)</f>
        <v>19</v>
      </c>
      <c r="L221" s="36">
        <v>28766</v>
      </c>
      <c r="M221" s="36" t="s">
        <v>137</v>
      </c>
      <c r="N221" s="36">
        <v>100</v>
      </c>
      <c r="O221" s="43">
        <v>4.5273070231958767</v>
      </c>
      <c r="P221" s="45">
        <f>+IF(O221&gt;0,INT(Fuelbeds_english!P221*2.471),O221)</f>
        <v>27</v>
      </c>
      <c r="Q221" s="36">
        <f>+IF(O221&gt;0,INT(Fuelbeds_english!Q221*0.3048),O221)</f>
        <v>6</v>
      </c>
      <c r="R221" s="45">
        <f>+IF(O221&gt;0,INT(Fuelbeds_english!R221*0.3048),O221)</f>
        <v>2</v>
      </c>
      <c r="S221" s="45">
        <f>+IF(O221&gt;0,INT(Fuelbeds_english!S221*2.54),O221)</f>
        <v>11</v>
      </c>
      <c r="T221" s="36">
        <v>28766</v>
      </c>
      <c r="U221" s="36" t="s">
        <v>137</v>
      </c>
      <c r="V221" s="36">
        <v>100</v>
      </c>
      <c r="W221" s="36">
        <v>1</v>
      </c>
      <c r="X221" s="98">
        <v>3</v>
      </c>
      <c r="Y221" s="29">
        <v>52</v>
      </c>
      <c r="Z221" s="88" t="str">
        <f>+IF(Y221&gt;0,FIXED(Fuelbeds_english!Z221*0.3048,1,0),Y221)</f>
        <v>1.2</v>
      </c>
      <c r="AA221" s="36">
        <v>85</v>
      </c>
      <c r="AB221" s="50">
        <v>28675</v>
      </c>
      <c r="AC221" s="50" t="s">
        <v>375</v>
      </c>
      <c r="AD221" s="50">
        <v>100</v>
      </c>
      <c r="AE221" s="42">
        <v>40</v>
      </c>
      <c r="AF221" s="52" t="str">
        <f>+IF(AE221&gt;0,FIXED(Fuelbeds_english!AF221*0.3048,1,0),AE221)</f>
        <v>0.2</v>
      </c>
      <c r="AG221" s="45">
        <v>0</v>
      </c>
      <c r="AH221" s="52" t="str">
        <f>+IF(AE221&gt;0,FIXED(Fuelbeds_english!AH221*2.242,1,0),AE221)</f>
        <v>0.4</v>
      </c>
      <c r="AI221" s="45">
        <v>42269</v>
      </c>
      <c r="AJ221" s="45" t="s">
        <v>206</v>
      </c>
      <c r="AK221" s="45">
        <v>100</v>
      </c>
      <c r="AL221" s="34">
        <v>17</v>
      </c>
      <c r="AM221" s="52" t="str">
        <f>+IF(AL221&gt;0,FIXED(Fuelbeds_english!AM221*2.54,1,0),AL221)</f>
        <v>2.3</v>
      </c>
      <c r="AN221" s="52" t="str">
        <f>+IF($AM221&gt;0,FIXED(Fuelbeds_english!AN221*2.242,1,0),$AM221)</f>
        <v>2.0</v>
      </c>
      <c r="AO221" s="52" t="str">
        <f>+IF($AM221&gt;0,FIXED(Fuelbeds_english!AO221*2.242,1,0),$AM221)</f>
        <v>1.6</v>
      </c>
      <c r="AP221" s="52" t="str">
        <f>+IF($AM221&gt;0,FIXED(Fuelbeds_english!AP221*2.242,1,0),$AM221)</f>
        <v>2.3</v>
      </c>
      <c r="AQ221" s="52" t="str">
        <f>+IF($AM221&gt;0,FIXED(Fuelbeds_english!AQ221*2.242,1,0),$AM221)</f>
        <v>1.8</v>
      </c>
      <c r="AR221" s="36">
        <v>28766</v>
      </c>
      <c r="AS221" s="36" t="s">
        <v>137</v>
      </c>
      <c r="AT221" s="36">
        <v>100</v>
      </c>
      <c r="AU221" s="44">
        <v>-1</v>
      </c>
      <c r="AV221" s="52">
        <f>+IF(AU221&gt;0,FIXED(Fuelbeds_english!AV221*2.54,1,0),AU221)</f>
        <v>-1</v>
      </c>
      <c r="AW221" s="52">
        <v>-1</v>
      </c>
      <c r="AX221" s="52">
        <v>-1</v>
      </c>
      <c r="AY221" s="52">
        <f>+IF(AX221&gt;0,FIXED(Fuelbeds_english!AY221*2.54,1,0),AX221)</f>
        <v>-1</v>
      </c>
      <c r="AZ221" s="59">
        <v>1</v>
      </c>
      <c r="BA221" s="36">
        <v>90</v>
      </c>
      <c r="BB221" s="52" t="str">
        <f>+IF(BA221&gt;0,FIXED(Fuelbeds_english!BB221*2.54,1,0),BA221)</f>
        <v>2.5</v>
      </c>
      <c r="BC221" s="59">
        <v>-1</v>
      </c>
      <c r="BD221" s="59">
        <v>-1</v>
      </c>
      <c r="BE221" s="59">
        <v>-1</v>
      </c>
      <c r="BF221" s="61">
        <v>8</v>
      </c>
      <c r="BG221" s="59">
        <v>52</v>
      </c>
      <c r="BH221" s="59">
        <v>-1</v>
      </c>
      <c r="BI221" s="59">
        <v>40</v>
      </c>
      <c r="BJ221" s="28">
        <v>1</v>
      </c>
      <c r="BK221" s="67">
        <v>49.724694719471941</v>
      </c>
      <c r="BL221" s="52" t="str">
        <f>+IF(BK221&gt;0,FIXED(Fuelbeds_english!BL221*2.54,1,0),BK221)</f>
        <v>0.5</v>
      </c>
      <c r="BM221" s="59">
        <v>3</v>
      </c>
      <c r="BN221" s="67">
        <v>44.752225247524748</v>
      </c>
      <c r="BO221" s="52" t="str">
        <f>+IF(BN221&gt;0,FIXED(Fuelbeds_english!BO221*2.54,1,0),BN221)</f>
        <v>0.4</v>
      </c>
    </row>
    <row r="222" spans="1:67" s="50" customFormat="1" x14ac:dyDescent="0.25">
      <c r="A222" s="50">
        <v>221</v>
      </c>
      <c r="B222" s="52" t="s">
        <v>525</v>
      </c>
      <c r="C222" s="68">
        <v>927032</v>
      </c>
      <c r="D222" s="22" t="s">
        <v>4</v>
      </c>
      <c r="E222" s="39" t="s">
        <v>462</v>
      </c>
      <c r="F222" s="39">
        <v>55.867199999999997</v>
      </c>
      <c r="G222" s="56">
        <v>55.867199999999997</v>
      </c>
      <c r="H222" s="45">
        <f>+IF(F222&gt;0,INT(Fuelbeds_english!H222*2.471),F222)</f>
        <v>271</v>
      </c>
      <c r="I222" s="36">
        <f>+IF(F222&gt;0,INT(Fuelbeds_english!I222*0.3048),F222)</f>
        <v>19</v>
      </c>
      <c r="J222" s="45">
        <f>+IF(F222&gt;0,INT(Fuelbeds_english!J222*0.3048),F222)</f>
        <v>11</v>
      </c>
      <c r="K222" s="45">
        <f>+IF(F222&gt;0,INT(Fuelbeds_english!K222*2.54),F222)</f>
        <v>38</v>
      </c>
      <c r="L222" s="36">
        <v>28766</v>
      </c>
      <c r="M222" s="36" t="s">
        <v>137</v>
      </c>
      <c r="N222" s="36">
        <v>100</v>
      </c>
      <c r="O222" s="43">
        <v>30.597371134020619</v>
      </c>
      <c r="P222" s="45">
        <f>+IF(O222&gt;0,INT(Fuelbeds_english!P222*2.471),O222)</f>
        <v>186</v>
      </c>
      <c r="Q222" s="36">
        <f>+IF(O222&gt;0,INT(Fuelbeds_english!Q222*0.3048),O222)</f>
        <v>11</v>
      </c>
      <c r="R222" s="45">
        <f>+IF(O222&gt;0,INT(Fuelbeds_english!R222*0.3048),O222)</f>
        <v>4</v>
      </c>
      <c r="S222" s="45">
        <f>+IF(O222&gt;0,INT(Fuelbeds_english!S222*2.54),O222)</f>
        <v>23</v>
      </c>
      <c r="T222" s="36">
        <v>28766</v>
      </c>
      <c r="U222" s="36" t="s">
        <v>137</v>
      </c>
      <c r="V222" s="36">
        <v>100</v>
      </c>
      <c r="W222" s="36">
        <v>1</v>
      </c>
      <c r="X222" s="98">
        <v>3</v>
      </c>
      <c r="Y222" s="29">
        <v>4</v>
      </c>
      <c r="Z222" s="88" t="str">
        <f>+IF(Y222&gt;0,FIXED(Fuelbeds_english!Z222*0.3048,1,0),Y222)</f>
        <v>1.2</v>
      </c>
      <c r="AA222" s="36">
        <v>85</v>
      </c>
      <c r="AB222" s="50">
        <v>28675</v>
      </c>
      <c r="AC222" s="50" t="s">
        <v>375</v>
      </c>
      <c r="AD222" s="50">
        <v>100</v>
      </c>
      <c r="AE222" s="42">
        <v>40</v>
      </c>
      <c r="AF222" s="52" t="str">
        <f>+IF(AE222&gt;0,FIXED(Fuelbeds_english!AF222*0.3048,1,0),AE222)</f>
        <v>0.2</v>
      </c>
      <c r="AG222" s="45">
        <v>0</v>
      </c>
      <c r="AH222" s="52" t="str">
        <f>+IF(AE222&gt;0,FIXED(Fuelbeds_english!AH222*2.242,1,0),AE222)</f>
        <v>0.4</v>
      </c>
      <c r="AI222" s="45">
        <v>42269</v>
      </c>
      <c r="AJ222" s="45" t="s">
        <v>206</v>
      </c>
      <c r="AK222" s="45">
        <v>100</v>
      </c>
      <c r="AL222" s="34">
        <v>16.972659793814433</v>
      </c>
      <c r="AM222" s="52" t="str">
        <f>+IF(AL222&gt;0,FIXED(Fuelbeds_english!AM222*2.54,1,0),AL222)</f>
        <v>2.3</v>
      </c>
      <c r="AN222" s="52" t="str">
        <f>+IF($AM222&gt;0,FIXED(Fuelbeds_english!AN222*2.242,1,0),$AM222)</f>
        <v>2.0</v>
      </c>
      <c r="AO222" s="52" t="str">
        <f>+IF($AM222&gt;0,FIXED(Fuelbeds_english!AO222*2.242,1,0),$AM222)</f>
        <v>1.5</v>
      </c>
      <c r="AP222" s="52" t="str">
        <f>+IF($AM222&gt;0,FIXED(Fuelbeds_english!AP222*2.242,1,0),$AM222)</f>
        <v>2.3</v>
      </c>
      <c r="AQ222" s="52" t="str">
        <f>+IF($AM222&gt;0,FIXED(Fuelbeds_english!AQ222*2.242,1,0),$AM222)</f>
        <v>1.8</v>
      </c>
      <c r="AR222" s="36">
        <v>28766</v>
      </c>
      <c r="AS222" s="36" t="s">
        <v>137</v>
      </c>
      <c r="AT222" s="36">
        <v>100</v>
      </c>
      <c r="AU222" s="44">
        <v>-1</v>
      </c>
      <c r="AV222" s="52">
        <f>+IF(AU222&gt;0,FIXED(Fuelbeds_english!AV222*2.54,1,0),AU222)</f>
        <v>-1</v>
      </c>
      <c r="AW222" s="52">
        <v>-1</v>
      </c>
      <c r="AX222" s="52">
        <v>-1</v>
      </c>
      <c r="AY222" s="52">
        <f>+IF(AX222&gt;0,FIXED(Fuelbeds_english!AY222*2.54,1,0),AX222)</f>
        <v>-1</v>
      </c>
      <c r="AZ222" s="59">
        <v>1</v>
      </c>
      <c r="BA222" s="36">
        <v>90</v>
      </c>
      <c r="BB222" s="52" t="str">
        <f>+IF(BA222&gt;0,FIXED(Fuelbeds_english!BB222*2.54,1,0),BA222)</f>
        <v>2.5</v>
      </c>
      <c r="BC222" s="59">
        <v>-1</v>
      </c>
      <c r="BD222" s="59">
        <v>-1</v>
      </c>
      <c r="BE222" s="59">
        <v>-1</v>
      </c>
      <c r="BF222" s="61">
        <v>56</v>
      </c>
      <c r="BG222" s="59">
        <v>4</v>
      </c>
      <c r="BH222" s="59">
        <v>-1</v>
      </c>
      <c r="BI222" s="59">
        <v>40</v>
      </c>
      <c r="BJ222" s="28">
        <v>1</v>
      </c>
      <c r="BK222" s="67">
        <v>49.395379537953787</v>
      </c>
      <c r="BL222" s="52" t="str">
        <f>+IF(BK222&gt;0,FIXED(Fuelbeds_english!BL222*2.54,1,0),BK222)</f>
        <v>0.5</v>
      </c>
      <c r="BM222" s="59">
        <v>3</v>
      </c>
      <c r="BN222" s="67">
        <v>44.455841584158414</v>
      </c>
      <c r="BO222" s="52" t="str">
        <f>+IF(BN222&gt;0,FIXED(Fuelbeds_english!BO222*2.54,1,0),BN222)</f>
        <v>0.4</v>
      </c>
    </row>
    <row r="223" spans="1:67" s="50" customFormat="1" x14ac:dyDescent="0.25">
      <c r="A223" s="50">
        <v>222</v>
      </c>
      <c r="B223" s="52" t="s">
        <v>526</v>
      </c>
      <c r="C223" s="68">
        <v>917033</v>
      </c>
      <c r="D223" s="22" t="s">
        <v>4</v>
      </c>
      <c r="E223" s="39" t="s">
        <v>463</v>
      </c>
      <c r="F223" s="39">
        <v>8.9307599999999994</v>
      </c>
      <c r="G223" s="56">
        <v>8.9307599999999994</v>
      </c>
      <c r="H223" s="45">
        <f>+IF(F223&gt;0,INT(Fuelbeds_english!H223*2.471),F223)</f>
        <v>43</v>
      </c>
      <c r="I223" s="36">
        <f>+IF(F223&gt;0,INT(Fuelbeds_english!I223*0.3048),F223)</f>
        <v>10</v>
      </c>
      <c r="J223" s="45">
        <f>+IF(F223&gt;0,INT(Fuelbeds_english!J223*0.3048),F223)</f>
        <v>6</v>
      </c>
      <c r="K223" s="45">
        <f>+IF(F223&gt;0,INT(Fuelbeds_english!K223*2.54),F223)</f>
        <v>20</v>
      </c>
      <c r="L223" s="36">
        <v>28766</v>
      </c>
      <c r="M223" s="36" t="s">
        <v>137</v>
      </c>
      <c r="N223" s="36">
        <v>100</v>
      </c>
      <c r="O223" s="43">
        <v>4.8912023195876291</v>
      </c>
      <c r="P223" s="45">
        <f>+IF(O223&gt;0,INT(Fuelbeds_english!P223*2.471),O223)</f>
        <v>29</v>
      </c>
      <c r="Q223" s="36">
        <f>+IF(O223&gt;0,INT(Fuelbeds_english!Q223*0.3048),O223)</f>
        <v>6</v>
      </c>
      <c r="R223" s="45">
        <f>+IF(O223&gt;0,INT(Fuelbeds_english!R223*0.3048),O223)</f>
        <v>2</v>
      </c>
      <c r="S223" s="45">
        <f>+IF(O223&gt;0,INT(Fuelbeds_english!S223*2.54),O223)</f>
        <v>12</v>
      </c>
      <c r="T223" s="36">
        <v>28766</v>
      </c>
      <c r="U223" s="36" t="s">
        <v>137</v>
      </c>
      <c r="V223" s="36">
        <v>100</v>
      </c>
      <c r="W223" s="36">
        <v>1</v>
      </c>
      <c r="X223" s="98">
        <v>3</v>
      </c>
      <c r="Y223" s="29">
        <v>51</v>
      </c>
      <c r="Z223" s="88" t="str">
        <f>+IF(Y223&gt;0,FIXED(Fuelbeds_english!Z223*0.3048,1,0),Y223)</f>
        <v>1.2</v>
      </c>
      <c r="AA223" s="36">
        <v>85</v>
      </c>
      <c r="AB223" s="50">
        <v>28675</v>
      </c>
      <c r="AC223" s="50" t="s">
        <v>375</v>
      </c>
      <c r="AD223" s="50">
        <v>100</v>
      </c>
      <c r="AE223" s="42">
        <v>40</v>
      </c>
      <c r="AF223" s="52" t="str">
        <f>+IF(AE223&gt;0,FIXED(Fuelbeds_english!AF223*0.3048,1,0),AE223)</f>
        <v>0.2</v>
      </c>
      <c r="AG223" s="45">
        <v>0</v>
      </c>
      <c r="AH223" s="52" t="str">
        <f>+IF(AE223&gt;0,FIXED(Fuelbeds_english!AH223*2.242,1,0),AE223)</f>
        <v>0.2</v>
      </c>
      <c r="AI223" s="45">
        <v>26716</v>
      </c>
      <c r="AJ223" s="45" t="s">
        <v>208</v>
      </c>
      <c r="AK223" s="45">
        <v>100</v>
      </c>
      <c r="AL223" s="34">
        <v>16.9906793814433</v>
      </c>
      <c r="AM223" s="52" t="str">
        <f>+IF(AL223&gt;0,FIXED(Fuelbeds_english!AM223*2.54,1,0),AL223)</f>
        <v>2.3</v>
      </c>
      <c r="AN223" s="52" t="str">
        <f>+IF($AM223&gt;0,FIXED(Fuelbeds_english!AN223*2.242,1,0),$AM223)</f>
        <v>2.0</v>
      </c>
      <c r="AO223" s="52" t="str">
        <f>+IF($AM223&gt;0,FIXED(Fuelbeds_english!AO223*2.242,1,0),$AM223)</f>
        <v>1.5</v>
      </c>
      <c r="AP223" s="52" t="str">
        <f>+IF($AM223&gt;0,FIXED(Fuelbeds_english!AP223*2.242,1,0),$AM223)</f>
        <v>2.3</v>
      </c>
      <c r="AQ223" s="52" t="str">
        <f>+IF($AM223&gt;0,FIXED(Fuelbeds_english!AQ223*2.242,1,0),$AM223)</f>
        <v>1.8</v>
      </c>
      <c r="AR223" s="36">
        <v>28766</v>
      </c>
      <c r="AS223" s="36" t="s">
        <v>137</v>
      </c>
      <c r="AT223" s="36">
        <v>100</v>
      </c>
      <c r="AU223" s="44">
        <v>-1</v>
      </c>
      <c r="AV223" s="52">
        <f>+IF(AU223&gt;0,FIXED(Fuelbeds_english!AV223*2.54,1,0),AU223)</f>
        <v>-1</v>
      </c>
      <c r="AW223" s="52">
        <v>-1</v>
      </c>
      <c r="AX223" s="52">
        <v>-1</v>
      </c>
      <c r="AY223" s="52">
        <f>+IF(AX223&gt;0,FIXED(Fuelbeds_english!AY223*2.54,1,0),AX223)</f>
        <v>-1</v>
      </c>
      <c r="AZ223" s="59">
        <v>1</v>
      </c>
      <c r="BA223" s="36">
        <v>90</v>
      </c>
      <c r="BB223" s="52" t="str">
        <f>+IF(BA223&gt;0,FIXED(Fuelbeds_english!BB223*2.54,1,0),BA223)</f>
        <v>2.5</v>
      </c>
      <c r="BC223" s="59">
        <v>-1</v>
      </c>
      <c r="BD223" s="59">
        <v>-1</v>
      </c>
      <c r="BE223" s="59">
        <v>-1</v>
      </c>
      <c r="BF223" s="61">
        <v>9</v>
      </c>
      <c r="BG223" s="59">
        <v>51</v>
      </c>
      <c r="BH223" s="59">
        <v>-1</v>
      </c>
      <c r="BI223" s="59">
        <v>40</v>
      </c>
      <c r="BJ223" s="28">
        <v>1</v>
      </c>
      <c r="BK223" s="67">
        <v>49.447821782178217</v>
      </c>
      <c r="BL223" s="52" t="str">
        <f>+IF(BK223&gt;0,FIXED(Fuelbeds_english!BL223*2.54,1,0),BK223)</f>
        <v>0.5</v>
      </c>
      <c r="BM223" s="59">
        <v>3</v>
      </c>
      <c r="BN223" s="67">
        <v>44.503039603960396</v>
      </c>
      <c r="BO223" s="52" t="str">
        <f>+IF(BN223&gt;0,FIXED(Fuelbeds_english!BO223*2.54,1,0),BN223)</f>
        <v>0.4</v>
      </c>
    </row>
    <row r="224" spans="1:67" s="50" customFormat="1" x14ac:dyDescent="0.25">
      <c r="A224" s="50">
        <v>223</v>
      </c>
      <c r="B224" s="52" t="s">
        <v>527</v>
      </c>
      <c r="C224" s="68">
        <v>927033</v>
      </c>
      <c r="D224" s="22" t="s">
        <v>4</v>
      </c>
      <c r="E224" s="39" t="s">
        <v>463</v>
      </c>
      <c r="F224" s="39">
        <v>54.390500000000003</v>
      </c>
      <c r="G224" s="56">
        <v>54.390500000000003</v>
      </c>
      <c r="H224" s="45">
        <f>+IF(F224&gt;0,INT(Fuelbeds_english!H224*2.471),F224)</f>
        <v>264</v>
      </c>
      <c r="I224" s="36">
        <f>+IF(F224&gt;0,INT(Fuelbeds_english!I224*0.3048),F224)</f>
        <v>15</v>
      </c>
      <c r="J224" s="45">
        <f>+IF(F224&gt;0,INT(Fuelbeds_english!J224*0.3048),F224)</f>
        <v>9</v>
      </c>
      <c r="K224" s="45">
        <f>+IF(F224&gt;0,INT(Fuelbeds_english!K224*2.54),F224)</f>
        <v>31</v>
      </c>
      <c r="L224" s="36">
        <v>28766</v>
      </c>
      <c r="M224" s="36" t="s">
        <v>137</v>
      </c>
      <c r="N224" s="36">
        <v>100</v>
      </c>
      <c r="O224" s="43">
        <v>29.788611469072169</v>
      </c>
      <c r="P224" s="45">
        <f>+IF(O224&gt;0,INT(Fuelbeds_english!P224*2.471),O224)</f>
        <v>181</v>
      </c>
      <c r="Q224" s="36">
        <f>+IF(O224&gt;0,INT(Fuelbeds_english!Q224*0.3048),O224)</f>
        <v>9</v>
      </c>
      <c r="R224" s="45">
        <f>+IF(O224&gt;0,INT(Fuelbeds_english!R224*0.3048),O224)</f>
        <v>3</v>
      </c>
      <c r="S224" s="45">
        <f>+IF(O224&gt;0,INT(Fuelbeds_english!S224*2.54),O224)</f>
        <v>18</v>
      </c>
      <c r="T224" s="36">
        <v>28766</v>
      </c>
      <c r="U224" s="36" t="s">
        <v>137</v>
      </c>
      <c r="V224" s="36">
        <v>100</v>
      </c>
      <c r="W224" s="36">
        <v>1</v>
      </c>
      <c r="X224" s="98">
        <v>3</v>
      </c>
      <c r="Y224" s="29">
        <v>6</v>
      </c>
      <c r="Z224" s="88" t="str">
        <f>+IF(Y224&gt;0,FIXED(Fuelbeds_english!Z224*0.3048,1,0),Y224)</f>
        <v>1.2</v>
      </c>
      <c r="AA224" s="36">
        <v>85</v>
      </c>
      <c r="AB224" s="50">
        <v>28675</v>
      </c>
      <c r="AC224" s="50" t="s">
        <v>375</v>
      </c>
      <c r="AD224" s="50">
        <v>100</v>
      </c>
      <c r="AE224" s="42">
        <v>40</v>
      </c>
      <c r="AF224" s="52" t="str">
        <f>+IF(AE224&gt;0,FIXED(Fuelbeds_english!AF224*0.3048,1,0),AE224)</f>
        <v>0.2</v>
      </c>
      <c r="AG224" s="45">
        <v>0</v>
      </c>
      <c r="AH224" s="52" t="str">
        <f>+IF(AE224&gt;0,FIXED(Fuelbeds_english!AH224*2.242,1,0),AE224)</f>
        <v>0.2</v>
      </c>
      <c r="AI224" s="45">
        <v>26716</v>
      </c>
      <c r="AJ224" s="45" t="s">
        <v>208</v>
      </c>
      <c r="AK224" s="45">
        <v>100</v>
      </c>
      <c r="AL224" s="34">
        <v>17.008698969072199</v>
      </c>
      <c r="AM224" s="52" t="str">
        <f>+IF(AL224&gt;0,FIXED(Fuelbeds_english!AM224*2.54,1,0),AL224)</f>
        <v>2.3</v>
      </c>
      <c r="AN224" s="52" t="str">
        <f>+IF($AM224&gt;0,FIXED(Fuelbeds_english!AN224*2.242,1,0),$AM224)</f>
        <v>2.0</v>
      </c>
      <c r="AO224" s="52" t="str">
        <f>+IF($AM224&gt;0,FIXED(Fuelbeds_english!AO224*2.242,1,0),$AM224)</f>
        <v>1.6</v>
      </c>
      <c r="AP224" s="52" t="str">
        <f>+IF($AM224&gt;0,FIXED(Fuelbeds_english!AP224*2.242,1,0),$AM224)</f>
        <v>2.3</v>
      </c>
      <c r="AQ224" s="52" t="str">
        <f>+IF($AM224&gt;0,FIXED(Fuelbeds_english!AQ224*2.242,1,0),$AM224)</f>
        <v>1.8</v>
      </c>
      <c r="AR224" s="36">
        <v>28766</v>
      </c>
      <c r="AS224" s="36" t="s">
        <v>137</v>
      </c>
      <c r="AT224" s="36">
        <v>100</v>
      </c>
      <c r="AU224" s="44">
        <v>-1</v>
      </c>
      <c r="AV224" s="52">
        <f>+IF(AU224&gt;0,FIXED(Fuelbeds_english!AV224*2.54,1,0),AU224)</f>
        <v>-1</v>
      </c>
      <c r="AW224" s="52">
        <v>-1</v>
      </c>
      <c r="AX224" s="52">
        <v>-1</v>
      </c>
      <c r="AY224" s="52">
        <f>+IF(AX224&gt;0,FIXED(Fuelbeds_english!AY224*2.54,1,0),AX224)</f>
        <v>-1</v>
      </c>
      <c r="AZ224" s="59">
        <v>1</v>
      </c>
      <c r="BA224" s="36">
        <v>90</v>
      </c>
      <c r="BB224" s="52" t="str">
        <f>+IF(BA224&gt;0,FIXED(Fuelbeds_english!BB224*2.54,1,0),BA224)</f>
        <v>2.5</v>
      </c>
      <c r="BC224" s="59">
        <v>-1</v>
      </c>
      <c r="BD224" s="59">
        <v>-1</v>
      </c>
      <c r="BE224" s="59">
        <v>-1</v>
      </c>
      <c r="BF224" s="61">
        <v>54</v>
      </c>
      <c r="BG224" s="59">
        <v>6</v>
      </c>
      <c r="BH224" s="59">
        <v>-1</v>
      </c>
      <c r="BI224" s="59">
        <v>40</v>
      </c>
      <c r="BJ224" s="28">
        <v>1</v>
      </c>
      <c r="BK224" s="67">
        <v>49.827145214521458</v>
      </c>
      <c r="BL224" s="52" t="str">
        <f>+IF(BK224&gt;0,FIXED(Fuelbeds_english!BL224*2.54,1,0),BK224)</f>
        <v>0.5</v>
      </c>
      <c r="BM224" s="59">
        <v>3</v>
      </c>
      <c r="BN224" s="67">
        <v>44.844430693069313</v>
      </c>
      <c r="BO224" s="52" t="str">
        <f>+IF(BN224&gt;0,FIXED(Fuelbeds_english!BO224*2.54,1,0),BN224)</f>
        <v>0.4</v>
      </c>
    </row>
    <row r="225" spans="1:67" s="50" customFormat="1" x14ac:dyDescent="0.25">
      <c r="A225" s="50">
        <v>224</v>
      </c>
      <c r="B225" s="52">
        <v>7034</v>
      </c>
      <c r="C225" s="68">
        <v>7034</v>
      </c>
      <c r="D225" s="22" t="s">
        <v>4</v>
      </c>
      <c r="E225" s="33" t="s">
        <v>471</v>
      </c>
      <c r="F225" s="39">
        <v>2.2720699999999998</v>
      </c>
      <c r="G225" s="56">
        <v>2.2720699999999998</v>
      </c>
      <c r="H225" s="45">
        <f>+IF(F225&gt;0,INT(Fuelbeds_english!H225*2.471),F225)</f>
        <v>11</v>
      </c>
      <c r="I225" s="36">
        <f>+IF(F225&gt;0,INT(Fuelbeds_english!I225*0.3048),F225)</f>
        <v>5</v>
      </c>
      <c r="J225" s="45">
        <f>+IF(F225&gt;0,INT(Fuelbeds_english!J225*0.3048),F225)</f>
        <v>3</v>
      </c>
      <c r="K225" s="45">
        <f>+IF(F225&gt;0,INT(Fuelbeds_english!K225*2.54),F225)</f>
        <v>10</v>
      </c>
      <c r="L225" s="36">
        <v>28766</v>
      </c>
      <c r="M225" s="36" t="s">
        <v>137</v>
      </c>
      <c r="N225" s="36">
        <v>100</v>
      </c>
      <c r="O225" s="43">
        <v>1.2443682345360825</v>
      </c>
      <c r="P225" s="45">
        <f>+IF(O225&gt;0,INT(Fuelbeds_english!P225*2.471),O225)</f>
        <v>7</v>
      </c>
      <c r="Q225" s="36">
        <f>+IF(O225&gt;0,INT(Fuelbeds_english!Q225*0.3048),O225)</f>
        <v>3</v>
      </c>
      <c r="R225" s="45">
        <f>+IF(O225&gt;0,INT(Fuelbeds_english!R225*0.3048),O225)</f>
        <v>1</v>
      </c>
      <c r="S225" s="45">
        <f>+IF(O225&gt;0,INT(Fuelbeds_english!S225*2.54),O225)</f>
        <v>6</v>
      </c>
      <c r="T225" s="36">
        <v>28766</v>
      </c>
      <c r="U225" s="36" t="s">
        <v>137</v>
      </c>
      <c r="V225" s="36">
        <v>100</v>
      </c>
      <c r="W225" s="36">
        <v>1</v>
      </c>
      <c r="X225" s="98">
        <v>3</v>
      </c>
      <c r="Y225" s="29">
        <v>58</v>
      </c>
      <c r="Z225" s="88" t="str">
        <f>+IF(Y225&gt;0,FIXED(Fuelbeds_english!Z225*0.3048,1,0),Y225)</f>
        <v>1.2</v>
      </c>
      <c r="AA225" s="36">
        <v>85</v>
      </c>
      <c r="AB225" s="50">
        <v>28675</v>
      </c>
      <c r="AC225" s="50" t="s">
        <v>375</v>
      </c>
      <c r="AD225" s="50">
        <v>100</v>
      </c>
      <c r="AE225" s="42">
        <v>40</v>
      </c>
      <c r="AF225" s="52" t="str">
        <f>+IF(AE225&gt;0,FIXED(Fuelbeds_english!AF225*0.3048,1,0),AE225)</f>
        <v>0.2</v>
      </c>
      <c r="AG225" s="45">
        <v>0</v>
      </c>
      <c r="AH225" s="52" t="str">
        <f>+IF(AE225&gt;0,FIXED(Fuelbeds_english!AH225*2.242,1,0),AE225)</f>
        <v>0.4</v>
      </c>
      <c r="AI225" s="45">
        <v>42013</v>
      </c>
      <c r="AJ225" s="45" t="s">
        <v>423</v>
      </c>
      <c r="AK225" s="62">
        <v>100</v>
      </c>
      <c r="AL225" s="34">
        <v>17.026718556700999</v>
      </c>
      <c r="AM225" s="52" t="str">
        <f>+IF(AL225&gt;0,FIXED(Fuelbeds_english!AM225*2.54,1,0),AL225)</f>
        <v>2.3</v>
      </c>
      <c r="AN225" s="52" t="str">
        <f>+IF($AM225&gt;0,FIXED(Fuelbeds_english!AN225*2.242,1,0),$AM225)</f>
        <v>2.0</v>
      </c>
      <c r="AO225" s="52" t="str">
        <f>+IF($AM225&gt;0,FIXED(Fuelbeds_english!AO225*2.242,1,0),$AM225)</f>
        <v>1.6</v>
      </c>
      <c r="AP225" s="52" t="str">
        <f>+IF($AM225&gt;0,FIXED(Fuelbeds_english!AP225*2.242,1,0),$AM225)</f>
        <v>2.3</v>
      </c>
      <c r="AQ225" s="52" t="str">
        <f>+IF($AM225&gt;0,FIXED(Fuelbeds_english!AQ225*2.242,1,0),$AM225)</f>
        <v>1.8</v>
      </c>
      <c r="AR225" s="36">
        <v>28766</v>
      </c>
      <c r="AS225" s="36" t="s">
        <v>137</v>
      </c>
      <c r="AT225" s="36">
        <v>100</v>
      </c>
      <c r="AU225" s="44">
        <v>-1</v>
      </c>
      <c r="AV225" s="52">
        <f>+IF(AU225&gt;0,FIXED(Fuelbeds_english!AV225*2.54,1,0),AU225)</f>
        <v>-1</v>
      </c>
      <c r="AW225" s="52">
        <v>-1</v>
      </c>
      <c r="AX225" s="52">
        <v>-1</v>
      </c>
      <c r="AY225" s="52">
        <f>+IF(AX225&gt;0,FIXED(Fuelbeds_english!AY225*2.54,1,0),AX225)</f>
        <v>-1</v>
      </c>
      <c r="AZ225" s="59">
        <v>1</v>
      </c>
      <c r="BA225" s="36">
        <v>90</v>
      </c>
      <c r="BB225" s="52" t="str">
        <f>+IF(BA225&gt;0,FIXED(Fuelbeds_english!BB225*2.54,1,0),BA225)</f>
        <v>2.5</v>
      </c>
      <c r="BC225" s="59">
        <v>-1</v>
      </c>
      <c r="BD225" s="59">
        <v>-1</v>
      </c>
      <c r="BE225" s="59">
        <v>-1</v>
      </c>
      <c r="BF225" s="61">
        <v>2</v>
      </c>
      <c r="BG225" s="59">
        <v>58</v>
      </c>
      <c r="BH225" s="59">
        <v>-1</v>
      </c>
      <c r="BI225" s="59">
        <v>40</v>
      </c>
      <c r="BJ225" s="28">
        <v>1</v>
      </c>
      <c r="BK225" s="67">
        <v>49.729430693069304</v>
      </c>
      <c r="BL225" s="52" t="str">
        <f>+IF(BK225&gt;0,FIXED(Fuelbeds_english!BL225*2.54,1,0),BK225)</f>
        <v>0.5</v>
      </c>
      <c r="BM225" s="59">
        <v>3</v>
      </c>
      <c r="BN225" s="67">
        <v>44.756487623762375</v>
      </c>
      <c r="BO225" s="52" t="str">
        <f>+IF(BN225&gt;0,FIXED(Fuelbeds_english!BO225*2.54,1,0),BN225)</f>
        <v>0.4</v>
      </c>
    </row>
    <row r="226" spans="1:67" s="50" customFormat="1" x14ac:dyDescent="0.25">
      <c r="A226" s="50">
        <v>225</v>
      </c>
      <c r="B226" s="52">
        <v>7035</v>
      </c>
      <c r="C226" s="68">
        <v>7035</v>
      </c>
      <c r="D226" s="22" t="s">
        <v>4</v>
      </c>
      <c r="E226" s="33" t="s">
        <v>470</v>
      </c>
      <c r="F226" s="39">
        <v>4.7518500000000001</v>
      </c>
      <c r="G226" s="56">
        <v>4.7518500000000001</v>
      </c>
      <c r="H226" s="45">
        <f>+IF(F226&gt;0,INT(Fuelbeds_english!H226*2.471),F226)</f>
        <v>23</v>
      </c>
      <c r="I226" s="36">
        <f>+IF(F226&gt;0,INT(Fuelbeds_english!I226*0.3048),F226)</f>
        <v>8</v>
      </c>
      <c r="J226" s="45">
        <f>+IF(F226&gt;0,INT(Fuelbeds_english!J226*0.3048),F226)</f>
        <v>4</v>
      </c>
      <c r="K226" s="45">
        <f>+IF(F226&gt;0,INT(Fuelbeds_english!K226*2.54),F226)</f>
        <v>16</v>
      </c>
      <c r="L226" s="36">
        <v>28766</v>
      </c>
      <c r="M226" s="36" t="s">
        <v>137</v>
      </c>
      <c r="N226" s="36">
        <v>100</v>
      </c>
      <c r="O226" s="43">
        <v>2.6024951675257735</v>
      </c>
      <c r="P226" s="45">
        <f>+IF(O226&gt;0,INT(Fuelbeds_english!P226*2.471),O226)</f>
        <v>15</v>
      </c>
      <c r="Q226" s="36">
        <f>+IF(O226&gt;0,INT(Fuelbeds_english!Q226*0.3048),O226)</f>
        <v>4</v>
      </c>
      <c r="R226" s="45">
        <f>+IF(O226&gt;0,INT(Fuelbeds_english!R226*0.3048),O226)</f>
        <v>1</v>
      </c>
      <c r="S226" s="45">
        <f>+IF(O226&gt;0,INT(Fuelbeds_english!S226*2.54),O226)</f>
        <v>9</v>
      </c>
      <c r="T226" s="36">
        <v>28766</v>
      </c>
      <c r="U226" s="36" t="s">
        <v>137</v>
      </c>
      <c r="V226" s="36">
        <v>100</v>
      </c>
      <c r="W226" s="36">
        <v>1</v>
      </c>
      <c r="X226" s="98">
        <v>3</v>
      </c>
      <c r="Y226" s="29">
        <v>55</v>
      </c>
      <c r="Z226" s="88" t="str">
        <f>+IF(Y226&gt;0,FIXED(Fuelbeds_english!Z226*0.3048,1,0),Y226)</f>
        <v>1.2</v>
      </c>
      <c r="AA226" s="36">
        <v>85</v>
      </c>
      <c r="AB226" s="50">
        <v>28675</v>
      </c>
      <c r="AC226" s="50" t="s">
        <v>375</v>
      </c>
      <c r="AD226" s="50">
        <v>100</v>
      </c>
      <c r="AE226" s="42">
        <v>40</v>
      </c>
      <c r="AF226" s="52" t="str">
        <f>+IF(AE226&gt;0,FIXED(Fuelbeds_english!AF226*0.3048,1,0),AE226)</f>
        <v>0.2</v>
      </c>
      <c r="AG226" s="45">
        <v>0</v>
      </c>
      <c r="AH226" s="52" t="str">
        <f>+IF(AE226&gt;0,FIXED(Fuelbeds_english!AH226*2.242,1,0),AE226)</f>
        <v>0.6</v>
      </c>
      <c r="AI226" s="45">
        <v>21711</v>
      </c>
      <c r="AJ226" s="45" t="s">
        <v>425</v>
      </c>
      <c r="AK226" s="45">
        <v>100</v>
      </c>
      <c r="AL226" s="34">
        <v>17.044738144329902</v>
      </c>
      <c r="AM226" s="52" t="str">
        <f>+IF(AL226&gt;0,FIXED(Fuelbeds_english!AM226*2.54,1,0),AL226)</f>
        <v>2.3</v>
      </c>
      <c r="AN226" s="52" t="str">
        <f>+IF($AM226&gt;0,FIXED(Fuelbeds_english!AN226*2.242,1,0),$AM226)</f>
        <v>2.0</v>
      </c>
      <c r="AO226" s="52" t="str">
        <f>+IF($AM226&gt;0,FIXED(Fuelbeds_english!AO226*2.242,1,0),$AM226)</f>
        <v>1.5</v>
      </c>
      <c r="AP226" s="52" t="str">
        <f>+IF($AM226&gt;0,FIXED(Fuelbeds_english!AP226*2.242,1,0),$AM226)</f>
        <v>2.3</v>
      </c>
      <c r="AQ226" s="52" t="str">
        <f>+IF($AM226&gt;0,FIXED(Fuelbeds_english!AQ226*2.242,1,0),$AM226)</f>
        <v>1.8</v>
      </c>
      <c r="AR226" s="36">
        <v>28766</v>
      </c>
      <c r="AS226" s="36" t="s">
        <v>137</v>
      </c>
      <c r="AT226" s="36">
        <v>100</v>
      </c>
      <c r="AU226" s="44">
        <v>-1</v>
      </c>
      <c r="AV226" s="52">
        <f>+IF(AU226&gt;0,FIXED(Fuelbeds_english!AV226*2.54,1,0),AU226)</f>
        <v>-1</v>
      </c>
      <c r="AW226" s="52">
        <v>-1</v>
      </c>
      <c r="AX226" s="52">
        <v>-1</v>
      </c>
      <c r="AY226" s="52">
        <f>+IF(AX226&gt;0,FIXED(Fuelbeds_english!AY226*2.54,1,0),AX226)</f>
        <v>-1</v>
      </c>
      <c r="AZ226" s="59">
        <v>1</v>
      </c>
      <c r="BA226" s="36">
        <v>90</v>
      </c>
      <c r="BB226" s="52" t="str">
        <f>+IF(BA226&gt;0,FIXED(Fuelbeds_english!BB226*2.54,1,0),BA226)</f>
        <v>2.5</v>
      </c>
      <c r="BC226" s="59">
        <v>-1</v>
      </c>
      <c r="BD226" s="59">
        <v>-1</v>
      </c>
      <c r="BE226" s="59">
        <v>-1</v>
      </c>
      <c r="BF226" s="61">
        <v>5</v>
      </c>
      <c r="BG226" s="59">
        <v>55</v>
      </c>
      <c r="BH226" s="59">
        <v>-1</v>
      </c>
      <c r="BI226" s="59">
        <v>40</v>
      </c>
      <c r="BJ226" s="28">
        <v>1</v>
      </c>
      <c r="BK226" s="67">
        <v>49.300206270627065</v>
      </c>
      <c r="BL226" s="52" t="str">
        <f>+IF(BK226&gt;0,FIXED(Fuelbeds_english!BL226*2.54,1,0),BK226)</f>
        <v>0.5</v>
      </c>
      <c r="BM226" s="59">
        <v>3</v>
      </c>
      <c r="BN226" s="67">
        <v>44.370185643564355</v>
      </c>
      <c r="BO226" s="52" t="str">
        <f>+IF(BN226&gt;0,FIXED(Fuelbeds_english!BO226*2.54,1,0),BN226)</f>
        <v>0.4</v>
      </c>
    </row>
    <row r="227" spans="1:67" s="50" customFormat="1" x14ac:dyDescent="0.25">
      <c r="A227" s="50">
        <v>226</v>
      </c>
      <c r="B227" s="52">
        <v>7036</v>
      </c>
      <c r="C227" s="68">
        <v>7036</v>
      </c>
      <c r="D227" s="22" t="s">
        <v>4</v>
      </c>
      <c r="E227" s="39" t="s">
        <v>465</v>
      </c>
      <c r="F227" s="39">
        <v>20.637</v>
      </c>
      <c r="G227" s="56">
        <v>20.637</v>
      </c>
      <c r="H227" s="45">
        <f>+IF(F227&gt;0,INT(Fuelbeds_english!H227*2.471),F227)</f>
        <v>100</v>
      </c>
      <c r="I227" s="36">
        <f>+IF(F227&gt;0,INT(Fuelbeds_english!I227*0.3048),F227)</f>
        <v>12</v>
      </c>
      <c r="J227" s="45">
        <f>+IF(F227&gt;0,INT(Fuelbeds_english!J227*0.3048),F227)</f>
        <v>7</v>
      </c>
      <c r="K227" s="45">
        <f>+IF(F227&gt;0,INT(Fuelbeds_english!K227*2.54),F227)</f>
        <v>25</v>
      </c>
      <c r="L227" s="36">
        <v>28766</v>
      </c>
      <c r="M227" s="36" t="s">
        <v>137</v>
      </c>
      <c r="N227" s="36">
        <v>100</v>
      </c>
      <c r="O227" s="43">
        <v>11.302480670103094</v>
      </c>
      <c r="P227" s="45">
        <f>+IF(O227&gt;0,INT(Fuelbeds_english!P227*2.471),O227)</f>
        <v>68</v>
      </c>
      <c r="Q227" s="36">
        <f>+IF(O227&gt;0,INT(Fuelbeds_english!Q227*0.3048),O227)</f>
        <v>7</v>
      </c>
      <c r="R227" s="45">
        <f>+IF(O227&gt;0,INT(Fuelbeds_english!R227*0.3048),O227)</f>
        <v>3</v>
      </c>
      <c r="S227" s="45">
        <f>+IF(O227&gt;0,INT(Fuelbeds_english!S227*2.54),O227)</f>
        <v>15</v>
      </c>
      <c r="T227" s="36">
        <v>28766</v>
      </c>
      <c r="U227" s="36" t="s">
        <v>137</v>
      </c>
      <c r="V227" s="36">
        <v>100</v>
      </c>
      <c r="W227" s="36">
        <v>1</v>
      </c>
      <c r="X227" s="98">
        <v>3</v>
      </c>
      <c r="Y227" s="29">
        <v>39</v>
      </c>
      <c r="Z227" s="88" t="str">
        <f>+IF(Y227&gt;0,FIXED(Fuelbeds_english!Z227*0.3048,1,0),Y227)</f>
        <v>1.2</v>
      </c>
      <c r="AA227" s="36">
        <v>85</v>
      </c>
      <c r="AB227" s="50">
        <v>28675</v>
      </c>
      <c r="AC227" s="50" t="s">
        <v>375</v>
      </c>
      <c r="AD227" s="50">
        <v>100</v>
      </c>
      <c r="AE227" s="42">
        <v>40</v>
      </c>
      <c r="AF227" s="52" t="str">
        <f>+IF(AE227&gt;0,FIXED(Fuelbeds_english!AF227*0.3048,1,0),AE227)</f>
        <v>0.2</v>
      </c>
      <c r="AG227" s="45">
        <v>0</v>
      </c>
      <c r="AH227" s="52" t="str">
        <f>+IF(AE227&gt;0,FIXED(Fuelbeds_english!AH227*2.242,1,0),AE227)</f>
        <v>0.2</v>
      </c>
      <c r="AI227" s="36">
        <v>26857</v>
      </c>
      <c r="AJ227" s="43" t="s">
        <v>415</v>
      </c>
      <c r="AK227" s="36">
        <v>100</v>
      </c>
      <c r="AL227" s="34">
        <v>17</v>
      </c>
      <c r="AM227" s="52" t="str">
        <f>+IF(AL227&gt;0,FIXED(Fuelbeds_english!AM227*2.54,1,0),AL227)</f>
        <v>2.3</v>
      </c>
      <c r="AN227" s="52" t="str">
        <f>+IF($AM227&gt;0,FIXED(Fuelbeds_english!AN227*2.242,1,0),$AM227)</f>
        <v>2.0</v>
      </c>
      <c r="AO227" s="52" t="str">
        <f>+IF($AM227&gt;0,FIXED(Fuelbeds_english!AO227*2.242,1,0),$AM227)</f>
        <v>1.5</v>
      </c>
      <c r="AP227" s="52" t="str">
        <f>+IF($AM227&gt;0,FIXED(Fuelbeds_english!AP227*2.242,1,0),$AM227)</f>
        <v>2.3</v>
      </c>
      <c r="AQ227" s="52" t="str">
        <f>+IF($AM227&gt;0,FIXED(Fuelbeds_english!AQ227*2.242,1,0),$AM227)</f>
        <v>1.8</v>
      </c>
      <c r="AR227" s="36">
        <v>28766</v>
      </c>
      <c r="AS227" s="36" t="s">
        <v>137</v>
      </c>
      <c r="AT227" s="36">
        <v>100</v>
      </c>
      <c r="AU227" s="44">
        <v>-1</v>
      </c>
      <c r="AV227" s="52">
        <f>+IF(AU227&gt;0,FIXED(Fuelbeds_english!AV227*2.54,1,0),AU227)</f>
        <v>-1</v>
      </c>
      <c r="AW227" s="52">
        <v>-1</v>
      </c>
      <c r="AX227" s="52">
        <v>-1</v>
      </c>
      <c r="AY227" s="52">
        <f>+IF(AX227&gt;0,FIXED(Fuelbeds_english!AY227*2.54,1,0),AX227)</f>
        <v>-1</v>
      </c>
      <c r="AZ227" s="59">
        <v>1</v>
      </c>
      <c r="BA227" s="36">
        <v>90</v>
      </c>
      <c r="BB227" s="52" t="str">
        <f>+IF(BA227&gt;0,FIXED(Fuelbeds_english!BB227*2.54,1,0),BA227)</f>
        <v>2.5</v>
      </c>
      <c r="BC227" s="59">
        <v>-1</v>
      </c>
      <c r="BD227" s="59">
        <v>-1</v>
      </c>
      <c r="BE227" s="59">
        <v>-1</v>
      </c>
      <c r="BF227" s="61">
        <v>21</v>
      </c>
      <c r="BG227" s="59">
        <v>39</v>
      </c>
      <c r="BH227" s="59">
        <v>-1</v>
      </c>
      <c r="BI227" s="59">
        <v>40</v>
      </c>
      <c r="BJ227" s="28">
        <v>1</v>
      </c>
      <c r="BK227" s="67">
        <v>49.205445544554458</v>
      </c>
      <c r="BL227" s="52" t="str">
        <f>+IF(BK227&gt;0,FIXED(Fuelbeds_english!BL227*2.54,1,0),BK227)</f>
        <v>0.5</v>
      </c>
      <c r="BM227" s="59">
        <v>3</v>
      </c>
      <c r="BN227" s="67">
        <v>44.284900990099004</v>
      </c>
      <c r="BO227" s="52" t="str">
        <f>+IF(BN227&gt;0,FIXED(Fuelbeds_english!BO227*2.54,1,0),BN227)</f>
        <v>0.4</v>
      </c>
    </row>
    <row r="228" spans="1:67" s="50" customFormat="1" x14ac:dyDescent="0.25">
      <c r="A228" s="50">
        <v>227</v>
      </c>
      <c r="B228" s="52">
        <v>7037</v>
      </c>
      <c r="C228" s="68">
        <v>7037</v>
      </c>
      <c r="D228" s="22" t="s">
        <v>4</v>
      </c>
      <c r="E228" s="39" t="s">
        <v>466</v>
      </c>
      <c r="F228" s="39">
        <v>18.0075</v>
      </c>
      <c r="G228" s="56">
        <v>18.0075</v>
      </c>
      <c r="H228" s="45">
        <f>+IF(F228&gt;0,INT(Fuelbeds_english!H228*2.471),F228)</f>
        <v>87</v>
      </c>
      <c r="I228" s="36">
        <f>+IF(F228&gt;0,INT(Fuelbeds_english!I228*0.3048),F228)</f>
        <v>12</v>
      </c>
      <c r="J228" s="45">
        <f>+IF(F228&gt;0,INT(Fuelbeds_english!J228*0.3048),F228)</f>
        <v>7</v>
      </c>
      <c r="K228" s="45">
        <f>+IF(F228&gt;0,INT(Fuelbeds_english!K228*2.54),F228)</f>
        <v>25</v>
      </c>
      <c r="L228" s="36">
        <v>28766</v>
      </c>
      <c r="M228" s="36" t="s">
        <v>137</v>
      </c>
      <c r="N228" s="36">
        <v>100</v>
      </c>
      <c r="O228" s="43">
        <v>9.862355025773196</v>
      </c>
      <c r="P228" s="45">
        <f>+IF(O228&gt;0,INT(Fuelbeds_english!P228*2.471),O228)</f>
        <v>60</v>
      </c>
      <c r="Q228" s="36">
        <f>+IF(O228&gt;0,INT(Fuelbeds_english!Q228*0.3048),O228)</f>
        <v>7</v>
      </c>
      <c r="R228" s="45">
        <f>+IF(O228&gt;0,INT(Fuelbeds_english!R228*0.3048),O228)</f>
        <v>3</v>
      </c>
      <c r="S228" s="45">
        <f>+IF(O228&gt;0,INT(Fuelbeds_english!S228*2.54),O228)</f>
        <v>15</v>
      </c>
      <c r="T228" s="36">
        <v>28766</v>
      </c>
      <c r="U228" s="36" t="s">
        <v>137</v>
      </c>
      <c r="V228" s="36">
        <v>100</v>
      </c>
      <c r="W228" s="36">
        <v>1</v>
      </c>
      <c r="X228" s="98">
        <v>3</v>
      </c>
      <c r="Y228" s="29">
        <v>42</v>
      </c>
      <c r="Z228" s="88" t="str">
        <f>+IF(Y228&gt;0,FIXED(Fuelbeds_english!Z228*0.3048,1,0),Y228)</f>
        <v>1.2</v>
      </c>
      <c r="AA228" s="36">
        <v>85</v>
      </c>
      <c r="AB228" s="50">
        <v>28675</v>
      </c>
      <c r="AC228" s="50" t="s">
        <v>375</v>
      </c>
      <c r="AD228" s="50">
        <v>100</v>
      </c>
      <c r="AE228" s="42">
        <v>40</v>
      </c>
      <c r="AF228" s="52" t="str">
        <f>+IF(AE228&gt;0,FIXED(Fuelbeds_english!AF228*0.3048,1,0),AE228)</f>
        <v>0.2</v>
      </c>
      <c r="AG228" s="45">
        <v>0</v>
      </c>
      <c r="AH228" s="52" t="str">
        <f>+IF(AE228&gt;0,FIXED(Fuelbeds_english!AH228*2.242,1,0),AE228)</f>
        <v>0.0</v>
      </c>
      <c r="AI228" s="36">
        <v>505272</v>
      </c>
      <c r="AJ228" s="43" t="s">
        <v>417</v>
      </c>
      <c r="AK228" s="36">
        <v>100</v>
      </c>
      <c r="AL228" s="34">
        <v>17.012435567010311</v>
      </c>
      <c r="AM228" s="52" t="str">
        <f>+IF(AL228&gt;0,FIXED(Fuelbeds_english!AM228*2.54,1,0),AL228)</f>
        <v>2.3</v>
      </c>
      <c r="AN228" s="52" t="str">
        <f>+IF($AM228&gt;0,FIXED(Fuelbeds_english!AN228*2.242,1,0),$AM228)</f>
        <v>2.0</v>
      </c>
      <c r="AO228" s="52" t="str">
        <f>+IF($AM228&gt;0,FIXED(Fuelbeds_english!AO228*2.242,1,0),$AM228)</f>
        <v>1.6</v>
      </c>
      <c r="AP228" s="52" t="str">
        <f>+IF($AM228&gt;0,FIXED(Fuelbeds_english!AP228*2.242,1,0),$AM228)</f>
        <v>2.3</v>
      </c>
      <c r="AQ228" s="52" t="str">
        <f>+IF($AM228&gt;0,FIXED(Fuelbeds_english!AQ228*2.242,1,0),$AM228)</f>
        <v>1.8</v>
      </c>
      <c r="AR228" s="36">
        <v>28766</v>
      </c>
      <c r="AS228" s="36" t="s">
        <v>137</v>
      </c>
      <c r="AT228" s="36">
        <v>100</v>
      </c>
      <c r="AU228" s="44">
        <v>-1</v>
      </c>
      <c r="AV228" s="52">
        <f>+IF(AU228&gt;0,FIXED(Fuelbeds_english!AV228*2.54,1,0),AU228)</f>
        <v>-1</v>
      </c>
      <c r="AW228" s="52">
        <v>-1</v>
      </c>
      <c r="AX228" s="52">
        <v>-1</v>
      </c>
      <c r="AY228" s="52">
        <f>+IF(AX228&gt;0,FIXED(Fuelbeds_english!AY228*2.54,1,0),AX228)</f>
        <v>-1</v>
      </c>
      <c r="AZ228" s="59">
        <v>1</v>
      </c>
      <c r="BA228" s="36">
        <v>90</v>
      </c>
      <c r="BB228" s="52" t="str">
        <f>+IF(BA228&gt;0,FIXED(Fuelbeds_english!BB228*2.54,1,0),BA228)</f>
        <v>2.5</v>
      </c>
      <c r="BC228" s="59">
        <v>-1</v>
      </c>
      <c r="BD228" s="59">
        <v>-1</v>
      </c>
      <c r="BE228" s="59">
        <v>-1</v>
      </c>
      <c r="BF228" s="61">
        <v>18</v>
      </c>
      <c r="BG228" s="59">
        <v>42</v>
      </c>
      <c r="BH228" s="59">
        <v>-1</v>
      </c>
      <c r="BI228" s="59">
        <v>40</v>
      </c>
      <c r="BJ228" s="28">
        <v>1</v>
      </c>
      <c r="BK228" s="67">
        <v>49.511138613861384</v>
      </c>
      <c r="BL228" s="52" t="str">
        <f>+IF(BK228&gt;0,FIXED(Fuelbeds_english!BL228*2.54,1,0),BK228)</f>
        <v>0.5</v>
      </c>
      <c r="BM228" s="59">
        <v>3</v>
      </c>
      <c r="BN228" s="67">
        <v>44.56002475247525</v>
      </c>
      <c r="BO228" s="52" t="str">
        <f>+IF(BN228&gt;0,FIXED(Fuelbeds_english!BO228*2.54,1,0),BN228)</f>
        <v>0.4</v>
      </c>
    </row>
    <row r="229" spans="1:67" s="50" customFormat="1" x14ac:dyDescent="0.25">
      <c r="A229" s="50">
        <v>228</v>
      </c>
      <c r="B229" s="52">
        <v>7038</v>
      </c>
      <c r="C229" s="68">
        <v>7038</v>
      </c>
      <c r="D229" s="22" t="s">
        <v>4</v>
      </c>
      <c r="E229" s="33" t="s">
        <v>469</v>
      </c>
      <c r="F229" s="39">
        <v>13.848000000000001</v>
      </c>
      <c r="G229" s="56">
        <v>13.848000000000001</v>
      </c>
      <c r="H229" s="45">
        <f>+IF(F229&gt;0,INT(Fuelbeds_english!H229*2.471),F229)</f>
        <v>67</v>
      </c>
      <c r="I229" s="36">
        <f>+IF(F229&gt;0,INT(Fuelbeds_english!I229*0.3048),F229)</f>
        <v>9</v>
      </c>
      <c r="J229" s="45">
        <f>+IF(F229&gt;0,INT(Fuelbeds_english!J229*0.3048),F229)</f>
        <v>5</v>
      </c>
      <c r="K229" s="45">
        <f>+IF(F229&gt;0,INT(Fuelbeds_english!K229*2.54),F229)</f>
        <v>18</v>
      </c>
      <c r="L229" s="36">
        <v>28766</v>
      </c>
      <c r="M229" s="36" t="s">
        <v>137</v>
      </c>
      <c r="N229" s="36">
        <v>100</v>
      </c>
      <c r="O229" s="43">
        <v>7.5842783505154658</v>
      </c>
      <c r="P229" s="45">
        <f>+IF(O229&gt;0,INT(Fuelbeds_english!P229*2.471),O229)</f>
        <v>46</v>
      </c>
      <c r="Q229" s="36">
        <f>+IF(O229&gt;0,INT(Fuelbeds_english!Q229*0.3048),O229)</f>
        <v>5</v>
      </c>
      <c r="R229" s="45">
        <f>+IF(O229&gt;0,INT(Fuelbeds_english!R229*0.3048),O229)</f>
        <v>2</v>
      </c>
      <c r="S229" s="45">
        <f>+IF(O229&gt;0,INT(Fuelbeds_english!S229*2.54),O229)</f>
        <v>10</v>
      </c>
      <c r="T229" s="36">
        <v>28766</v>
      </c>
      <c r="U229" s="36" t="s">
        <v>137</v>
      </c>
      <c r="V229" s="36">
        <v>100</v>
      </c>
      <c r="W229" s="36">
        <v>1</v>
      </c>
      <c r="X229" s="98">
        <v>3</v>
      </c>
      <c r="Y229" s="29">
        <v>46</v>
      </c>
      <c r="Z229" s="88" t="str">
        <f>+IF(Y229&gt;0,FIXED(Fuelbeds_english!Z229*0.3048,1,0),Y229)</f>
        <v>1.2</v>
      </c>
      <c r="AA229" s="36">
        <v>85</v>
      </c>
      <c r="AB229" s="50">
        <v>28675</v>
      </c>
      <c r="AC229" s="50" t="s">
        <v>375</v>
      </c>
      <c r="AD229" s="50">
        <v>100</v>
      </c>
      <c r="AE229" s="42">
        <v>40</v>
      </c>
      <c r="AF229" s="52" t="str">
        <f>+IF(AE229&gt;0,FIXED(Fuelbeds_english!AF229*0.3048,1,0),AE229)</f>
        <v>0.2</v>
      </c>
      <c r="AG229" s="45">
        <v>0</v>
      </c>
      <c r="AH229" s="52" t="str">
        <f>+IF(AE229&gt;0,FIXED(Fuelbeds_english!AH229*2.242,1,0),AE229)</f>
        <v>1.1</v>
      </c>
      <c r="AI229" s="45">
        <v>41088</v>
      </c>
      <c r="AJ229" s="45" t="s">
        <v>420</v>
      </c>
      <c r="AK229" s="45">
        <v>100</v>
      </c>
      <c r="AL229" s="34">
        <v>16.96721649484536</v>
      </c>
      <c r="AM229" s="52" t="str">
        <f>+IF(AL229&gt;0,FIXED(Fuelbeds_english!AM229*2.54,1,0),AL229)</f>
        <v>2.3</v>
      </c>
      <c r="AN229" s="52" t="str">
        <f>+IF($AM229&gt;0,FIXED(Fuelbeds_english!AN229*2.242,1,0),$AM229)</f>
        <v>2.0</v>
      </c>
      <c r="AO229" s="52" t="str">
        <f>+IF($AM229&gt;0,FIXED(Fuelbeds_english!AO229*2.242,1,0),$AM229)</f>
        <v>1.5</v>
      </c>
      <c r="AP229" s="52" t="str">
        <f>+IF($AM229&gt;0,FIXED(Fuelbeds_english!AP229*2.242,1,0),$AM229)</f>
        <v>2.3</v>
      </c>
      <c r="AQ229" s="52" t="str">
        <f>+IF($AM229&gt;0,FIXED(Fuelbeds_english!AQ229*2.242,1,0),$AM229)</f>
        <v>1.8</v>
      </c>
      <c r="AR229" s="36">
        <v>28766</v>
      </c>
      <c r="AS229" s="36" t="s">
        <v>137</v>
      </c>
      <c r="AT229" s="36">
        <v>100</v>
      </c>
      <c r="AU229" s="44">
        <v>-1</v>
      </c>
      <c r="AV229" s="52">
        <f>+IF(AU229&gt;0,FIXED(Fuelbeds_english!AV229*2.54,1,0),AU229)</f>
        <v>-1</v>
      </c>
      <c r="AW229" s="52">
        <v>-1</v>
      </c>
      <c r="AX229" s="52">
        <v>-1</v>
      </c>
      <c r="AY229" s="52">
        <f>+IF(AX229&gt;0,FIXED(Fuelbeds_english!AY229*2.54,1,0),AX229)</f>
        <v>-1</v>
      </c>
      <c r="AZ229" s="59">
        <v>1</v>
      </c>
      <c r="BA229" s="36">
        <v>90</v>
      </c>
      <c r="BB229" s="52" t="str">
        <f>+IF(BA229&gt;0,FIXED(Fuelbeds_english!BB229*2.54,1,0),BA229)</f>
        <v>2.5</v>
      </c>
      <c r="BC229" s="59">
        <v>-1</v>
      </c>
      <c r="BD229" s="59">
        <v>-1</v>
      </c>
      <c r="BE229" s="59">
        <v>-1</v>
      </c>
      <c r="BF229" s="61">
        <v>14</v>
      </c>
      <c r="BG229" s="59">
        <v>46</v>
      </c>
      <c r="BH229" s="59">
        <v>-1</v>
      </c>
      <c r="BI229" s="59">
        <v>40</v>
      </c>
      <c r="BJ229" s="28">
        <v>1</v>
      </c>
      <c r="BK229" s="67">
        <v>49.379537953795378</v>
      </c>
      <c r="BL229" s="52" t="str">
        <f>+IF(BK229&gt;0,FIXED(Fuelbeds_english!BL229*2.54,1,0),BK229)</f>
        <v>0.5</v>
      </c>
      <c r="BM229" s="59">
        <v>3</v>
      </c>
      <c r="BN229" s="67">
        <v>44.441584158415843</v>
      </c>
      <c r="BO229" s="52" t="str">
        <f>+IF(BN229&gt;0,FIXED(Fuelbeds_english!BO229*2.54,1,0),BN229)</f>
        <v>0.4</v>
      </c>
    </row>
    <row r="230" spans="1:67" s="50" customFormat="1" x14ac:dyDescent="0.25">
      <c r="A230" s="50">
        <v>229</v>
      </c>
      <c r="B230" s="52">
        <v>7039</v>
      </c>
      <c r="C230" s="68">
        <v>7039</v>
      </c>
      <c r="D230" s="22" t="s">
        <v>4</v>
      </c>
      <c r="E230" s="39" t="s">
        <v>467</v>
      </c>
      <c r="F230" s="39">
        <v>9.9200499999999998</v>
      </c>
      <c r="G230" s="56">
        <v>9.9200499999999998</v>
      </c>
      <c r="H230" s="45">
        <f>+IF(F230&gt;0,INT(Fuelbeds_english!H230*2.471),F230)</f>
        <v>48</v>
      </c>
      <c r="I230" s="36">
        <f>+IF(F230&gt;0,INT(Fuelbeds_english!I230*0.3048),F230)</f>
        <v>12</v>
      </c>
      <c r="J230" s="45">
        <f>+IF(F230&gt;0,INT(Fuelbeds_english!J230*0.3048),F230)</f>
        <v>7</v>
      </c>
      <c r="K230" s="45">
        <f>+IF(F230&gt;0,INT(Fuelbeds_english!K230*2.54),F230)</f>
        <v>24</v>
      </c>
      <c r="L230" s="36">
        <v>28766</v>
      </c>
      <c r="M230" s="36" t="s">
        <v>137</v>
      </c>
      <c r="N230" s="36">
        <v>100</v>
      </c>
      <c r="O230" s="43">
        <v>5.4330170747422688</v>
      </c>
      <c r="P230" s="45">
        <f>+IF(O230&gt;0,INT(Fuelbeds_english!P230*2.471),O230)</f>
        <v>33</v>
      </c>
      <c r="Q230" s="36">
        <f>+IF(O230&gt;0,INT(Fuelbeds_english!Q230*0.3048),O230)</f>
        <v>7</v>
      </c>
      <c r="R230" s="45">
        <f>+IF(O230&gt;0,INT(Fuelbeds_english!R230*0.3048),O230)</f>
        <v>2</v>
      </c>
      <c r="S230" s="45">
        <f>+IF(O230&gt;0,INT(Fuelbeds_english!S230*2.54),O230)</f>
        <v>14</v>
      </c>
      <c r="T230" s="36">
        <v>28766</v>
      </c>
      <c r="U230" s="36" t="s">
        <v>137</v>
      </c>
      <c r="V230" s="36">
        <v>100</v>
      </c>
      <c r="W230" s="36">
        <v>1</v>
      </c>
      <c r="X230" s="98">
        <v>3</v>
      </c>
      <c r="Y230" s="29">
        <v>50</v>
      </c>
      <c r="Z230" s="88" t="str">
        <f>+IF(Y230&gt;0,FIXED(Fuelbeds_english!Z230*0.3048,1,0),Y230)</f>
        <v>1.2</v>
      </c>
      <c r="AA230" s="36">
        <v>85</v>
      </c>
      <c r="AB230" s="50">
        <v>28675</v>
      </c>
      <c r="AC230" s="50" t="s">
        <v>375</v>
      </c>
      <c r="AD230" s="50">
        <v>100</v>
      </c>
      <c r="AE230" s="42">
        <v>40</v>
      </c>
      <c r="AF230" s="52" t="str">
        <f>+IF(AE230&gt;0,FIXED(Fuelbeds_english!AF230*0.3048,1,0),AE230)</f>
        <v>3.0</v>
      </c>
      <c r="AG230" s="62">
        <v>100</v>
      </c>
      <c r="AH230" s="52" t="str">
        <f>+IF(AE230&gt;0,FIXED(Fuelbeds_english!AH230*2.242,1,0),AE230)</f>
        <v>3.6</v>
      </c>
      <c r="AI230" s="45">
        <v>42058</v>
      </c>
      <c r="AJ230" s="45" t="s">
        <v>421</v>
      </c>
      <c r="AK230" s="62">
        <v>100</v>
      </c>
      <c r="AL230" s="34">
        <v>16.987643041237117</v>
      </c>
      <c r="AM230" s="52" t="str">
        <f>+IF(AL230&gt;0,FIXED(Fuelbeds_english!AM230*2.54,1,0),AL230)</f>
        <v>2.3</v>
      </c>
      <c r="AN230" s="52" t="str">
        <f>+IF($AM230&gt;0,FIXED(Fuelbeds_english!AN230*2.242,1,0),$AM230)</f>
        <v>2.0</v>
      </c>
      <c r="AO230" s="52" t="str">
        <f>+IF($AM230&gt;0,FIXED(Fuelbeds_english!AO230*2.242,1,0),$AM230)</f>
        <v>1.5</v>
      </c>
      <c r="AP230" s="52" t="str">
        <f>+IF($AM230&gt;0,FIXED(Fuelbeds_english!AP230*2.242,1,0),$AM230)</f>
        <v>2.3</v>
      </c>
      <c r="AQ230" s="52" t="str">
        <f>+IF($AM230&gt;0,FIXED(Fuelbeds_english!AQ230*2.242,1,0),$AM230)</f>
        <v>1.8</v>
      </c>
      <c r="AR230" s="36">
        <v>28766</v>
      </c>
      <c r="AS230" s="36" t="s">
        <v>137</v>
      </c>
      <c r="AT230" s="36">
        <v>100</v>
      </c>
      <c r="AU230" s="44">
        <v>-1</v>
      </c>
      <c r="AV230" s="52">
        <f>+IF(AU230&gt;0,FIXED(Fuelbeds_english!AV230*2.54,1,0),AU230)</f>
        <v>-1</v>
      </c>
      <c r="AW230" s="52">
        <v>-1</v>
      </c>
      <c r="AX230" s="52">
        <v>-1</v>
      </c>
      <c r="AY230" s="52">
        <f>+IF(AX230&gt;0,FIXED(Fuelbeds_english!AY230*2.54,1,0),AX230)</f>
        <v>-1</v>
      </c>
      <c r="AZ230" s="59">
        <v>1</v>
      </c>
      <c r="BA230" s="36">
        <v>90</v>
      </c>
      <c r="BB230" s="52" t="str">
        <f>+IF(BA230&gt;0,FIXED(Fuelbeds_english!BB230*2.54,1,0),BA230)</f>
        <v>2.5</v>
      </c>
      <c r="BC230" s="59">
        <v>-1</v>
      </c>
      <c r="BD230" s="59">
        <v>-1</v>
      </c>
      <c r="BE230" s="59">
        <v>-1</v>
      </c>
      <c r="BF230" s="61">
        <v>10</v>
      </c>
      <c r="BG230" s="59">
        <v>50</v>
      </c>
      <c r="BH230" s="59">
        <v>-1</v>
      </c>
      <c r="BI230" s="59">
        <v>40</v>
      </c>
      <c r="BJ230" s="28">
        <v>1</v>
      </c>
      <c r="BK230" s="67">
        <v>49.438985148514845</v>
      </c>
      <c r="BL230" s="52" t="str">
        <f>+IF(BK230&gt;0,FIXED(Fuelbeds_english!BL230*2.54,1,0),BK230)</f>
        <v>0.5</v>
      </c>
      <c r="BM230" s="59">
        <v>3</v>
      </c>
      <c r="BN230" s="67">
        <v>44.495086633663362</v>
      </c>
      <c r="BO230" s="52" t="str">
        <f>+IF(BN230&gt;0,FIXED(Fuelbeds_english!BO230*2.54,1,0),BN230)</f>
        <v>0.4</v>
      </c>
    </row>
    <row r="231" spans="1:67" s="50" customFormat="1" x14ac:dyDescent="0.25">
      <c r="A231" s="50">
        <v>230</v>
      </c>
      <c r="B231" s="52" t="s">
        <v>296</v>
      </c>
      <c r="C231" s="68">
        <v>917040</v>
      </c>
      <c r="D231" s="22" t="s">
        <v>4</v>
      </c>
      <c r="E231" s="6" t="s">
        <v>17</v>
      </c>
      <c r="F231" s="39">
        <v>22.1</v>
      </c>
      <c r="G231" s="36">
        <v>22.1</v>
      </c>
      <c r="H231" s="45">
        <f>+IF(F231&gt;0,INT(Fuelbeds_english!H231*2.471),F231)</f>
        <v>48</v>
      </c>
      <c r="I231" s="36">
        <f>+IF(F231&gt;0,INT(Fuelbeds_english!I231*0.3048),F231)</f>
        <v>16</v>
      </c>
      <c r="J231" s="45">
        <f>+IF(F231&gt;0,INT(Fuelbeds_english!J231*0.3048),F231)</f>
        <v>10</v>
      </c>
      <c r="K231" s="45">
        <f>+IF(F231&gt;0,INT(Fuelbeds_english!K231*2.54),F231)</f>
        <v>25</v>
      </c>
      <c r="L231" s="36">
        <v>195176</v>
      </c>
      <c r="M231" s="36" t="s">
        <v>372</v>
      </c>
      <c r="N231" s="36">
        <v>100</v>
      </c>
      <c r="O231" s="36">
        <v>13.884816753926701</v>
      </c>
      <c r="P231" s="45">
        <f>+IF(O231&gt;0,INT(Fuelbeds_english!P231*2.471),O231)</f>
        <v>142</v>
      </c>
      <c r="Q231" s="36">
        <f>+IF(O231&gt;0,INT(Fuelbeds_english!Q231*0.3048),O231)</f>
        <v>7</v>
      </c>
      <c r="R231" s="45">
        <f>+IF(O231&gt;0,INT(Fuelbeds_english!R231*0.3048),O231)</f>
        <v>3</v>
      </c>
      <c r="S231" s="45">
        <f>+IF(O231&gt;0,INT(Fuelbeds_english!S231*2.54),O231)</f>
        <v>11</v>
      </c>
      <c r="T231" s="36">
        <v>195176</v>
      </c>
      <c r="U231" s="36" t="s">
        <v>372</v>
      </c>
      <c r="V231" s="36">
        <v>100</v>
      </c>
      <c r="W231" s="36">
        <v>-1</v>
      </c>
      <c r="X231" s="98">
        <v>-1</v>
      </c>
      <c r="Y231" s="29">
        <v>1.8560999999999999</v>
      </c>
      <c r="Z231" s="88" t="str">
        <f>+IF(Y231&gt;0,FIXED(Fuelbeds_english!Z231*0.3048,1,0),Y231)</f>
        <v>0.1</v>
      </c>
      <c r="AA231" s="36">
        <v>85</v>
      </c>
      <c r="AB231" s="50">
        <v>19092</v>
      </c>
      <c r="AC231" s="50" t="s">
        <v>160</v>
      </c>
      <c r="AD231" s="50">
        <v>100</v>
      </c>
      <c r="AE231" s="42">
        <v>60</v>
      </c>
      <c r="AF231" s="52" t="str">
        <f>+IF(AE231&gt;0,FIXED(Fuelbeds_english!AF231*0.3048,1,0),AE231)</f>
        <v>0.2</v>
      </c>
      <c r="AG231" s="36">
        <v>70</v>
      </c>
      <c r="AH231" s="52" t="str">
        <f>+IF(AE231&gt;0,FIXED(Fuelbeds_english!AH231*2.242,1,0),AE231)</f>
        <v>1.1</v>
      </c>
      <c r="AI231" s="45">
        <v>40450</v>
      </c>
      <c r="AJ231" s="45" t="s">
        <v>148</v>
      </c>
      <c r="AK231" s="45">
        <v>100</v>
      </c>
      <c r="AL231" s="34">
        <v>7</v>
      </c>
      <c r="AM231" s="52" t="str">
        <f>+IF(AL231&gt;0,FIXED(Fuelbeds_english!AM231*2.54,1,0),AL231)</f>
        <v>2.3</v>
      </c>
      <c r="AN231" s="52" t="str">
        <f>+IF($AM231&gt;0,FIXED(Fuelbeds_english!AN231*2.242,1,0),$AM231)</f>
        <v>0.1</v>
      </c>
      <c r="AO231" s="52" t="str">
        <f>+IF($AM231&gt;0,FIXED(Fuelbeds_english!AO231*2.242,1,0),$AM231)</f>
        <v>0.2</v>
      </c>
      <c r="AP231" s="52" t="str">
        <f>+IF($AM231&gt;0,FIXED(Fuelbeds_english!AP231*2.242,1,0),$AM231)</f>
        <v>0.4</v>
      </c>
      <c r="AQ231" s="52" t="str">
        <f>+IF($AM231&gt;0,FIXED(Fuelbeds_english!AQ231*2.242,1,0),$AM231)</f>
        <v>0.3</v>
      </c>
      <c r="AR231" s="36">
        <v>195176</v>
      </c>
      <c r="AS231" s="45" t="s">
        <v>372</v>
      </c>
      <c r="AT231" s="45">
        <v>100</v>
      </c>
      <c r="AU231" s="44">
        <v>-1</v>
      </c>
      <c r="AV231" s="52">
        <f>+IF(AU231&gt;0,FIXED(Fuelbeds_english!AV231*2.54,1,0),AU231)</f>
        <v>-1</v>
      </c>
      <c r="AW231" s="52">
        <v>-1</v>
      </c>
      <c r="AX231" s="52">
        <v>-1</v>
      </c>
      <c r="AY231" s="52">
        <f>+IF(AX231&gt;0,FIXED(Fuelbeds_english!AY231*2.54,1,0),AX231)</f>
        <v>-1</v>
      </c>
      <c r="AZ231" s="45">
        <v>1</v>
      </c>
      <c r="BA231" s="36">
        <v>23</v>
      </c>
      <c r="BB231" s="52" t="str">
        <f>+IF(BA231&gt;0,FIXED(Fuelbeds_english!BB231*2.54,1,0),BA231)</f>
        <v>2.7</v>
      </c>
      <c r="BC231" s="45">
        <v>-1</v>
      </c>
      <c r="BD231" s="45">
        <v>-1</v>
      </c>
      <c r="BE231" s="45">
        <v>-1</v>
      </c>
      <c r="BF231" s="45">
        <v>-1</v>
      </c>
      <c r="BG231" s="45">
        <v>100</v>
      </c>
      <c r="BH231" s="45">
        <v>-1</v>
      </c>
      <c r="BI231" s="45">
        <v>-1</v>
      </c>
      <c r="BJ231" s="28">
        <v>1</v>
      </c>
      <c r="BK231" s="36">
        <v>23</v>
      </c>
      <c r="BL231" s="52" t="str">
        <f>+IF(BK231&gt;0,FIXED(Fuelbeds_english!BL231*2.54,1,0),BK231)</f>
        <v>1.9</v>
      </c>
      <c r="BM231" s="45">
        <v>3</v>
      </c>
      <c r="BN231" s="36">
        <v>23</v>
      </c>
      <c r="BO231" s="52" t="str">
        <f>+IF(BN231&gt;0,FIXED(Fuelbeds_english!BO231*2.54,1,0),BN231)</f>
        <v>1.9</v>
      </c>
    </row>
    <row r="232" spans="1:67" s="50" customFormat="1" x14ac:dyDescent="0.25">
      <c r="A232" s="50">
        <v>231</v>
      </c>
      <c r="B232" s="52" t="s">
        <v>297</v>
      </c>
      <c r="C232" s="68">
        <v>927040</v>
      </c>
      <c r="D232" s="22" t="s">
        <v>4</v>
      </c>
      <c r="E232" s="6" t="s">
        <v>17</v>
      </c>
      <c r="F232" s="39">
        <v>55</v>
      </c>
      <c r="G232" s="36">
        <v>55</v>
      </c>
      <c r="H232" s="45">
        <f>+IF(F232&gt;0,INT(Fuelbeds_english!H232*2.471),F232)</f>
        <v>120</v>
      </c>
      <c r="I232" s="36">
        <f>+IF(F232&gt;0,INT(Fuelbeds_english!I232*0.3048),F232)</f>
        <v>20</v>
      </c>
      <c r="J232" s="45">
        <f>+IF(F232&gt;0,INT(Fuelbeds_english!J232*0.3048),F232)</f>
        <v>13</v>
      </c>
      <c r="K232" s="45">
        <f>+IF(F232&gt;0,INT(Fuelbeds_english!K232*2.54),F232)</f>
        <v>31</v>
      </c>
      <c r="L232" s="36">
        <v>195176</v>
      </c>
      <c r="M232" s="36" t="s">
        <v>372</v>
      </c>
      <c r="N232" s="36">
        <v>100</v>
      </c>
      <c r="O232" s="36">
        <v>34.554973821989527</v>
      </c>
      <c r="P232" s="45">
        <f>+IF(O232&gt;0,INT(Fuelbeds_english!P232*2.471),O232)</f>
        <v>355</v>
      </c>
      <c r="Q232" s="36">
        <f>+IF(O232&gt;0,INT(Fuelbeds_english!Q232*0.3048),O232)</f>
        <v>9</v>
      </c>
      <c r="R232" s="45">
        <f>+IF(O232&gt;0,INT(Fuelbeds_english!R232*0.3048),O232)</f>
        <v>3</v>
      </c>
      <c r="S232" s="45">
        <f>+IF(O232&gt;0,INT(Fuelbeds_english!S232*2.54),O232)</f>
        <v>13</v>
      </c>
      <c r="T232" s="36">
        <v>195176</v>
      </c>
      <c r="U232" s="36" t="s">
        <v>372</v>
      </c>
      <c r="V232" s="36">
        <v>100</v>
      </c>
      <c r="W232" s="36">
        <v>-1</v>
      </c>
      <c r="X232" s="98">
        <v>-1</v>
      </c>
      <c r="Y232" s="29">
        <v>1.3014000000000001</v>
      </c>
      <c r="Z232" s="88" t="str">
        <f>+IF(Y232&gt;0,FIXED(Fuelbeds_english!Z232*0.3048,1,0),Y232)</f>
        <v>0.1</v>
      </c>
      <c r="AA232" s="46">
        <v>85</v>
      </c>
      <c r="AB232" s="50">
        <v>19092</v>
      </c>
      <c r="AC232" s="50" t="s">
        <v>160</v>
      </c>
      <c r="AD232" s="50">
        <v>100</v>
      </c>
      <c r="AE232" s="42">
        <v>42</v>
      </c>
      <c r="AF232" s="52" t="str">
        <f>+IF(AE232&gt;0,FIXED(Fuelbeds_english!AF232*0.3048,1,0),AE232)</f>
        <v>0.2</v>
      </c>
      <c r="AG232" s="36">
        <v>70</v>
      </c>
      <c r="AH232" s="52" t="str">
        <f>+IF(AE232&gt;0,FIXED(Fuelbeds_english!AH232*2.242,1,0),AE232)</f>
        <v>0.8</v>
      </c>
      <c r="AI232" s="45">
        <v>40450</v>
      </c>
      <c r="AJ232" s="45" t="s">
        <v>148</v>
      </c>
      <c r="AK232" s="45">
        <v>100</v>
      </c>
      <c r="AL232" s="34">
        <v>17</v>
      </c>
      <c r="AM232" s="52" t="str">
        <f>+IF(AL232&gt;0,FIXED(Fuelbeds_english!AM232*2.54,1,0),AL232)</f>
        <v>2.3</v>
      </c>
      <c r="AN232" s="52" t="str">
        <f>+IF($AM232&gt;0,FIXED(Fuelbeds_english!AN232*2.242,1,0),$AM232)</f>
        <v>0.3</v>
      </c>
      <c r="AO232" s="52" t="str">
        <f>+IF($AM232&gt;0,FIXED(Fuelbeds_english!AO232*2.242,1,0),$AM232)</f>
        <v>0.4</v>
      </c>
      <c r="AP232" s="52" t="str">
        <f>+IF($AM232&gt;0,FIXED(Fuelbeds_english!AP232*2.242,1,0),$AM232)</f>
        <v>0.9</v>
      </c>
      <c r="AQ232" s="52" t="str">
        <f>+IF($AM232&gt;0,FIXED(Fuelbeds_english!AQ232*2.242,1,0),$AM232)</f>
        <v>0.8</v>
      </c>
      <c r="AR232" s="36">
        <v>195176</v>
      </c>
      <c r="AS232" s="45" t="s">
        <v>372</v>
      </c>
      <c r="AT232" s="45">
        <v>100</v>
      </c>
      <c r="AU232" s="44">
        <v>-1</v>
      </c>
      <c r="AV232" s="52">
        <f>+IF(AU232&gt;0,FIXED(Fuelbeds_english!AV232*2.54,1,0),AU232)</f>
        <v>-1</v>
      </c>
      <c r="AW232" s="52">
        <v>-1</v>
      </c>
      <c r="AX232" s="52">
        <v>-1</v>
      </c>
      <c r="AY232" s="52">
        <f>+IF(AX232&gt;0,FIXED(Fuelbeds_english!AY232*2.54,1,0),AX232)</f>
        <v>-1</v>
      </c>
      <c r="AZ232" s="45">
        <v>1</v>
      </c>
      <c r="BA232" s="36">
        <v>58</v>
      </c>
      <c r="BB232" s="52" t="str">
        <f>+IF(BA232&gt;0,FIXED(Fuelbeds_english!BB232*2.54,1,0),BA232)</f>
        <v>2.7</v>
      </c>
      <c r="BC232" s="45">
        <v>-1</v>
      </c>
      <c r="BD232" s="45">
        <v>-1</v>
      </c>
      <c r="BE232" s="45">
        <v>-1</v>
      </c>
      <c r="BF232" s="45">
        <v>-1</v>
      </c>
      <c r="BG232" s="45">
        <v>100</v>
      </c>
      <c r="BH232" s="45">
        <v>-1</v>
      </c>
      <c r="BI232" s="45">
        <v>-1</v>
      </c>
      <c r="BJ232" s="28">
        <v>1</v>
      </c>
      <c r="BK232" s="36">
        <v>58</v>
      </c>
      <c r="BL232" s="52" t="str">
        <f>+IF(BK232&gt;0,FIXED(Fuelbeds_english!BL232*2.54,1,0),BK232)</f>
        <v>1.9</v>
      </c>
      <c r="BM232" s="45">
        <v>3</v>
      </c>
      <c r="BN232" s="36">
        <v>58</v>
      </c>
      <c r="BO232" s="52" t="str">
        <f>+IF(BN232&gt;0,FIXED(Fuelbeds_english!BO232*2.54,1,0),BN232)</f>
        <v>1.9</v>
      </c>
    </row>
    <row r="233" spans="1:67" s="50" customFormat="1" x14ac:dyDescent="0.25">
      <c r="A233" s="50">
        <v>232</v>
      </c>
      <c r="B233" s="52" t="s">
        <v>298</v>
      </c>
      <c r="C233" s="68">
        <v>937040</v>
      </c>
      <c r="D233" s="22" t="s">
        <v>4</v>
      </c>
      <c r="E233" s="6" t="s">
        <v>17</v>
      </c>
      <c r="F233" s="39">
        <v>78</v>
      </c>
      <c r="G233" s="36">
        <v>78</v>
      </c>
      <c r="H233" s="45">
        <f>+IF(F233&gt;0,INT(Fuelbeds_english!H233*2.471),F233)</f>
        <v>170</v>
      </c>
      <c r="I233" s="36">
        <f>+IF(F233&gt;0,INT(Fuelbeds_english!I233*0.3048),F233)</f>
        <v>27</v>
      </c>
      <c r="J233" s="45">
        <f>+IF(F233&gt;0,INT(Fuelbeds_english!J233*0.3048),F233)</f>
        <v>18</v>
      </c>
      <c r="K233" s="45">
        <f>+IF(F233&gt;0,INT(Fuelbeds_english!K233*2.54),F233)</f>
        <v>43</v>
      </c>
      <c r="L233" s="36">
        <v>195176</v>
      </c>
      <c r="M233" s="36" t="s">
        <v>372</v>
      </c>
      <c r="N233" s="36">
        <v>100</v>
      </c>
      <c r="O233" s="36">
        <v>49.005235602094238</v>
      </c>
      <c r="P233" s="45">
        <f>+IF(O233&gt;0,INT(Fuelbeds_english!P233*2.471),O233)</f>
        <v>503</v>
      </c>
      <c r="Q233" s="36">
        <f>+IF(O233&gt;0,INT(Fuelbeds_english!Q233*0.3048),O233)</f>
        <v>13</v>
      </c>
      <c r="R233" s="45">
        <f>+IF(O233&gt;0,INT(Fuelbeds_english!R233*0.3048),O233)</f>
        <v>5</v>
      </c>
      <c r="S233" s="45">
        <f>+IF(O233&gt;0,INT(Fuelbeds_english!S233*2.54),O233)</f>
        <v>19</v>
      </c>
      <c r="T233" s="36">
        <v>195176</v>
      </c>
      <c r="U233" s="36" t="s">
        <v>372</v>
      </c>
      <c r="V233" s="36">
        <v>100</v>
      </c>
      <c r="W233" s="36">
        <v>-1</v>
      </c>
      <c r="X233" s="98">
        <v>-1</v>
      </c>
      <c r="Y233" s="29">
        <v>0.7077</v>
      </c>
      <c r="Z233" s="88" t="str">
        <f>+IF(Y233&gt;0,FIXED(Fuelbeds_english!Z233*0.3048,1,0),Y233)</f>
        <v>0.1</v>
      </c>
      <c r="AA233" s="46">
        <v>85</v>
      </c>
      <c r="AB233" s="50">
        <v>19092</v>
      </c>
      <c r="AC233" s="50" t="s">
        <v>160</v>
      </c>
      <c r="AD233" s="50">
        <v>100</v>
      </c>
      <c r="AE233" s="42">
        <v>23</v>
      </c>
      <c r="AF233" s="52" t="str">
        <f>+IF(AE233&gt;0,FIXED(Fuelbeds_english!AF233*0.3048,1,0),AE233)</f>
        <v>0.2</v>
      </c>
      <c r="AG233" s="36">
        <v>70</v>
      </c>
      <c r="AH233" s="52" t="str">
        <f>+IF(AE233&gt;0,FIXED(Fuelbeds_english!AH233*2.242,1,0),AE233)</f>
        <v>0.4</v>
      </c>
      <c r="AI233" s="45">
        <v>40450</v>
      </c>
      <c r="AJ233" s="45" t="s">
        <v>148</v>
      </c>
      <c r="AK233" s="45">
        <v>100</v>
      </c>
      <c r="AL233" s="34">
        <v>24</v>
      </c>
      <c r="AM233" s="52" t="str">
        <f>+IF(AL233&gt;0,FIXED(Fuelbeds_english!AM233*2.54,1,0),AL233)</f>
        <v>2.3</v>
      </c>
      <c r="AN233" s="52" t="str">
        <f>+IF($AM233&gt;0,FIXED(Fuelbeds_english!AN233*2.242,1,0),$AM233)</f>
        <v>0.4</v>
      </c>
      <c r="AO233" s="52" t="str">
        <f>+IF($AM233&gt;0,FIXED(Fuelbeds_english!AO233*2.242,1,0),$AM233)</f>
        <v>0.6</v>
      </c>
      <c r="AP233" s="52" t="str">
        <f>+IF($AM233&gt;0,FIXED(Fuelbeds_english!AP233*2.242,1,0),$AM233)</f>
        <v>1.2</v>
      </c>
      <c r="AQ233" s="52" t="str">
        <f>+IF($AM233&gt;0,FIXED(Fuelbeds_english!AQ233*2.242,1,0),$AM233)</f>
        <v>1.2</v>
      </c>
      <c r="AR233" s="36">
        <v>195176</v>
      </c>
      <c r="AS233" s="45" t="s">
        <v>372</v>
      </c>
      <c r="AT233" s="45">
        <v>100</v>
      </c>
      <c r="AU233" s="44">
        <v>-1</v>
      </c>
      <c r="AV233" s="52">
        <f>+IF(AU233&gt;0,FIXED(Fuelbeds_english!AV233*2.54,1,0),AU233)</f>
        <v>-1</v>
      </c>
      <c r="AW233" s="52">
        <v>-1</v>
      </c>
      <c r="AX233" s="52">
        <v>-1</v>
      </c>
      <c r="AY233" s="52">
        <f>+IF(AX233&gt;0,FIXED(Fuelbeds_english!AY233*2.54,1,0),AX233)</f>
        <v>-1</v>
      </c>
      <c r="AZ233" s="45">
        <v>1</v>
      </c>
      <c r="BA233" s="36">
        <v>82</v>
      </c>
      <c r="BB233" s="52" t="str">
        <f>+IF(BA233&gt;0,FIXED(Fuelbeds_english!BB233*2.54,1,0),BA233)</f>
        <v>2.7</v>
      </c>
      <c r="BC233" s="45">
        <v>-1</v>
      </c>
      <c r="BD233" s="45">
        <v>-1</v>
      </c>
      <c r="BE233" s="45">
        <v>-1</v>
      </c>
      <c r="BF233" s="45">
        <v>-1</v>
      </c>
      <c r="BG233" s="45">
        <v>100</v>
      </c>
      <c r="BH233" s="45">
        <v>-1</v>
      </c>
      <c r="BI233" s="45">
        <v>-1</v>
      </c>
      <c r="BJ233" s="28">
        <v>1</v>
      </c>
      <c r="BK233" s="36">
        <v>82</v>
      </c>
      <c r="BL233" s="52" t="str">
        <f>+IF(BK233&gt;0,FIXED(Fuelbeds_english!BL233*2.54,1,0),BK233)</f>
        <v>1.9</v>
      </c>
      <c r="BM233" s="45">
        <v>3</v>
      </c>
      <c r="BN233" s="36">
        <v>82</v>
      </c>
      <c r="BO233" s="52" t="str">
        <f>+IF(BN233&gt;0,FIXED(Fuelbeds_english!BO233*2.54,1,0),BN233)</f>
        <v>1.9</v>
      </c>
    </row>
    <row r="234" spans="1:67" s="50" customFormat="1" x14ac:dyDescent="0.25">
      <c r="A234" s="50">
        <v>233</v>
      </c>
      <c r="B234" s="52" t="s">
        <v>299</v>
      </c>
      <c r="C234" s="69">
        <v>917043</v>
      </c>
      <c r="D234" s="22" t="s">
        <v>4</v>
      </c>
      <c r="E234" s="75" t="s">
        <v>404</v>
      </c>
      <c r="F234" s="39">
        <v>18</v>
      </c>
      <c r="G234" s="36">
        <v>18</v>
      </c>
      <c r="H234" s="45">
        <f>+IF(F234&gt;0,INT(Fuelbeds_english!H234*2.471),F234)</f>
        <v>7</v>
      </c>
      <c r="I234" s="36">
        <f>+IF(F234&gt;0,INT(Fuelbeds_english!I234*0.3048),F234)</f>
        <v>14</v>
      </c>
      <c r="J234" s="45">
        <f>+IF(F234&gt;0,INT(Fuelbeds_english!J234*0.3048),F234)</f>
        <v>8</v>
      </c>
      <c r="K234" s="45">
        <f>+IF(F234&gt;0,INT(Fuelbeds_english!K234*2.54),F234)</f>
        <v>43</v>
      </c>
      <c r="L234" s="36">
        <v>27189</v>
      </c>
      <c r="M234" s="36" t="s">
        <v>401</v>
      </c>
      <c r="N234" s="36">
        <v>100</v>
      </c>
      <c r="O234" s="36">
        <v>8</v>
      </c>
      <c r="P234" s="45">
        <f>+IF(O234&gt;0,INT(Fuelbeds_english!P234*2.471),O234)</f>
        <v>51</v>
      </c>
      <c r="Q234" s="36">
        <f>+IF(O234&gt;0,INT(Fuelbeds_english!Q234*0.3048),O234)</f>
        <v>7</v>
      </c>
      <c r="R234" s="45">
        <f>+IF(O234&gt;0,INT(Fuelbeds_english!R234*0.3048),O234)</f>
        <v>3</v>
      </c>
      <c r="S234" s="45">
        <f>+IF(O234&gt;0,INT(Fuelbeds_english!S234*2.54),O234)</f>
        <v>15</v>
      </c>
      <c r="T234" s="45">
        <v>27189</v>
      </c>
      <c r="U234" s="36" t="s">
        <v>401</v>
      </c>
      <c r="V234" s="36">
        <v>100</v>
      </c>
      <c r="W234" s="36">
        <v>1</v>
      </c>
      <c r="X234" s="98">
        <v>4</v>
      </c>
      <c r="Y234" s="81">
        <v>-1</v>
      </c>
      <c r="Z234" s="88">
        <f>+IF(Y234&gt;0,FIXED(Fuelbeds_english!Z234*0.3048,1,0),Y234)</f>
        <v>-1</v>
      </c>
      <c r="AA234" s="48">
        <v>-1</v>
      </c>
      <c r="AB234" s="10">
        <v>-1</v>
      </c>
      <c r="AC234" s="10">
        <v>-1</v>
      </c>
      <c r="AD234" s="10">
        <v>-1</v>
      </c>
      <c r="AE234" s="42">
        <v>66</v>
      </c>
      <c r="AF234" s="52" t="str">
        <f>+IF(AE234&gt;0,FIXED(Fuelbeds_english!AF234*0.3048,1,0),AE234)</f>
        <v>0.2</v>
      </c>
      <c r="AG234" s="45">
        <v>80</v>
      </c>
      <c r="AH234" s="52" t="str">
        <f>+IF(AE234&gt;0,FIXED(Fuelbeds_english!AH234*2.242,1,0),AE234)</f>
        <v>1.2</v>
      </c>
      <c r="AI234" s="45">
        <v>39369</v>
      </c>
      <c r="AJ234" s="45" t="s">
        <v>391</v>
      </c>
      <c r="AK234" s="45">
        <v>100</v>
      </c>
      <c r="AL234" s="34">
        <v>16.7</v>
      </c>
      <c r="AM234" s="52" t="str">
        <f>+IF(AL234&gt;0,FIXED(Fuelbeds_english!AM234*2.54,1,0),AL234)</f>
        <v>7.6</v>
      </c>
      <c r="AN234" s="52" t="str">
        <f>+IF($AM234&gt;0,FIXED(Fuelbeds_english!AN234*2.242,1,0),$AM234)</f>
        <v>0.4</v>
      </c>
      <c r="AO234" s="52" t="str">
        <f>+IF($AM234&gt;0,FIXED(Fuelbeds_english!AO234*2.242,1,0),$AM234)</f>
        <v>1.6</v>
      </c>
      <c r="AP234" s="52" t="str">
        <f>+IF($AM234&gt;0,FIXED(Fuelbeds_english!AP234*2.242,1,0),$AM234)</f>
        <v>2.0</v>
      </c>
      <c r="AQ234" s="52" t="str">
        <f>+IF($AM234&gt;0,FIXED(Fuelbeds_english!AQ234*2.242,1,0),$AM234)</f>
        <v>1.8</v>
      </c>
      <c r="AR234" s="36">
        <v>27189</v>
      </c>
      <c r="AS234" s="45" t="s">
        <v>401</v>
      </c>
      <c r="AT234" s="45">
        <v>100</v>
      </c>
      <c r="AU234" s="44">
        <v>-1</v>
      </c>
      <c r="AV234" s="52">
        <f>+IF(AU234&gt;0,FIXED(Fuelbeds_english!AV234*2.54,1,0),AU234)</f>
        <v>-1</v>
      </c>
      <c r="AW234" s="52">
        <v>-1</v>
      </c>
      <c r="AX234" s="52">
        <v>-1</v>
      </c>
      <c r="AY234" s="52">
        <f>+IF(AX234&gt;0,FIXED(Fuelbeds_english!AY234*2.54,1,0),AX234)</f>
        <v>-1</v>
      </c>
      <c r="AZ234" s="45">
        <v>1</v>
      </c>
      <c r="BA234" s="36">
        <v>20.399999999999999</v>
      </c>
      <c r="BB234" s="52" t="str">
        <f>+IF(BA234&gt;0,FIXED(Fuelbeds_english!BB234*2.54,1,0),BA234)</f>
        <v>4.6</v>
      </c>
      <c r="BC234" s="45">
        <v>-1</v>
      </c>
      <c r="BD234" s="45">
        <v>-1</v>
      </c>
      <c r="BE234" s="45">
        <v>-1</v>
      </c>
      <c r="BF234" s="45">
        <v>-1</v>
      </c>
      <c r="BG234" s="45">
        <v>100</v>
      </c>
      <c r="BH234" s="45">
        <v>-1</v>
      </c>
      <c r="BI234" s="45">
        <v>-1</v>
      </c>
      <c r="BJ234" s="28">
        <v>1</v>
      </c>
      <c r="BK234" s="36">
        <v>20.399999999999999</v>
      </c>
      <c r="BL234" s="52" t="str">
        <f>+IF(BK234&gt;0,FIXED(Fuelbeds_english!BL234*2.54,1,0),BK234)</f>
        <v>5.1</v>
      </c>
      <c r="BM234" s="45">
        <v>3</v>
      </c>
      <c r="BN234" s="36">
        <v>20.399999999999999</v>
      </c>
      <c r="BO234" s="52" t="str">
        <f>+IF(BN234&gt;0,FIXED(Fuelbeds_english!BO234*2.54,1,0),BN234)</f>
        <v>5.1</v>
      </c>
    </row>
    <row r="235" spans="1:67" s="50" customFormat="1" x14ac:dyDescent="0.25">
      <c r="A235" s="50">
        <v>234</v>
      </c>
      <c r="B235" s="52" t="s">
        <v>300</v>
      </c>
      <c r="C235" s="69">
        <v>927043</v>
      </c>
      <c r="D235" s="22" t="s">
        <v>4</v>
      </c>
      <c r="E235" s="75" t="s">
        <v>404</v>
      </c>
      <c r="F235" s="39">
        <v>53</v>
      </c>
      <c r="G235" s="36">
        <v>53</v>
      </c>
      <c r="H235" s="45">
        <f>+IF(F235&gt;0,INT(Fuelbeds_english!H235*2.471),F235)</f>
        <v>22</v>
      </c>
      <c r="I235" s="36">
        <f>+IF(F235&gt;0,INT(Fuelbeds_english!I235*0.3048),F235)</f>
        <v>19</v>
      </c>
      <c r="J235" s="45">
        <f>+IF(F235&gt;0,INT(Fuelbeds_english!J235*0.3048),F235)</f>
        <v>11</v>
      </c>
      <c r="K235" s="45">
        <f>+IF(F235&gt;0,INT(Fuelbeds_english!K235*2.54),F235)</f>
        <v>58</v>
      </c>
      <c r="L235" s="36">
        <v>27189</v>
      </c>
      <c r="M235" s="36" t="s">
        <v>401</v>
      </c>
      <c r="N235" s="36">
        <v>100</v>
      </c>
      <c r="O235" s="36">
        <v>25</v>
      </c>
      <c r="P235" s="45">
        <f>+IF(O235&gt;0,INT(Fuelbeds_english!P235*2.471),O235)</f>
        <v>155</v>
      </c>
      <c r="Q235" s="36">
        <f>+IF(O235&gt;0,INT(Fuelbeds_english!Q235*0.3048),O235)</f>
        <v>9</v>
      </c>
      <c r="R235" s="45">
        <f>+IF(O235&gt;0,INT(Fuelbeds_english!R235*0.3048),O235)</f>
        <v>4</v>
      </c>
      <c r="S235" s="45">
        <f>+IF(O235&gt;0,INT(Fuelbeds_english!S235*2.54),O235)</f>
        <v>22</v>
      </c>
      <c r="T235" s="45">
        <v>27189</v>
      </c>
      <c r="U235" s="36" t="s">
        <v>401</v>
      </c>
      <c r="V235" s="36">
        <v>100</v>
      </c>
      <c r="W235" s="36">
        <v>1</v>
      </c>
      <c r="X235" s="98">
        <v>4</v>
      </c>
      <c r="Y235" s="81">
        <v>-1</v>
      </c>
      <c r="Z235" s="88">
        <f>+IF(Y235&gt;0,FIXED(Fuelbeds_english!Z235*0.3048,1,0),Y235)</f>
        <v>-1</v>
      </c>
      <c r="AA235" s="48">
        <v>-1</v>
      </c>
      <c r="AB235" s="10">
        <v>-1</v>
      </c>
      <c r="AC235" s="10">
        <v>-1</v>
      </c>
      <c r="AD235" s="10">
        <v>-1</v>
      </c>
      <c r="AE235" s="42">
        <v>47</v>
      </c>
      <c r="AF235" s="52" t="str">
        <f>+IF(AE235&gt;0,FIXED(Fuelbeds_english!AF235*0.3048,1,0),AE235)</f>
        <v>0.2</v>
      </c>
      <c r="AG235" s="45">
        <v>80</v>
      </c>
      <c r="AH235" s="52" t="str">
        <f>+IF(AE235&gt;0,FIXED(Fuelbeds_english!AH235*2.242,1,0),AE235)</f>
        <v>0.9</v>
      </c>
      <c r="AI235" s="45">
        <v>39369</v>
      </c>
      <c r="AJ235" s="45" t="s">
        <v>391</v>
      </c>
      <c r="AK235" s="45">
        <v>100</v>
      </c>
      <c r="AL235" s="34">
        <v>50.2</v>
      </c>
      <c r="AM235" s="52" t="str">
        <f>+IF(AL235&gt;0,FIXED(Fuelbeds_english!AM235*2.54,1,0),AL235)</f>
        <v>7.6</v>
      </c>
      <c r="AN235" s="52" t="str">
        <f>+IF($AM235&gt;0,FIXED(Fuelbeds_english!AN235*2.242,1,0),$AM235)</f>
        <v>1.1</v>
      </c>
      <c r="AO235" s="52" t="str">
        <f>+IF($AM235&gt;0,FIXED(Fuelbeds_english!AO235*2.242,1,0),$AM235)</f>
        <v>4.7</v>
      </c>
      <c r="AP235" s="52" t="str">
        <f>+IF($AM235&gt;0,FIXED(Fuelbeds_english!AP235*2.242,1,0),$AM235)</f>
        <v>5.8</v>
      </c>
      <c r="AQ235" s="52" t="str">
        <f>+IF($AM235&gt;0,FIXED(Fuelbeds_english!AQ235*2.242,1,0),$AM235)</f>
        <v>5.6</v>
      </c>
      <c r="AR235" s="36">
        <v>27189</v>
      </c>
      <c r="AS235" s="45" t="s">
        <v>401</v>
      </c>
      <c r="AT235" s="45">
        <v>100</v>
      </c>
      <c r="AU235" s="44">
        <v>-1</v>
      </c>
      <c r="AV235" s="52">
        <f>+IF(AU235&gt;0,FIXED(Fuelbeds_english!AV235*2.54,1,0),AU235)</f>
        <v>-1</v>
      </c>
      <c r="AW235" s="52">
        <v>-1</v>
      </c>
      <c r="AX235" s="52">
        <v>-1</v>
      </c>
      <c r="AY235" s="52">
        <f>+IF(AX235&gt;0,FIXED(Fuelbeds_english!AY235*2.54,1,0),AX235)</f>
        <v>-1</v>
      </c>
      <c r="AZ235" s="45">
        <v>1</v>
      </c>
      <c r="BA235" s="36">
        <v>61.5</v>
      </c>
      <c r="BB235" s="52" t="str">
        <f>+IF(BA235&gt;0,FIXED(Fuelbeds_english!BB235*2.54,1,0),BA235)</f>
        <v>4.6</v>
      </c>
      <c r="BC235" s="45">
        <v>-1</v>
      </c>
      <c r="BD235" s="45">
        <v>-1</v>
      </c>
      <c r="BE235" s="45">
        <v>-1</v>
      </c>
      <c r="BF235" s="45">
        <v>-1</v>
      </c>
      <c r="BG235" s="45">
        <v>100</v>
      </c>
      <c r="BH235" s="45">
        <v>-1</v>
      </c>
      <c r="BI235" s="45">
        <v>-1</v>
      </c>
      <c r="BJ235" s="28">
        <v>1</v>
      </c>
      <c r="BK235" s="36">
        <v>61.5</v>
      </c>
      <c r="BL235" s="52" t="str">
        <f>+IF(BK235&gt;0,FIXED(Fuelbeds_english!BL235*2.54,1,0),BK235)</f>
        <v>5.1</v>
      </c>
      <c r="BM235" s="45">
        <v>3</v>
      </c>
      <c r="BN235" s="36">
        <v>61.5</v>
      </c>
      <c r="BO235" s="52" t="str">
        <f>+IF(BN235&gt;0,FIXED(Fuelbeds_english!BO235*2.54,1,0),BN235)</f>
        <v>5.1</v>
      </c>
    </row>
    <row r="236" spans="1:67" s="50" customFormat="1" x14ac:dyDescent="0.25">
      <c r="A236" s="50">
        <v>235</v>
      </c>
      <c r="B236" s="52" t="s">
        <v>301</v>
      </c>
      <c r="C236" s="68">
        <v>917061</v>
      </c>
      <c r="D236" s="22" t="s">
        <v>4</v>
      </c>
      <c r="E236" s="11" t="s">
        <v>16</v>
      </c>
      <c r="F236" s="39">
        <v>18.2</v>
      </c>
      <c r="G236" s="36">
        <v>18.2</v>
      </c>
      <c r="H236" s="45">
        <f>+IF(F236&gt;0,INT(Fuelbeds_english!H236*2.471),F236)</f>
        <v>30</v>
      </c>
      <c r="I236" s="36">
        <f>+IF(F236&gt;0,INT(Fuelbeds_english!I236*0.3048),F236)</f>
        <v>12</v>
      </c>
      <c r="J236" s="45">
        <f>+IF(F236&gt;0,INT(Fuelbeds_english!J236*0.3048),F236)</f>
        <v>8</v>
      </c>
      <c r="K236" s="45">
        <f>+IF(F236&gt;0,INT(Fuelbeds_english!K236*2.54),F236)</f>
        <v>19</v>
      </c>
      <c r="L236" s="36">
        <v>28766</v>
      </c>
      <c r="M236" s="36" t="s">
        <v>137</v>
      </c>
      <c r="N236" s="36">
        <v>100</v>
      </c>
      <c r="O236" s="36">
        <v>10.92</v>
      </c>
      <c r="P236" s="45">
        <f>+IF(O236&gt;0,INT(Fuelbeds_english!P236*2.471),O236)</f>
        <v>60</v>
      </c>
      <c r="Q236" s="36">
        <f>+IF(O236&gt;0,INT(Fuelbeds_english!Q236*0.3048),O236)</f>
        <v>7</v>
      </c>
      <c r="R236" s="45">
        <f>+IF(O236&gt;0,INT(Fuelbeds_english!R236*0.3048),O236)</f>
        <v>3</v>
      </c>
      <c r="S236" s="45">
        <f>+IF(O236&gt;0,INT(Fuelbeds_english!S236*2.54),O236)</f>
        <v>11</v>
      </c>
      <c r="T236" s="36">
        <v>28766</v>
      </c>
      <c r="U236" s="36" t="s">
        <v>137</v>
      </c>
      <c r="V236" s="36">
        <v>100</v>
      </c>
      <c r="W236" s="36">
        <v>1</v>
      </c>
      <c r="X236" s="98">
        <v>3</v>
      </c>
      <c r="Y236" s="29">
        <v>51.697500000000005</v>
      </c>
      <c r="Z236" s="88" t="str">
        <f>+IF(Y236&gt;0,FIXED(Fuelbeds_english!Z236*0.3048,1,0),Y236)</f>
        <v>2.1</v>
      </c>
      <c r="AA236" s="46">
        <v>85</v>
      </c>
      <c r="AB236" s="46">
        <v>28862</v>
      </c>
      <c r="AC236" s="46" t="s">
        <v>376</v>
      </c>
      <c r="AD236" s="46">
        <v>100</v>
      </c>
      <c r="AE236" s="42">
        <v>17</v>
      </c>
      <c r="AF236" s="52" t="str">
        <f>+IF(AE236&gt;0,FIXED(Fuelbeds_english!AF236*0.3048,1,0),AE236)</f>
        <v>0.3</v>
      </c>
      <c r="AG236" s="36">
        <v>85</v>
      </c>
      <c r="AH236" s="52" t="str">
        <f>+IF(AE236&gt;0,FIXED(Fuelbeds_english!AH236*2.242,1,0),AE236)</f>
        <v>0.2</v>
      </c>
      <c r="AI236" s="36">
        <v>40450</v>
      </c>
      <c r="AJ236" s="36" t="s">
        <v>148</v>
      </c>
      <c r="AK236" s="36">
        <v>100</v>
      </c>
      <c r="AL236" s="34">
        <v>4.68</v>
      </c>
      <c r="AM236" s="52" t="str">
        <f>+IF(AL236&gt;0,FIXED(Fuelbeds_english!AM236*2.54,1,0),AL236)</f>
        <v>1.9</v>
      </c>
      <c r="AN236" s="52" t="str">
        <f>+IF($AM236&gt;0,FIXED(Fuelbeds_english!AN236*2.242,1,0),$AM236)</f>
        <v>0.1</v>
      </c>
      <c r="AO236" s="52" t="str">
        <f>+IF($AM236&gt;0,FIXED(Fuelbeds_english!AO236*2.242,1,0),$AM236)</f>
        <v>0.2</v>
      </c>
      <c r="AP236" s="52" t="str">
        <f>+IF($AM236&gt;0,FIXED(Fuelbeds_english!AP236*2.242,1,0),$AM236)</f>
        <v>0.5</v>
      </c>
      <c r="AQ236" s="52" t="str">
        <f>+IF($AM236&gt;0,FIXED(Fuelbeds_english!AQ236*2.242,1,0),$AM236)</f>
        <v>0.7</v>
      </c>
      <c r="AR236" s="36">
        <v>28766</v>
      </c>
      <c r="AS236" s="36" t="s">
        <v>137</v>
      </c>
      <c r="AT236" s="36">
        <v>100</v>
      </c>
      <c r="AU236" s="44">
        <v>-1</v>
      </c>
      <c r="AV236" s="52">
        <f>+IF(AU236&gt;0,FIXED(Fuelbeds_english!AV236*2.54,1,0),AU236)</f>
        <v>-1</v>
      </c>
      <c r="AW236" s="52">
        <v>-1</v>
      </c>
      <c r="AX236" s="52">
        <v>-1</v>
      </c>
      <c r="AY236" s="52">
        <f>+IF(AX236&gt;0,FIXED(Fuelbeds_english!AY236*2.54,1,0),AX236)</f>
        <v>-1</v>
      </c>
      <c r="AZ236" s="45">
        <v>1</v>
      </c>
      <c r="BA236" s="36">
        <v>18.2</v>
      </c>
      <c r="BB236" s="52" t="str">
        <f>+IF(BA236&gt;0,FIXED(Fuelbeds_english!BB236*2.54,1,0),BA236)</f>
        <v>2.5</v>
      </c>
      <c r="BC236" s="45">
        <v>-1</v>
      </c>
      <c r="BD236" s="45">
        <v>-1</v>
      </c>
      <c r="BE236" s="45">
        <v>-1</v>
      </c>
      <c r="BF236" s="45">
        <v>100</v>
      </c>
      <c r="BG236" s="45">
        <v>-1</v>
      </c>
      <c r="BH236" s="45">
        <v>-1</v>
      </c>
      <c r="BI236" s="45">
        <v>-1</v>
      </c>
      <c r="BJ236" s="28">
        <v>1</v>
      </c>
      <c r="BK236" s="36">
        <v>16.64</v>
      </c>
      <c r="BL236" s="52" t="str">
        <f>+IF(BK236&gt;0,FIXED(Fuelbeds_english!BL236*2.54,1,0),BK236)</f>
        <v>3.2</v>
      </c>
      <c r="BM236" s="45">
        <v>3</v>
      </c>
      <c r="BN236" s="36">
        <v>16.64</v>
      </c>
      <c r="BO236" s="52" t="str">
        <f>+IF(BN236&gt;0,FIXED(Fuelbeds_english!BO236*2.54,1,0),BN236)</f>
        <v>3.2</v>
      </c>
    </row>
    <row r="237" spans="1:67" s="50" customFormat="1" x14ac:dyDescent="0.25">
      <c r="A237" s="50">
        <v>236</v>
      </c>
      <c r="B237" s="52" t="s">
        <v>302</v>
      </c>
      <c r="C237" s="68">
        <v>927061</v>
      </c>
      <c r="D237" s="22" t="s">
        <v>4</v>
      </c>
      <c r="E237" s="11" t="s">
        <v>16</v>
      </c>
      <c r="F237" s="39">
        <v>50.7</v>
      </c>
      <c r="G237" s="36">
        <v>50.7</v>
      </c>
      <c r="H237" s="45">
        <f>+IF(F237&gt;0,INT(Fuelbeds_english!H237*2.471),F237)</f>
        <v>85</v>
      </c>
      <c r="I237" s="36">
        <f>+IF(F237&gt;0,INT(Fuelbeds_english!I237*0.3048),F237)</f>
        <v>14</v>
      </c>
      <c r="J237" s="45">
        <f>+IF(F237&gt;0,INT(Fuelbeds_english!J237*0.3048),F237)</f>
        <v>10</v>
      </c>
      <c r="K237" s="45">
        <f>+IF(F237&gt;0,INT(Fuelbeds_english!K237*2.54),F237)</f>
        <v>23</v>
      </c>
      <c r="L237" s="36">
        <v>28766</v>
      </c>
      <c r="M237" s="36" t="s">
        <v>137</v>
      </c>
      <c r="N237" s="36">
        <v>100</v>
      </c>
      <c r="O237" s="36">
        <v>30.42</v>
      </c>
      <c r="P237" s="45">
        <f>+IF(O237&gt;0,INT(Fuelbeds_english!P237*2.471),O237)</f>
        <v>168</v>
      </c>
      <c r="Q237" s="36">
        <f>+IF(O237&gt;0,INT(Fuelbeds_english!Q237*0.3048),O237)</f>
        <v>8</v>
      </c>
      <c r="R237" s="45">
        <f>+IF(O237&gt;0,INT(Fuelbeds_english!R237*0.3048),O237)</f>
        <v>4</v>
      </c>
      <c r="S237" s="45">
        <f>+IF(O237&gt;0,INT(Fuelbeds_english!S237*2.54),O237)</f>
        <v>13</v>
      </c>
      <c r="T237" s="36">
        <v>28766</v>
      </c>
      <c r="U237" s="36" t="s">
        <v>137</v>
      </c>
      <c r="V237" s="36">
        <v>100</v>
      </c>
      <c r="W237" s="36">
        <v>1</v>
      </c>
      <c r="X237" s="98">
        <v>3</v>
      </c>
      <c r="Y237" s="29">
        <v>36.974999999999994</v>
      </c>
      <c r="Z237" s="88" t="str">
        <f>+IF(Y237&gt;0,FIXED(Fuelbeds_english!Z237*0.3048,1,0),Y237)</f>
        <v>2.1</v>
      </c>
      <c r="AA237" s="46">
        <v>85</v>
      </c>
      <c r="AB237" s="46">
        <v>28862</v>
      </c>
      <c r="AC237" s="46" t="s">
        <v>376</v>
      </c>
      <c r="AD237" s="46">
        <v>100</v>
      </c>
      <c r="AE237" s="42">
        <v>12</v>
      </c>
      <c r="AF237" s="52" t="str">
        <f>+IF(AE237&gt;0,FIXED(Fuelbeds_english!AF237*0.3048,1,0),AE237)</f>
        <v>0.3</v>
      </c>
      <c r="AG237" s="36">
        <v>85</v>
      </c>
      <c r="AH237" s="52" t="str">
        <f>+IF(AE237&gt;0,FIXED(Fuelbeds_english!AH237*2.242,1,0),AE237)</f>
        <v>0.1</v>
      </c>
      <c r="AI237" s="36">
        <v>40450</v>
      </c>
      <c r="AJ237" s="36" t="s">
        <v>148</v>
      </c>
      <c r="AK237" s="36">
        <v>100</v>
      </c>
      <c r="AL237" s="34">
        <v>13.037142857142857</v>
      </c>
      <c r="AM237" s="52" t="str">
        <f>+IF(AL237&gt;0,FIXED(Fuelbeds_english!AM237*2.54,1,0),AL237)</f>
        <v>1.9</v>
      </c>
      <c r="AN237" s="52" t="str">
        <f>+IF($AM237&gt;0,FIXED(Fuelbeds_english!AN237*2.242,1,0),$AM237)</f>
        <v>0.4</v>
      </c>
      <c r="AO237" s="52" t="str">
        <f>+IF($AM237&gt;0,FIXED(Fuelbeds_english!AO237*2.242,1,0),$AM237)</f>
        <v>0.5</v>
      </c>
      <c r="AP237" s="52" t="str">
        <f>+IF($AM237&gt;0,FIXED(Fuelbeds_english!AP237*2.242,1,0),$AM237)</f>
        <v>1.3</v>
      </c>
      <c r="AQ237" s="52" t="str">
        <f>+IF($AM237&gt;0,FIXED(Fuelbeds_english!AQ237*2.242,1,0),$AM237)</f>
        <v>1.9</v>
      </c>
      <c r="AR237" s="36">
        <v>28766</v>
      </c>
      <c r="AS237" s="36" t="s">
        <v>137</v>
      </c>
      <c r="AT237" s="36">
        <v>100</v>
      </c>
      <c r="AU237" s="44">
        <v>-1</v>
      </c>
      <c r="AV237" s="52">
        <f>+IF(AU237&gt;0,FIXED(Fuelbeds_english!AV237*2.54,1,0),AU237)</f>
        <v>-1</v>
      </c>
      <c r="AW237" s="52">
        <v>-1</v>
      </c>
      <c r="AX237" s="52">
        <v>-1</v>
      </c>
      <c r="AY237" s="52">
        <f>+IF(AX237&gt;0,FIXED(Fuelbeds_english!AY237*2.54,1,0),AX237)</f>
        <v>-1</v>
      </c>
      <c r="AZ237" s="45">
        <v>1</v>
      </c>
      <c r="BA237" s="36">
        <v>50.7</v>
      </c>
      <c r="BB237" s="52" t="str">
        <f>+IF(BA237&gt;0,FIXED(Fuelbeds_english!BB237*2.54,1,0),BA237)</f>
        <v>2.5</v>
      </c>
      <c r="BC237" s="45">
        <v>-1</v>
      </c>
      <c r="BD237" s="45">
        <v>-1</v>
      </c>
      <c r="BE237" s="45">
        <v>-1</v>
      </c>
      <c r="BF237" s="45">
        <v>100</v>
      </c>
      <c r="BG237" s="45">
        <v>-1</v>
      </c>
      <c r="BH237" s="45">
        <v>-1</v>
      </c>
      <c r="BI237" s="45">
        <v>-1</v>
      </c>
      <c r="BJ237" s="28">
        <v>1</v>
      </c>
      <c r="BK237" s="36">
        <v>46.354285714285716</v>
      </c>
      <c r="BL237" s="52" t="str">
        <f>+IF(BK237&gt;0,FIXED(Fuelbeds_english!BL237*2.54,1,0),BK237)</f>
        <v>3.2</v>
      </c>
      <c r="BM237" s="45">
        <v>3</v>
      </c>
      <c r="BN237" s="36">
        <v>46.354285714285716</v>
      </c>
      <c r="BO237" s="52" t="str">
        <f>+IF(BN237&gt;0,FIXED(Fuelbeds_english!BO237*2.54,1,0),BN237)</f>
        <v>3.2</v>
      </c>
    </row>
    <row r="238" spans="1:67" s="50" customFormat="1" x14ac:dyDescent="0.25">
      <c r="A238" s="50">
        <v>237</v>
      </c>
      <c r="B238" s="52" t="s">
        <v>303</v>
      </c>
      <c r="C238" s="68">
        <v>937061</v>
      </c>
      <c r="D238" s="22" t="s">
        <v>4</v>
      </c>
      <c r="E238" s="11" t="s">
        <v>16</v>
      </c>
      <c r="F238" s="39">
        <v>76.900000000000006</v>
      </c>
      <c r="G238" s="36">
        <v>76.900000000000006</v>
      </c>
      <c r="H238" s="45">
        <f>+IF(F238&gt;0,INT(Fuelbeds_english!H238*2.471),F238)</f>
        <v>130</v>
      </c>
      <c r="I238" s="36">
        <f>+IF(F238&gt;0,INT(Fuelbeds_english!I238*0.3048),F238)</f>
        <v>23</v>
      </c>
      <c r="J238" s="45">
        <f>+IF(F238&gt;0,INT(Fuelbeds_english!J238*0.3048),F238)</f>
        <v>16</v>
      </c>
      <c r="K238" s="45">
        <f>+IF(F238&gt;0,INT(Fuelbeds_english!K238*2.54),F238)</f>
        <v>36</v>
      </c>
      <c r="L238" s="36">
        <v>28766</v>
      </c>
      <c r="M238" s="36" t="s">
        <v>137</v>
      </c>
      <c r="N238" s="36">
        <v>100</v>
      </c>
      <c r="O238" s="36">
        <v>46.140000000000008</v>
      </c>
      <c r="P238" s="45">
        <f>+IF(O238&gt;0,INT(Fuelbeds_english!P238*2.471),O238)</f>
        <v>255</v>
      </c>
      <c r="Q238" s="36">
        <f>+IF(O238&gt;0,INT(Fuelbeds_english!Q238*0.3048),O238)</f>
        <v>13</v>
      </c>
      <c r="R238" s="45">
        <f>+IF(O238&gt;0,INT(Fuelbeds_english!R238*0.3048),O238)</f>
        <v>6</v>
      </c>
      <c r="S238" s="45">
        <f>+IF(O238&gt;0,INT(Fuelbeds_english!S238*2.54),O238)</f>
        <v>20</v>
      </c>
      <c r="T238" s="36">
        <v>28766</v>
      </c>
      <c r="U238" s="36" t="s">
        <v>137</v>
      </c>
      <c r="V238" s="36">
        <v>100</v>
      </c>
      <c r="W238" s="36">
        <v>1</v>
      </c>
      <c r="X238" s="98">
        <v>3</v>
      </c>
      <c r="Y238" s="29">
        <v>17.324999999999996</v>
      </c>
      <c r="Z238" s="88" t="str">
        <f>+IF(Y238&gt;0,FIXED(Fuelbeds_english!Z238*0.3048,1,0),Y238)</f>
        <v>2.1</v>
      </c>
      <c r="AA238" s="46">
        <v>85</v>
      </c>
      <c r="AB238" s="46">
        <v>28862</v>
      </c>
      <c r="AC238" s="46" t="s">
        <v>376</v>
      </c>
      <c r="AD238" s="46">
        <v>100</v>
      </c>
      <c r="AE238" s="42">
        <v>6</v>
      </c>
      <c r="AF238" s="52" t="str">
        <f>+IF(AE238&gt;0,FIXED(Fuelbeds_english!AF238*0.3048,1,0),AE238)</f>
        <v>0.3</v>
      </c>
      <c r="AG238" s="36">
        <v>85</v>
      </c>
      <c r="AH238" s="52" t="str">
        <f>+IF(AE238&gt;0,FIXED(Fuelbeds_english!AH238*2.242,1,0),AE238)</f>
        <v>0.1</v>
      </c>
      <c r="AI238" s="36">
        <v>40450</v>
      </c>
      <c r="AJ238" s="36" t="s">
        <v>148</v>
      </c>
      <c r="AK238" s="36">
        <v>100</v>
      </c>
      <c r="AL238" s="34">
        <v>19.774285714285718</v>
      </c>
      <c r="AM238" s="52" t="str">
        <f>+IF(AL238&gt;0,FIXED(Fuelbeds_english!AM238*2.54,1,0),AL238)</f>
        <v>1.9</v>
      </c>
      <c r="AN238" s="52" t="str">
        <f>+IF($AM238&gt;0,FIXED(Fuelbeds_english!AN238*2.242,1,0),$AM238)</f>
        <v>0.6</v>
      </c>
      <c r="AO238" s="52" t="str">
        <f>+IF($AM238&gt;0,FIXED(Fuelbeds_english!AO238*2.242,1,0),$AM238)</f>
        <v>0.7</v>
      </c>
      <c r="AP238" s="52" t="str">
        <f>+IF($AM238&gt;0,FIXED(Fuelbeds_english!AP238*2.242,1,0),$AM238)</f>
        <v>2.0</v>
      </c>
      <c r="AQ238" s="52" t="str">
        <f>+IF($AM238&gt;0,FIXED(Fuelbeds_english!AQ238*2.242,1,0),$AM238)</f>
        <v>3.0</v>
      </c>
      <c r="AR238" s="36">
        <v>28766</v>
      </c>
      <c r="AS238" s="36" t="s">
        <v>137</v>
      </c>
      <c r="AT238" s="36">
        <v>100</v>
      </c>
      <c r="AU238" s="44">
        <v>-1</v>
      </c>
      <c r="AV238" s="52">
        <f>+IF(AU238&gt;0,FIXED(Fuelbeds_english!AV238*2.54,1,0),AU238)</f>
        <v>-1</v>
      </c>
      <c r="AW238" s="52">
        <v>-1</v>
      </c>
      <c r="AX238" s="52">
        <v>-1</v>
      </c>
      <c r="AY238" s="52">
        <f>+IF(AX238&gt;0,FIXED(Fuelbeds_english!AY238*2.54,1,0),AX238)</f>
        <v>-1</v>
      </c>
      <c r="AZ238" s="45">
        <v>1</v>
      </c>
      <c r="BA238" s="36">
        <v>76.900000000000006</v>
      </c>
      <c r="BB238" s="52" t="str">
        <f>+IF(BA238&gt;0,FIXED(Fuelbeds_english!BB238*2.54,1,0),BA238)</f>
        <v>2.5</v>
      </c>
      <c r="BC238" s="45">
        <v>-1</v>
      </c>
      <c r="BD238" s="45">
        <v>-1</v>
      </c>
      <c r="BE238" s="45">
        <v>-1</v>
      </c>
      <c r="BF238" s="45">
        <v>100</v>
      </c>
      <c r="BG238" s="45">
        <v>-1</v>
      </c>
      <c r="BH238" s="45">
        <v>-1</v>
      </c>
      <c r="BI238" s="45">
        <v>-1</v>
      </c>
      <c r="BJ238" s="28">
        <v>1</v>
      </c>
      <c r="BK238" s="36">
        <v>70.308571428571426</v>
      </c>
      <c r="BL238" s="52" t="str">
        <f>+IF(BK238&gt;0,FIXED(Fuelbeds_english!BL238*2.54,1,0),BK238)</f>
        <v>3.2</v>
      </c>
      <c r="BM238" s="45">
        <v>3</v>
      </c>
      <c r="BN238" s="36">
        <v>70.308571428571426</v>
      </c>
      <c r="BO238" s="52" t="str">
        <f>+IF(BN238&gt;0,FIXED(Fuelbeds_english!BO238*2.54,1,0),BN238)</f>
        <v>3.2</v>
      </c>
    </row>
    <row r="239" spans="1:67" s="50" customFormat="1" x14ac:dyDescent="0.25">
      <c r="A239" s="50">
        <v>238</v>
      </c>
      <c r="B239" s="36">
        <v>7091</v>
      </c>
      <c r="C239" s="46">
        <v>7091</v>
      </c>
      <c r="D239" s="22" t="s">
        <v>4</v>
      </c>
      <c r="E239" s="24" t="s">
        <v>353</v>
      </c>
      <c r="F239" s="39">
        <v>29.33</v>
      </c>
      <c r="G239" s="36">
        <v>17.430817226528504</v>
      </c>
      <c r="H239" s="45">
        <f>+IF(F239&gt;0,INT(Fuelbeds_english!H239*2.471),F239)</f>
        <v>65</v>
      </c>
      <c r="I239" s="36">
        <f>+IF(F239&gt;0,INT(Fuelbeds_english!I239*0.3048),F239)</f>
        <v>16</v>
      </c>
      <c r="J239" s="45">
        <f>+IF(F239&gt;0,INT(Fuelbeds_english!J239*0.3048),F239)</f>
        <v>11</v>
      </c>
      <c r="K239" s="45">
        <f>+IF(F239&gt;0,INT(Fuelbeds_english!K239*2.54),F239)</f>
        <v>24</v>
      </c>
      <c r="L239" s="36">
        <v>18047</v>
      </c>
      <c r="M239" s="36" t="s">
        <v>379</v>
      </c>
      <c r="N239" s="36">
        <v>100</v>
      </c>
      <c r="O239" s="36">
        <v>29.33</v>
      </c>
      <c r="P239" s="45">
        <f>+IF(O239&gt;0,INT(Fuelbeds_english!P239*2.471),O239)</f>
        <v>133</v>
      </c>
      <c r="Q239" s="36">
        <f>+IF(O239&gt;0,INT(Fuelbeds_english!Q239*0.3048),O239)</f>
        <v>10</v>
      </c>
      <c r="R239" s="45">
        <f>+IF(O239&gt;0,INT(Fuelbeds_english!R239*0.3048),O239)</f>
        <v>5</v>
      </c>
      <c r="S239" s="45">
        <f>+IF(O239&gt;0,INT(Fuelbeds_english!S239*2.54),O239)</f>
        <v>12</v>
      </c>
      <c r="T239" s="36">
        <v>18047</v>
      </c>
      <c r="U239" s="36" t="s">
        <v>379</v>
      </c>
      <c r="V239" s="36">
        <v>100</v>
      </c>
      <c r="W239" s="36">
        <v>-1</v>
      </c>
      <c r="X239" s="98">
        <v>-1</v>
      </c>
      <c r="Y239" s="29">
        <v>8</v>
      </c>
      <c r="Z239" s="88" t="str">
        <f>+IF(Y239&gt;0,FIXED(Fuelbeds_english!Z239*0.3048,1,0),Y239)</f>
        <v>0.8</v>
      </c>
      <c r="AA239" s="46">
        <v>85</v>
      </c>
      <c r="AB239" s="50">
        <v>18148</v>
      </c>
      <c r="AC239" s="50" t="s">
        <v>371</v>
      </c>
      <c r="AD239" s="50">
        <v>100</v>
      </c>
      <c r="AE239" s="42">
        <v>55</v>
      </c>
      <c r="AF239" s="52" t="str">
        <f>+IF(AE239&gt;0,FIXED(Fuelbeds_english!AF239*0.3048,1,0),AE239)</f>
        <v>0.3</v>
      </c>
      <c r="AG239" s="36">
        <v>70</v>
      </c>
      <c r="AH239" s="52" t="str">
        <f>+IF(AE239&gt;0,FIXED(Fuelbeds_english!AH239*2.242,1,0),AE239)</f>
        <v>1.3</v>
      </c>
      <c r="AI239" s="45">
        <v>40792</v>
      </c>
      <c r="AJ239" s="45" t="s">
        <v>365</v>
      </c>
      <c r="AK239" s="45">
        <v>100</v>
      </c>
      <c r="AL239" s="34">
        <v>20.319529780564263</v>
      </c>
      <c r="AM239" s="52" t="str">
        <f>+IF(AL239&gt;0,FIXED(Fuelbeds_english!AM239*2.54,1,0),AL239)</f>
        <v>7.4</v>
      </c>
      <c r="AN239" s="52" t="str">
        <f>+IF($AM239&gt;0,FIXED(Fuelbeds_english!AN239*2.242,1,0),$AM239)</f>
        <v>0.1</v>
      </c>
      <c r="AO239" s="52" t="str">
        <f>+IF($AM239&gt;0,FIXED(Fuelbeds_english!AO239*2.242,1,0),$AM239)</f>
        <v>1.0</v>
      </c>
      <c r="AP239" s="52" t="str">
        <f>+IF($AM239&gt;0,FIXED(Fuelbeds_english!AP239*2.242,1,0),$AM239)</f>
        <v>1.4</v>
      </c>
      <c r="AQ239" s="52" t="str">
        <f>+IF($AM239&gt;0,FIXED(Fuelbeds_english!AQ239*2.242,1,0),$AM239)</f>
        <v>3.3</v>
      </c>
      <c r="AR239" s="36">
        <v>18047</v>
      </c>
      <c r="AS239" s="36" t="s">
        <v>379</v>
      </c>
      <c r="AT239" s="36">
        <v>100</v>
      </c>
      <c r="AU239" s="44">
        <v>-1</v>
      </c>
      <c r="AV239" s="52">
        <f>+IF(AU239&gt;0,FIXED(Fuelbeds_english!AV239*2.54,1,0),AU239)</f>
        <v>-1</v>
      </c>
      <c r="AW239" s="52">
        <v>-1</v>
      </c>
      <c r="AX239" s="52">
        <v>-1</v>
      </c>
      <c r="AY239" s="52">
        <f>+IF(AX239&gt;0,FIXED(Fuelbeds_english!AY239*2.54,1,0),AX239)</f>
        <v>-1</v>
      </c>
      <c r="AZ239" s="45">
        <v>1</v>
      </c>
      <c r="BA239" s="36">
        <v>36.094396396396391</v>
      </c>
      <c r="BB239" s="52" t="str">
        <f>+IF(BA239&gt;0,FIXED(Fuelbeds_english!BB239*2.54,1,0),BA239)</f>
        <v>5.6</v>
      </c>
      <c r="BC239" s="45">
        <v>100</v>
      </c>
      <c r="BD239" s="45">
        <v>-1</v>
      </c>
      <c r="BE239" s="45">
        <v>-1</v>
      </c>
      <c r="BF239" s="45">
        <v>-1</v>
      </c>
      <c r="BG239" s="45">
        <v>-1</v>
      </c>
      <c r="BH239" s="45">
        <v>-1</v>
      </c>
      <c r="BI239" s="45">
        <v>-1</v>
      </c>
      <c r="BJ239" s="28">
        <v>1</v>
      </c>
      <c r="BK239" s="36">
        <v>36.041549549549543</v>
      </c>
      <c r="BL239" s="52" t="str">
        <f>+IF(BK239&gt;0,FIXED(Fuelbeds_english!BL239*2.54,1,0),BK239)</f>
        <v>2.5</v>
      </c>
      <c r="BM239" s="45">
        <v>4</v>
      </c>
      <c r="BN239" s="36">
        <v>36.041549549549543</v>
      </c>
      <c r="BO239" s="52" t="str">
        <f>+IF(BN239&gt;0,FIXED(Fuelbeds_english!BO239*2.54,1,0),BN239)</f>
        <v>2.5</v>
      </c>
    </row>
    <row r="240" spans="1:67" s="50" customFormat="1" x14ac:dyDescent="0.25">
      <c r="A240" s="50">
        <v>239</v>
      </c>
      <c r="B240" s="36">
        <v>7100</v>
      </c>
      <c r="C240" s="46">
        <v>7100</v>
      </c>
      <c r="D240" s="22" t="s">
        <v>4</v>
      </c>
      <c r="E240" s="17" t="s">
        <v>134</v>
      </c>
      <c r="F240" s="39">
        <v>14.69</v>
      </c>
      <c r="G240" s="36">
        <v>11.697398581756115</v>
      </c>
      <c r="H240" s="45">
        <f>+IF(F240&gt;0,INT(Fuelbeds_english!H240*2.471),F240)</f>
        <v>28</v>
      </c>
      <c r="I240" s="36">
        <f>+IF(F240&gt;0,INT(Fuelbeds_english!I240*0.3048),F240)</f>
        <v>10</v>
      </c>
      <c r="J240" s="45">
        <f>+IF(F240&gt;0,INT(Fuelbeds_english!J240*0.3048),F240)</f>
        <v>7</v>
      </c>
      <c r="K240" s="45">
        <f>+IF(F240&gt;0,INT(Fuelbeds_english!K240*2.54),F240)</f>
        <v>16</v>
      </c>
      <c r="L240" s="55" t="s">
        <v>380</v>
      </c>
      <c r="M240" s="36" t="s">
        <v>381</v>
      </c>
      <c r="N240" s="36" t="s">
        <v>156</v>
      </c>
      <c r="O240" s="36">
        <v>8.2575255790395534</v>
      </c>
      <c r="P240" s="45">
        <f>+IF(O240&gt;0,INT(Fuelbeds_english!P240*2.471),O240)</f>
        <v>57</v>
      </c>
      <c r="Q240" s="36">
        <f>+IF(O240&gt;0,INT(Fuelbeds_english!Q240*0.3048),O240)</f>
        <v>6</v>
      </c>
      <c r="R240" s="45">
        <f>+IF(O240&gt;0,INT(Fuelbeds_english!R240*0.3048),O240)</f>
        <v>3</v>
      </c>
      <c r="S240" s="45">
        <f>+IF(O240&gt;0,INT(Fuelbeds_english!S240*2.54),O240)</f>
        <v>8</v>
      </c>
      <c r="T240" s="36" t="s">
        <v>380</v>
      </c>
      <c r="U240" s="36" t="s">
        <v>381</v>
      </c>
      <c r="V240" s="36" t="s">
        <v>156</v>
      </c>
      <c r="W240" s="36">
        <v>-1</v>
      </c>
      <c r="X240" s="98">
        <v>-1</v>
      </c>
      <c r="Y240" s="29">
        <v>35.75</v>
      </c>
      <c r="Z240" s="88" t="str">
        <f>+IF(Y240&gt;0,FIXED(Fuelbeds_english!Z240*0.3048,1,0),Y240)</f>
        <v>2.1</v>
      </c>
      <c r="AA240" s="46">
        <v>85</v>
      </c>
      <c r="AB240" s="50">
        <v>28862</v>
      </c>
      <c r="AC240" s="50" t="s">
        <v>376</v>
      </c>
      <c r="AD240" s="50">
        <v>100</v>
      </c>
      <c r="AE240" s="42">
        <v>36</v>
      </c>
      <c r="AF240" s="52" t="str">
        <f>+IF(AE240&gt;0,FIXED(Fuelbeds_english!AF240*0.3048,1,0),AE240)</f>
        <v>0.5</v>
      </c>
      <c r="AG240" s="36">
        <v>80</v>
      </c>
      <c r="AH240" s="52" t="str">
        <f>+IF(AE240&gt;0,FIXED(Fuelbeds_english!AH240*2.242,1,0),AE240)</f>
        <v>4.1</v>
      </c>
      <c r="AI240" s="45">
        <v>40450</v>
      </c>
      <c r="AJ240" s="45" t="s">
        <v>148</v>
      </c>
      <c r="AK240" s="45">
        <v>100</v>
      </c>
      <c r="AL240" s="34">
        <v>6.9909310842414296</v>
      </c>
      <c r="AM240" s="52" t="str">
        <f>+IF(AL240&gt;0,FIXED(Fuelbeds_english!AM240*2.54,1,0),AL240)</f>
        <v>2.9</v>
      </c>
      <c r="AN240" s="52" t="str">
        <f>+IF($AM240&gt;0,FIXED(Fuelbeds_english!AN240*2.242,1,0),$AM240)</f>
        <v>0.1</v>
      </c>
      <c r="AO240" s="52" t="str">
        <f>+IF($AM240&gt;0,FIXED(Fuelbeds_english!AO240*2.242,1,0),$AM240)</f>
        <v>0.3</v>
      </c>
      <c r="AP240" s="52" t="str">
        <f>+IF($AM240&gt;0,FIXED(Fuelbeds_english!AP240*2.242,1,0),$AM240)</f>
        <v>0.6</v>
      </c>
      <c r="AQ240" s="52" t="str">
        <f>+IF($AM240&gt;0,FIXED(Fuelbeds_english!AQ240*2.242,1,0),$AM240)</f>
        <v>1.1</v>
      </c>
      <c r="AR240" s="36" t="s">
        <v>380</v>
      </c>
      <c r="AS240" s="45" t="s">
        <v>381</v>
      </c>
      <c r="AT240" s="45" t="s">
        <v>156</v>
      </c>
      <c r="AU240" s="44">
        <v>-1</v>
      </c>
      <c r="AV240" s="52">
        <f>+IF(AU240&gt;0,FIXED(Fuelbeds_english!AV240*2.54,1,0),AU240)</f>
        <v>-1</v>
      </c>
      <c r="AW240" s="52">
        <v>-1</v>
      </c>
      <c r="AX240" s="52">
        <v>-1</v>
      </c>
      <c r="AY240" s="52">
        <f>+IF(AX240&gt;0,FIXED(Fuelbeds_english!AY240*2.54,1,0),AX240)</f>
        <v>-1</v>
      </c>
      <c r="AZ240" s="45">
        <v>1</v>
      </c>
      <c r="BA240" s="36">
        <v>52.141221221221222</v>
      </c>
      <c r="BB240" s="52" t="str">
        <f>+IF(BA240&gt;0,FIXED(Fuelbeds_english!BB240*2.54,1,0),BA240)</f>
        <v>1.3</v>
      </c>
      <c r="BC240" s="45">
        <v>-1</v>
      </c>
      <c r="BD240" s="45">
        <v>-1</v>
      </c>
      <c r="BE240" s="45">
        <v>30</v>
      </c>
      <c r="BF240" s="45">
        <v>30</v>
      </c>
      <c r="BG240" s="45">
        <v>-1</v>
      </c>
      <c r="BH240" s="45">
        <v>-1</v>
      </c>
      <c r="BI240" s="45">
        <v>40</v>
      </c>
      <c r="BJ240" s="28">
        <v>2</v>
      </c>
      <c r="BK240" s="36">
        <v>15.751049478049479</v>
      </c>
      <c r="BL240" s="52" t="str">
        <f>+IF(BK240&gt;0,FIXED(Fuelbeds_english!BL240*2.54,1,0),BK240)</f>
        <v>2.8</v>
      </c>
      <c r="BM240" s="45">
        <v>3</v>
      </c>
      <c r="BN240" s="36">
        <v>15.751049478049479</v>
      </c>
      <c r="BO240" s="52" t="str">
        <f>+IF(BN240&gt;0,FIXED(Fuelbeds_english!BO240*2.54,1,0),BN240)</f>
        <v>5.3</v>
      </c>
    </row>
    <row r="241" spans="1:67" s="50" customFormat="1" x14ac:dyDescent="0.25">
      <c r="A241" s="50">
        <v>240</v>
      </c>
      <c r="B241" s="36">
        <v>7110</v>
      </c>
      <c r="C241" s="46">
        <v>7110</v>
      </c>
      <c r="D241" s="22" t="s">
        <v>4</v>
      </c>
      <c r="E241" s="12" t="s">
        <v>9</v>
      </c>
      <c r="F241" s="39">
        <v>6.37</v>
      </c>
      <c r="G241" s="36">
        <v>6.37</v>
      </c>
      <c r="H241" s="45">
        <f>+IF(F241&gt;0,INT(Fuelbeds_english!H241*2.471),F241)</f>
        <v>10</v>
      </c>
      <c r="I241" s="36">
        <f>+IF(F241&gt;0,INT(Fuelbeds_english!I241*0.3048),F241)</f>
        <v>7</v>
      </c>
      <c r="J241" s="45">
        <f>+IF(F241&gt;0,INT(Fuelbeds_english!J241*0.3048),F241)</f>
        <v>5</v>
      </c>
      <c r="K241" s="45">
        <f>+IF(F241&gt;0,INT(Fuelbeds_english!K241*2.54),F241)</f>
        <v>12</v>
      </c>
      <c r="L241" s="36">
        <v>28766</v>
      </c>
      <c r="M241" s="36" t="s">
        <v>137</v>
      </c>
      <c r="N241" s="36">
        <v>100</v>
      </c>
      <c r="O241" s="36">
        <v>3.8220000000000001</v>
      </c>
      <c r="P241" s="45">
        <f>+IF(O241&gt;0,INT(Fuelbeds_english!P241*2.471),O241)</f>
        <v>21</v>
      </c>
      <c r="Q241" s="36">
        <f>+IF(O241&gt;0,INT(Fuelbeds_english!Q241*0.3048),O241)</f>
        <v>4</v>
      </c>
      <c r="R241" s="45">
        <f>+IF(O241&gt;0,INT(Fuelbeds_english!R241*0.3048),O241)</f>
        <v>2</v>
      </c>
      <c r="S241" s="45">
        <f>+IF(O241&gt;0,INT(Fuelbeds_english!S241*2.54),O241)</f>
        <v>6</v>
      </c>
      <c r="T241" s="36">
        <v>28766</v>
      </c>
      <c r="U241" s="36" t="s">
        <v>137</v>
      </c>
      <c r="V241" s="36">
        <v>100</v>
      </c>
      <c r="W241" s="36">
        <v>1</v>
      </c>
      <c r="X241" s="98">
        <v>3</v>
      </c>
      <c r="Y241" s="29">
        <v>41.5</v>
      </c>
      <c r="Z241" s="88" t="str">
        <f>+IF(Y241&gt;0,FIXED(Fuelbeds_english!Z241*0.3048,1,0),Y241)</f>
        <v>0.9</v>
      </c>
      <c r="AA241" s="46">
        <v>80</v>
      </c>
      <c r="AB241" s="50">
        <v>28675</v>
      </c>
      <c r="AC241" s="50" t="s">
        <v>375</v>
      </c>
      <c r="AD241" s="50">
        <v>100</v>
      </c>
      <c r="AE241" s="42">
        <v>30</v>
      </c>
      <c r="AF241" s="52" t="str">
        <f>+IF(AE241&gt;0,FIXED(Fuelbeds_english!AF241*0.3048,1,0),AE241)</f>
        <v>0.5</v>
      </c>
      <c r="AG241" s="36">
        <v>80</v>
      </c>
      <c r="AH241" s="52" t="str">
        <f>+IF(AE241&gt;0,FIXED(Fuelbeds_english!AH241*2.242,1,0),AE241)</f>
        <v>3.4</v>
      </c>
      <c r="AI241" s="45">
        <v>40450</v>
      </c>
      <c r="AJ241" s="45" t="s">
        <v>148</v>
      </c>
      <c r="AK241" s="45">
        <v>100</v>
      </c>
      <c r="AL241" s="34">
        <v>12.309428571428572</v>
      </c>
      <c r="AM241" s="52" t="str">
        <f>+IF(AL241&gt;0,FIXED(Fuelbeds_english!AM241*2.54,1,0),AL241)</f>
        <v>1.9</v>
      </c>
      <c r="AN241" s="52" t="str">
        <f>+IF($AM241&gt;0,FIXED(Fuelbeds_english!AN241*2.242,1,0),$AM241)</f>
        <v>0.4</v>
      </c>
      <c r="AO241" s="52" t="str">
        <f>+IF($AM241&gt;0,FIXED(Fuelbeds_english!AO241*2.242,1,0),$AM241)</f>
        <v>0.4</v>
      </c>
      <c r="AP241" s="52" t="str">
        <f>+IF($AM241&gt;0,FIXED(Fuelbeds_english!AP241*2.242,1,0),$AM241)</f>
        <v>1.2</v>
      </c>
      <c r="AQ241" s="52" t="str">
        <f>+IF($AM241&gt;0,FIXED(Fuelbeds_english!AQ241*2.242,1,0),$AM241)</f>
        <v>1.8</v>
      </c>
      <c r="AR241" s="36">
        <v>28766</v>
      </c>
      <c r="AS241" s="45" t="s">
        <v>137</v>
      </c>
      <c r="AT241" s="45">
        <v>100</v>
      </c>
      <c r="AU241" s="44">
        <v>-1</v>
      </c>
      <c r="AV241" s="52">
        <f>+IF(AU241&gt;0,FIXED(Fuelbeds_english!AV241*2.54,1,0),AU241)</f>
        <v>-1</v>
      </c>
      <c r="AW241" s="52">
        <v>-1</v>
      </c>
      <c r="AX241" s="52">
        <v>-1</v>
      </c>
      <c r="AY241" s="52">
        <f>+IF(AX241&gt;0,FIXED(Fuelbeds_english!AY241*2.54,1,0),AX241)</f>
        <v>-1</v>
      </c>
      <c r="AZ241" s="45">
        <v>1</v>
      </c>
      <c r="BA241" s="36">
        <v>67.37</v>
      </c>
      <c r="BB241" s="52" t="str">
        <f>+IF(BA241&gt;0,FIXED(Fuelbeds_english!BB241*2.54,1,0),BA241)</f>
        <v>2.5</v>
      </c>
      <c r="BC241" s="45">
        <v>-1</v>
      </c>
      <c r="BD241" s="45">
        <v>-1</v>
      </c>
      <c r="BE241" s="45">
        <v>-1</v>
      </c>
      <c r="BF241" s="45">
        <v>70</v>
      </c>
      <c r="BG241" s="45">
        <v>-1</v>
      </c>
      <c r="BH241" s="45">
        <v>-1</v>
      </c>
      <c r="BI241" s="45">
        <v>30</v>
      </c>
      <c r="BJ241" s="28">
        <v>1</v>
      </c>
      <c r="BK241" s="36">
        <v>43.766857142857141</v>
      </c>
      <c r="BL241" s="52" t="str">
        <f>+IF(BK241&gt;0,FIXED(Fuelbeds_english!BL241*2.54,1,0),BK241)</f>
        <v>3.2</v>
      </c>
      <c r="BM241" s="45">
        <v>3</v>
      </c>
      <c r="BN241" s="36">
        <v>43.766857142857141</v>
      </c>
      <c r="BO241" s="52" t="str">
        <f>+IF(BN241&gt;0,FIXED(Fuelbeds_english!BO241*2.54,1,0),BN241)</f>
        <v>3.2</v>
      </c>
    </row>
    <row r="242" spans="1:67" s="50" customFormat="1" x14ac:dyDescent="0.25">
      <c r="A242" s="50">
        <v>241</v>
      </c>
      <c r="B242" s="36">
        <v>7113</v>
      </c>
      <c r="C242" s="71">
        <v>7113</v>
      </c>
      <c r="D242" s="22" t="s">
        <v>4</v>
      </c>
      <c r="E242" s="34" t="s">
        <v>408</v>
      </c>
      <c r="F242" s="39">
        <v>4</v>
      </c>
      <c r="G242" s="36">
        <v>4</v>
      </c>
      <c r="H242" s="45">
        <f>+IF(F242&gt;0,INT(Fuelbeds_english!H242*2.471),F242)</f>
        <v>2</v>
      </c>
      <c r="I242" s="36">
        <f>+IF(F242&gt;0,INT(Fuelbeds_english!I242*0.3048),F242)</f>
        <v>7</v>
      </c>
      <c r="J242" s="45">
        <f>+IF(F242&gt;0,INT(Fuelbeds_english!J242*0.3048),F242)</f>
        <v>4</v>
      </c>
      <c r="K242" s="45">
        <f>+IF(F242&gt;0,INT(Fuelbeds_english!K242*2.54),F242)</f>
        <v>22</v>
      </c>
      <c r="L242" s="36">
        <v>27189</v>
      </c>
      <c r="M242" s="36" t="s">
        <v>401</v>
      </c>
      <c r="N242" s="36">
        <v>100</v>
      </c>
      <c r="O242" s="36">
        <v>2</v>
      </c>
      <c r="P242" s="45">
        <f>+IF(O242&gt;0,INT(Fuelbeds_english!P242*2.471),O242)</f>
        <v>12</v>
      </c>
      <c r="Q242" s="36">
        <f>+IF(O242&gt;0,INT(Fuelbeds_english!Q242*0.3048),O242)</f>
        <v>3</v>
      </c>
      <c r="R242" s="45">
        <f>+IF(O242&gt;0,INT(Fuelbeds_english!R242*0.3048),O242)</f>
        <v>1</v>
      </c>
      <c r="S242" s="45">
        <f>+IF(O242&gt;0,INT(Fuelbeds_english!S242*2.54),O242)</f>
        <v>7</v>
      </c>
      <c r="T242" s="45">
        <v>27189</v>
      </c>
      <c r="U242" s="36" t="s">
        <v>401</v>
      </c>
      <c r="V242" s="36">
        <v>100</v>
      </c>
      <c r="W242" s="36">
        <v>1</v>
      </c>
      <c r="X242" s="98">
        <v>4</v>
      </c>
      <c r="Y242" s="81">
        <v>-1</v>
      </c>
      <c r="Z242" s="88">
        <f>+IF(Y242&gt;0,FIXED(Fuelbeds_english!Z242*0.3048,1,0),Y242)</f>
        <v>-1</v>
      </c>
      <c r="AA242" s="48">
        <v>-1</v>
      </c>
      <c r="AB242" s="10">
        <v>-1</v>
      </c>
      <c r="AC242" s="10">
        <v>-1</v>
      </c>
      <c r="AD242" s="10">
        <v>-1</v>
      </c>
      <c r="AE242" s="42">
        <v>73</v>
      </c>
      <c r="AF242" s="52" t="str">
        <f>+IF(AE242&gt;0,FIXED(Fuelbeds_english!AF242*0.3048,1,0),AE242)</f>
        <v>0.2</v>
      </c>
      <c r="AG242" s="45">
        <v>80</v>
      </c>
      <c r="AH242" s="52" t="str">
        <f>+IF(AE242&gt;0,FIXED(Fuelbeds_english!AH242*2.242,1,0),AE242)</f>
        <v>1.4</v>
      </c>
      <c r="AI242" s="45">
        <v>39369</v>
      </c>
      <c r="AJ242" s="45" t="s">
        <v>391</v>
      </c>
      <c r="AK242" s="45">
        <v>100</v>
      </c>
      <c r="AL242" s="34">
        <v>3.9</v>
      </c>
      <c r="AM242" s="52" t="str">
        <f>+IF(AL242&gt;0,FIXED(Fuelbeds_english!AM242*2.54,1,0),AL242)</f>
        <v>7.6</v>
      </c>
      <c r="AN242" s="52" t="str">
        <f>+IF($AM242&gt;0,FIXED(Fuelbeds_english!AN242*2.242,1,0),$AM242)</f>
        <v>0.0</v>
      </c>
      <c r="AO242" s="52" t="str">
        <f>+IF($AM242&gt;0,FIXED(Fuelbeds_english!AO242*2.242,1,0),$AM242)</f>
        <v>0.4</v>
      </c>
      <c r="AP242" s="52" t="str">
        <f>+IF($AM242&gt;0,FIXED(Fuelbeds_english!AP242*2.242,1,0),$AM242)</f>
        <v>0.4</v>
      </c>
      <c r="AQ242" s="52" t="str">
        <f>+IF($AM242&gt;0,FIXED(Fuelbeds_english!AQ242*2.242,1,0),$AM242)</f>
        <v>0.4</v>
      </c>
      <c r="AR242" s="36">
        <v>27189</v>
      </c>
      <c r="AS242" s="45" t="s">
        <v>401</v>
      </c>
      <c r="AT242" s="45">
        <v>100</v>
      </c>
      <c r="AU242" s="44">
        <v>-1</v>
      </c>
      <c r="AV242" s="52">
        <f>+IF(AU242&gt;0,FIXED(Fuelbeds_english!AV242*2.54,1,0),AU242)</f>
        <v>-1</v>
      </c>
      <c r="AW242" s="52">
        <v>-1</v>
      </c>
      <c r="AX242" s="52">
        <v>-1</v>
      </c>
      <c r="AY242" s="52">
        <f>+IF(AX242&gt;0,FIXED(Fuelbeds_english!AY242*2.54,1,0),AX242)</f>
        <v>-1</v>
      </c>
      <c r="AZ242" s="45">
        <v>1</v>
      </c>
      <c r="BA242" s="36">
        <v>4.8</v>
      </c>
      <c r="BB242" s="52" t="str">
        <f>+IF(BA242&gt;0,FIXED(Fuelbeds_english!BB242*2.54,1,0),BA242)</f>
        <v>4.6</v>
      </c>
      <c r="BC242" s="45">
        <v>-1</v>
      </c>
      <c r="BD242" s="45">
        <v>-1</v>
      </c>
      <c r="BE242" s="45">
        <v>-1</v>
      </c>
      <c r="BF242" s="45">
        <v>-1</v>
      </c>
      <c r="BG242" s="45">
        <v>100</v>
      </c>
      <c r="BH242" s="45">
        <v>-1</v>
      </c>
      <c r="BI242" s="45">
        <v>-1</v>
      </c>
      <c r="BJ242" s="28">
        <v>1</v>
      </c>
      <c r="BK242" s="36">
        <v>4.8</v>
      </c>
      <c r="BL242" s="52" t="str">
        <f>+IF(BK242&gt;0,FIXED(Fuelbeds_english!BL242*2.54,1,0),BK242)</f>
        <v>5.1</v>
      </c>
      <c r="BM242" s="45">
        <v>3</v>
      </c>
      <c r="BN242" s="36">
        <v>4.8</v>
      </c>
      <c r="BO242" s="52" t="str">
        <f>+IF(BN242&gt;0,FIXED(Fuelbeds_english!BO242*2.54,1,0),BN242)</f>
        <v>5.1</v>
      </c>
    </row>
    <row r="243" spans="1:67" s="50" customFormat="1" x14ac:dyDescent="0.25">
      <c r="A243" s="50">
        <v>242</v>
      </c>
      <c r="B243" s="36">
        <v>7120</v>
      </c>
      <c r="C243" s="46">
        <v>7120</v>
      </c>
      <c r="D243" s="22" t="s">
        <v>4</v>
      </c>
      <c r="E243" s="13" t="s">
        <v>8</v>
      </c>
      <c r="F243" s="39">
        <v>10.41</v>
      </c>
      <c r="G243" s="36">
        <v>10.41</v>
      </c>
      <c r="H243" s="45">
        <f>+IF(F243&gt;0,INT(Fuelbeds_english!H243*2.471),F243)</f>
        <v>17</v>
      </c>
      <c r="I243" s="36">
        <f>+IF(F243&gt;0,INT(Fuelbeds_english!I243*0.3048),F243)</f>
        <v>12</v>
      </c>
      <c r="J243" s="45">
        <f>+IF(F243&gt;0,INT(Fuelbeds_english!J243*0.3048),F243)</f>
        <v>8</v>
      </c>
      <c r="K243" s="45">
        <f>+IF(F243&gt;0,INT(Fuelbeds_english!K243*2.54),F243)</f>
        <v>19</v>
      </c>
      <c r="L243" s="36">
        <v>28766</v>
      </c>
      <c r="M243" s="36" t="s">
        <v>137</v>
      </c>
      <c r="N243" s="36">
        <v>100</v>
      </c>
      <c r="O243" s="36">
        <v>6.2459999999999996</v>
      </c>
      <c r="P243" s="45">
        <f>+IF(O243&gt;0,INT(Fuelbeds_english!P243*2.471),O243)</f>
        <v>34</v>
      </c>
      <c r="Q243" s="36">
        <f>+IF(O243&gt;0,INT(Fuelbeds_english!Q243*0.3048),O243)</f>
        <v>7</v>
      </c>
      <c r="R243" s="45">
        <f>+IF(O243&gt;0,INT(Fuelbeds_english!R243*0.3048),O243)</f>
        <v>3</v>
      </c>
      <c r="S243" s="45">
        <f>+IF(O243&gt;0,INT(Fuelbeds_english!S243*2.54),O243)</f>
        <v>11</v>
      </c>
      <c r="T243" s="36">
        <v>28766</v>
      </c>
      <c r="U243" s="36" t="s">
        <v>137</v>
      </c>
      <c r="V243" s="36">
        <v>100</v>
      </c>
      <c r="W243" s="36">
        <v>1</v>
      </c>
      <c r="X243" s="98">
        <v>3</v>
      </c>
      <c r="Y243" s="29">
        <v>11.629999999999995</v>
      </c>
      <c r="Z243" s="88" t="str">
        <f>+IF(Y243&gt;0,FIXED(Fuelbeds_english!Z243*0.3048,1,0),Y243)</f>
        <v>0.9</v>
      </c>
      <c r="AA243" s="46">
        <v>80</v>
      </c>
      <c r="AB243" s="50">
        <v>28675</v>
      </c>
      <c r="AC243" s="50" t="s">
        <v>375</v>
      </c>
      <c r="AD243" s="50">
        <v>100</v>
      </c>
      <c r="AE243" s="42">
        <v>60</v>
      </c>
      <c r="AF243" s="52" t="str">
        <f>+IF(AE243&gt;0,FIXED(Fuelbeds_english!AF243*0.3048,1,0),AE243)</f>
        <v>0.5</v>
      </c>
      <c r="AG243" s="36">
        <v>80</v>
      </c>
      <c r="AH243" s="52" t="str">
        <f>+IF(AE243&gt;0,FIXED(Fuelbeds_english!AH243*2.242,1,0),AE243)</f>
        <v>6.9</v>
      </c>
      <c r="AI243" s="45">
        <v>40450</v>
      </c>
      <c r="AJ243" s="45" t="s">
        <v>148</v>
      </c>
      <c r="AK243" s="45">
        <v>100</v>
      </c>
      <c r="AL243" s="34">
        <v>5.6674285714285704</v>
      </c>
      <c r="AM243" s="52" t="str">
        <f>+IF(AL243&gt;0,FIXED(Fuelbeds_english!AM243*2.54,1,0),AL243)</f>
        <v>1.9</v>
      </c>
      <c r="AN243" s="52" t="str">
        <f>+IF($AM243&gt;0,FIXED(Fuelbeds_english!AN243*2.242,1,0),$AM243)</f>
        <v>0.2</v>
      </c>
      <c r="AO243" s="52" t="str">
        <f>+IF($AM243&gt;0,FIXED(Fuelbeds_english!AO243*2.242,1,0),$AM243)</f>
        <v>0.2</v>
      </c>
      <c r="AP243" s="52" t="str">
        <f>+IF($AM243&gt;0,FIXED(Fuelbeds_english!AP243*2.242,1,0),$AM243)</f>
        <v>0.6</v>
      </c>
      <c r="AQ243" s="52" t="str">
        <f>+IF($AM243&gt;0,FIXED(Fuelbeds_english!AQ243*2.242,1,0),$AM243)</f>
        <v>0.8</v>
      </c>
      <c r="AR243" s="36">
        <v>28766</v>
      </c>
      <c r="AS243" s="45" t="s">
        <v>137</v>
      </c>
      <c r="AT243" s="45">
        <v>100</v>
      </c>
      <c r="AU243" s="44">
        <v>-1</v>
      </c>
      <c r="AV243" s="52">
        <f>+IF(AU243&gt;0,FIXED(Fuelbeds_english!AV243*2.54,1,0),AU243)</f>
        <v>-1</v>
      </c>
      <c r="AW243" s="52">
        <v>-1</v>
      </c>
      <c r="AX243" s="52">
        <v>-1</v>
      </c>
      <c r="AY243" s="52">
        <f>+IF(AX243&gt;0,FIXED(Fuelbeds_english!AY243*2.54,1,0),AX243)</f>
        <v>-1</v>
      </c>
      <c r="AZ243" s="45">
        <v>1</v>
      </c>
      <c r="BA243" s="36">
        <v>61.039999999999992</v>
      </c>
      <c r="BB243" s="52" t="str">
        <f>+IF(BA243&gt;0,FIXED(Fuelbeds_english!BB243*2.54,1,0),BA243)</f>
        <v>2.5</v>
      </c>
      <c r="BC243" s="45">
        <v>-1</v>
      </c>
      <c r="BD243" s="45">
        <v>-1</v>
      </c>
      <c r="BE243" s="45">
        <v>-1</v>
      </c>
      <c r="BF243" s="45">
        <v>40</v>
      </c>
      <c r="BG243" s="45">
        <v>-1</v>
      </c>
      <c r="BH243" s="45">
        <v>-1</v>
      </c>
      <c r="BI243" s="45">
        <v>60</v>
      </c>
      <c r="BJ243" s="28">
        <v>1</v>
      </c>
      <c r="BK243" s="36">
        <v>20.150857142857138</v>
      </c>
      <c r="BL243" s="52" t="str">
        <f>+IF(BK243&gt;0,FIXED(Fuelbeds_english!BL243*2.54,1,0),BK243)</f>
        <v>3.2</v>
      </c>
      <c r="BM243" s="45">
        <v>3</v>
      </c>
      <c r="BN243" s="36">
        <v>20.150857142857138</v>
      </c>
      <c r="BO243" s="52" t="str">
        <f>+IF(BN243&gt;0,FIXED(Fuelbeds_english!BO243*2.54,1,0),BN243)</f>
        <v>3.2</v>
      </c>
    </row>
    <row r="244" spans="1:67" s="50" customFormat="1" x14ac:dyDescent="0.25">
      <c r="A244" s="50">
        <v>243</v>
      </c>
      <c r="B244" s="36">
        <v>7123</v>
      </c>
      <c r="C244" s="71">
        <v>7123</v>
      </c>
      <c r="D244" s="22" t="s">
        <v>4</v>
      </c>
      <c r="E244" s="32" t="s">
        <v>403</v>
      </c>
      <c r="F244" s="39">
        <v>6</v>
      </c>
      <c r="G244" s="36">
        <v>6</v>
      </c>
      <c r="H244" s="45">
        <f>+IF(F244&gt;0,INT(Fuelbeds_english!H244*2.471),F244)</f>
        <v>2</v>
      </c>
      <c r="I244" s="36">
        <f>+IF(F244&gt;0,INT(Fuelbeds_english!I244*0.3048),F244)</f>
        <v>9</v>
      </c>
      <c r="J244" s="45">
        <f>+IF(F244&gt;0,INT(Fuelbeds_english!J244*0.3048),F244)</f>
        <v>6</v>
      </c>
      <c r="K244" s="45">
        <f>+IF(F244&gt;0,INT(Fuelbeds_english!K244*2.54),F244)</f>
        <v>30</v>
      </c>
      <c r="L244" s="36">
        <v>27189</v>
      </c>
      <c r="M244" s="36" t="s">
        <v>401</v>
      </c>
      <c r="N244" s="36">
        <v>100</v>
      </c>
      <c r="O244" s="36">
        <v>3</v>
      </c>
      <c r="P244" s="45">
        <f>+IF(O244&gt;0,INT(Fuelbeds_english!P244*2.471),O244)</f>
        <v>19</v>
      </c>
      <c r="Q244" s="36">
        <f>+IF(O244&gt;0,INT(Fuelbeds_english!Q244*0.3048),O244)</f>
        <v>4</v>
      </c>
      <c r="R244" s="45">
        <f>+IF(O244&gt;0,INT(Fuelbeds_english!R244*0.3048),O244)</f>
        <v>2</v>
      </c>
      <c r="S244" s="45">
        <f>+IF(O244&gt;0,INT(Fuelbeds_english!S244*2.54),O244)</f>
        <v>10</v>
      </c>
      <c r="T244" s="45">
        <v>27189</v>
      </c>
      <c r="U244" s="36" t="s">
        <v>401</v>
      </c>
      <c r="V244" s="36">
        <v>100</v>
      </c>
      <c r="W244" s="36">
        <v>1</v>
      </c>
      <c r="X244" s="98">
        <v>4</v>
      </c>
      <c r="Y244" s="81">
        <v>-1</v>
      </c>
      <c r="Z244" s="88">
        <f>+IF(Y244&gt;0,FIXED(Fuelbeds_english!Z244*0.3048,1,0),Y244)</f>
        <v>-1</v>
      </c>
      <c r="AA244" s="48">
        <v>-1</v>
      </c>
      <c r="AB244" s="10">
        <v>-1</v>
      </c>
      <c r="AC244" s="10">
        <v>-1</v>
      </c>
      <c r="AD244" s="10">
        <v>-1</v>
      </c>
      <c r="AE244" s="42">
        <v>73</v>
      </c>
      <c r="AF244" s="52" t="str">
        <f>+IF(AE244&gt;0,FIXED(Fuelbeds_english!AF244*0.3048,1,0),AE244)</f>
        <v>0.2</v>
      </c>
      <c r="AG244" s="45">
        <v>80</v>
      </c>
      <c r="AH244" s="52" t="str">
        <f>+IF(AE244&gt;0,FIXED(Fuelbeds_english!AH244*2.242,1,0),AE244)</f>
        <v>1.4</v>
      </c>
      <c r="AI244" s="45">
        <v>39369</v>
      </c>
      <c r="AJ244" s="45" t="s">
        <v>391</v>
      </c>
      <c r="AK244" s="45">
        <v>100</v>
      </c>
      <c r="AL244" s="34">
        <v>6.1</v>
      </c>
      <c r="AM244" s="52" t="str">
        <f>+IF(AL244&gt;0,FIXED(Fuelbeds_english!AM244*2.54,1,0),AL244)</f>
        <v>7.6</v>
      </c>
      <c r="AN244" s="52" t="str">
        <f>+IF($AM244&gt;0,FIXED(Fuelbeds_english!AN244*2.242,1,0),$AM244)</f>
        <v>0.2</v>
      </c>
      <c r="AO244" s="52" t="str">
        <f>+IF($AM244&gt;0,FIXED(Fuelbeds_english!AO244*2.242,1,0),$AM244)</f>
        <v>0.7</v>
      </c>
      <c r="AP244" s="52" t="str">
        <f>+IF($AM244&gt;0,FIXED(Fuelbeds_english!AP244*2.242,1,0),$AM244)</f>
        <v>0.7</v>
      </c>
      <c r="AQ244" s="52" t="str">
        <f>+IF($AM244&gt;0,FIXED(Fuelbeds_english!AQ244*2.242,1,0),$AM244)</f>
        <v>0.7</v>
      </c>
      <c r="AR244" s="36">
        <v>27189</v>
      </c>
      <c r="AS244" s="45" t="s">
        <v>401</v>
      </c>
      <c r="AT244" s="45">
        <v>100</v>
      </c>
      <c r="AU244" s="44">
        <v>-1</v>
      </c>
      <c r="AV244" s="52">
        <f>+IF(AU244&gt;0,FIXED(Fuelbeds_english!AV244*2.54,1,0),AU244)</f>
        <v>-1</v>
      </c>
      <c r="AW244" s="52">
        <v>-1</v>
      </c>
      <c r="AX244" s="52">
        <v>-1</v>
      </c>
      <c r="AY244" s="52">
        <f>+IF(AX244&gt;0,FIXED(Fuelbeds_english!AY244*2.54,1,0),AX244)</f>
        <v>-1</v>
      </c>
      <c r="AZ244" s="45">
        <v>1</v>
      </c>
      <c r="BA244" s="36">
        <v>7.5</v>
      </c>
      <c r="BB244" s="52" t="str">
        <f>+IF(BA244&gt;0,FIXED(Fuelbeds_english!BB244*2.54,1,0),BA244)</f>
        <v>4.6</v>
      </c>
      <c r="BC244" s="45">
        <v>-1</v>
      </c>
      <c r="BD244" s="45">
        <v>-1</v>
      </c>
      <c r="BE244" s="45">
        <v>-1</v>
      </c>
      <c r="BF244" s="45">
        <v>-1</v>
      </c>
      <c r="BG244" s="45">
        <v>100</v>
      </c>
      <c r="BH244" s="45">
        <v>-1</v>
      </c>
      <c r="BI244" s="45">
        <v>-1</v>
      </c>
      <c r="BJ244" s="28">
        <v>1</v>
      </c>
      <c r="BK244" s="36">
        <v>7.5</v>
      </c>
      <c r="BL244" s="52" t="str">
        <f>+IF(BK244&gt;0,FIXED(Fuelbeds_english!BL244*2.54,1,0),BK244)</f>
        <v>5.1</v>
      </c>
      <c r="BM244" s="45">
        <v>3</v>
      </c>
      <c r="BN244" s="36">
        <v>7.5</v>
      </c>
      <c r="BO244" s="52" t="str">
        <f>+IF(BN244&gt;0,FIXED(Fuelbeds_english!BO244*2.54,1,0),BN244)</f>
        <v>5.1</v>
      </c>
    </row>
    <row r="245" spans="1:67" s="50" customFormat="1" x14ac:dyDescent="0.25">
      <c r="A245" s="50">
        <v>244</v>
      </c>
      <c r="B245" s="36">
        <v>7130</v>
      </c>
      <c r="C245" s="46">
        <v>7130</v>
      </c>
      <c r="D245" s="22" t="s">
        <v>4</v>
      </c>
      <c r="E245" s="14" t="s">
        <v>10</v>
      </c>
      <c r="F245" s="39">
        <v>-3</v>
      </c>
      <c r="G245" s="36">
        <v>-3</v>
      </c>
      <c r="H245" s="45">
        <f>+IF(F245&gt;0,INT(Fuelbeds_english!H245*2.471),F245)</f>
        <v>-3</v>
      </c>
      <c r="I245" s="36">
        <f>+IF(F245&gt;0,INT(Fuelbeds_english!I245*0.3048),F245)</f>
        <v>-3</v>
      </c>
      <c r="J245" s="45">
        <f>+IF(F245&gt;0,INT(Fuelbeds_english!J245*0.3048),F245)</f>
        <v>-3</v>
      </c>
      <c r="K245" s="45">
        <f>+IF(F245&gt;0,INT(Fuelbeds_english!K245*2.54),F245)</f>
        <v>-3</v>
      </c>
      <c r="L245" s="45">
        <v>-3</v>
      </c>
      <c r="M245" s="45">
        <v>-3</v>
      </c>
      <c r="N245" s="45">
        <v>-3</v>
      </c>
      <c r="O245" s="36">
        <v>-3</v>
      </c>
      <c r="P245" s="45">
        <f>+IF(O245&gt;0,INT(Fuelbeds_english!P245*2.471),O245)</f>
        <v>-3</v>
      </c>
      <c r="Q245" s="36">
        <f>+IF(O245&gt;0,INT(Fuelbeds_english!Q245*0.3048),O245)</f>
        <v>-3</v>
      </c>
      <c r="R245" s="45">
        <f>+IF(O245&gt;0,INT(Fuelbeds_english!R245*0.3048),O245)</f>
        <v>-3</v>
      </c>
      <c r="S245" s="45">
        <f>+IF(O245&gt;0,INT(Fuelbeds_english!S245*2.54),O245)</f>
        <v>-3</v>
      </c>
      <c r="T245" s="45">
        <v>-3</v>
      </c>
      <c r="U245" s="45">
        <v>-3</v>
      </c>
      <c r="V245" s="45">
        <v>-3</v>
      </c>
      <c r="W245" s="45">
        <v>-3</v>
      </c>
      <c r="X245" s="99">
        <v>-3</v>
      </c>
      <c r="Y245" s="29">
        <v>52</v>
      </c>
      <c r="Z245" s="88" t="str">
        <f>+IF(Y245&gt;0,FIXED(Fuelbeds_english!Z245*0.3048,1,0),Y245)</f>
        <v>1.5</v>
      </c>
      <c r="AA245" s="46">
        <v>85</v>
      </c>
      <c r="AB245" s="50">
        <v>28675</v>
      </c>
      <c r="AC245" s="50" t="s">
        <v>375</v>
      </c>
      <c r="AD245" s="50">
        <v>100</v>
      </c>
      <c r="AE245" s="42">
        <v>36</v>
      </c>
      <c r="AF245" s="52" t="str">
        <f>+IF(AE245&gt;0,FIXED(Fuelbeds_english!AF245*0.3048,1,0),AE245)</f>
        <v>0.4</v>
      </c>
      <c r="AG245" s="36">
        <v>85</v>
      </c>
      <c r="AH245" s="52" t="str">
        <f>+IF(AE245&gt;0,FIXED(Fuelbeds_english!AH245*2.242,1,0),AE245)</f>
        <v>7.4</v>
      </c>
      <c r="AI245" s="45">
        <v>40450</v>
      </c>
      <c r="AJ245" s="45" t="s">
        <v>148</v>
      </c>
      <c r="AK245" s="45">
        <v>100</v>
      </c>
      <c r="AL245" s="34">
        <v>29.85645933014354</v>
      </c>
      <c r="AM245" s="52" t="str">
        <f>+IF(AL245&gt;0,FIXED(Fuelbeds_english!AM245*2.54,1,0),AL245)</f>
        <v>1.6</v>
      </c>
      <c r="AN245" s="52" t="str">
        <f>+IF($AM245&gt;0,FIXED(Fuelbeds_english!AN245*2.242,1,0),$AM245)</f>
        <v>1.5</v>
      </c>
      <c r="AO245" s="52" t="str">
        <f>+IF($AM245&gt;0,FIXED(Fuelbeds_english!AO245*2.242,1,0),$AM245)</f>
        <v>3.1</v>
      </c>
      <c r="AP245" s="52" t="str">
        <f>+IF($AM245&gt;0,FIXED(Fuelbeds_english!AP245*2.242,1,0),$AM245)</f>
        <v>0.8</v>
      </c>
      <c r="AQ245" s="52" t="str">
        <f>+IF($AM245&gt;0,FIXED(Fuelbeds_english!AQ245*2.242,1,0),$AM245)</f>
        <v>0.0</v>
      </c>
      <c r="AR245" s="45">
        <v>28675</v>
      </c>
      <c r="AS245" s="45" t="s">
        <v>375</v>
      </c>
      <c r="AT245" s="45">
        <v>100</v>
      </c>
      <c r="AU245" s="44">
        <v>-1</v>
      </c>
      <c r="AV245" s="52">
        <f>+IF(AU245&gt;0,FIXED(Fuelbeds_english!AV245*2.54,1,0),AU245)</f>
        <v>-1</v>
      </c>
      <c r="AW245" s="52">
        <v>-1</v>
      </c>
      <c r="AX245" s="52">
        <v>-1</v>
      </c>
      <c r="AY245" s="52">
        <f>+IF(AX245&gt;0,FIXED(Fuelbeds_english!AY245*2.54,1,0),AX245)</f>
        <v>-1</v>
      </c>
      <c r="AZ245" s="45">
        <v>1</v>
      </c>
      <c r="BA245" s="36">
        <v>70</v>
      </c>
      <c r="BB245" s="52" t="str">
        <f>+IF(BA245&gt;0,FIXED(Fuelbeds_english!BB245*2.54,1,0),BA245)</f>
        <v>3.3</v>
      </c>
      <c r="BC245" s="45">
        <v>-1</v>
      </c>
      <c r="BD245" s="45">
        <v>-1</v>
      </c>
      <c r="BE245" s="45">
        <v>-1</v>
      </c>
      <c r="BF245" s="45">
        <v>-1</v>
      </c>
      <c r="BG245" s="45">
        <v>70</v>
      </c>
      <c r="BH245" s="45">
        <v>-1</v>
      </c>
      <c r="BI245" s="45">
        <v>30</v>
      </c>
      <c r="BJ245" s="28">
        <v>-1</v>
      </c>
      <c r="BK245" s="36">
        <v>-1</v>
      </c>
      <c r="BL245" s="52">
        <f>+IF(BK245&gt;0,FIXED(Fuelbeds_english!BL245*2.54,1,0),BK245)</f>
        <v>-1</v>
      </c>
      <c r="BM245" s="36">
        <v>-1</v>
      </c>
      <c r="BN245" s="36">
        <v>-1</v>
      </c>
      <c r="BO245" s="52">
        <f>+IF(BN245&gt;0,FIXED(Fuelbeds_english!BO245*2.54,1,0),BN245)</f>
        <v>-1</v>
      </c>
    </row>
    <row r="246" spans="1:67" s="50" customFormat="1" x14ac:dyDescent="0.25">
      <c r="A246" s="50">
        <v>245</v>
      </c>
      <c r="B246" s="36">
        <v>7133</v>
      </c>
      <c r="C246" s="71">
        <v>7133</v>
      </c>
      <c r="D246" s="22" t="s">
        <v>4</v>
      </c>
      <c r="E246" s="31" t="s">
        <v>405</v>
      </c>
      <c r="F246" s="39">
        <v>-3</v>
      </c>
      <c r="G246" s="45">
        <v>-3</v>
      </c>
      <c r="H246" s="45">
        <f>+IF(F246&gt;0,INT(Fuelbeds_english!H246*2.471),F246)</f>
        <v>-3</v>
      </c>
      <c r="I246" s="36">
        <f>+IF(F246&gt;0,INT(Fuelbeds_english!I246*0.3048),F246)</f>
        <v>-3</v>
      </c>
      <c r="J246" s="45">
        <f>+IF(F246&gt;0,INT(Fuelbeds_english!J246*0.3048),F246)</f>
        <v>-3</v>
      </c>
      <c r="K246" s="45">
        <f>+IF(F246&gt;0,INT(Fuelbeds_english!K246*2.54),F246)</f>
        <v>-3</v>
      </c>
      <c r="L246" s="45">
        <v>-3</v>
      </c>
      <c r="M246" s="45">
        <v>-3</v>
      </c>
      <c r="N246" s="45">
        <v>-3</v>
      </c>
      <c r="O246" s="45">
        <v>-3</v>
      </c>
      <c r="P246" s="45">
        <f>+IF(O246&gt;0,INT(Fuelbeds_english!P246*2.471),O246)</f>
        <v>-3</v>
      </c>
      <c r="Q246" s="36">
        <f>+IF(O246&gt;0,INT(Fuelbeds_english!Q246*0.3048),O246)</f>
        <v>-3</v>
      </c>
      <c r="R246" s="45">
        <f>+IF(O246&gt;0,INT(Fuelbeds_english!R246*0.3048),O246)</f>
        <v>-3</v>
      </c>
      <c r="S246" s="45">
        <f>+IF(O246&gt;0,INT(Fuelbeds_english!S246*2.54),O246)</f>
        <v>-3</v>
      </c>
      <c r="T246" s="45">
        <v>-3</v>
      </c>
      <c r="U246" s="45">
        <v>-3</v>
      </c>
      <c r="V246" s="45">
        <v>-3</v>
      </c>
      <c r="W246" s="45">
        <v>-3</v>
      </c>
      <c r="X246" s="99">
        <v>-3</v>
      </c>
      <c r="Y246" s="29">
        <v>75.78</v>
      </c>
      <c r="Z246" s="88" t="str">
        <f>+IF(Y246&gt;0,FIXED(Fuelbeds_english!Z246*0.3048,1,0),Y246)</f>
        <v>1.5</v>
      </c>
      <c r="AA246" s="46">
        <v>80</v>
      </c>
      <c r="AB246" s="50">
        <v>26417</v>
      </c>
      <c r="AC246" s="50" t="s">
        <v>147</v>
      </c>
      <c r="AD246" s="50">
        <v>100</v>
      </c>
      <c r="AE246" s="42">
        <v>-3</v>
      </c>
      <c r="AF246" s="52">
        <f>+IF(AE246&gt;0,FIXED(Fuelbeds_english!AF246*0.3048,1,0),AE246)</f>
        <v>-3</v>
      </c>
      <c r="AG246" s="45">
        <v>-3</v>
      </c>
      <c r="AH246" s="52">
        <f>+IF(AE246&gt;0,FIXED(Fuelbeds_english!AH246*2.242,1,0),AE246)</f>
        <v>-3</v>
      </c>
      <c r="AI246" s="45">
        <v>-3</v>
      </c>
      <c r="AJ246" s="45">
        <v>-3</v>
      </c>
      <c r="AK246" s="45">
        <v>-3</v>
      </c>
      <c r="AL246" s="34">
        <v>24.846016666666667</v>
      </c>
      <c r="AM246" s="52" t="str">
        <f>+IF(AL246&gt;0,FIXED(Fuelbeds_english!AM246*2.54,1,0),AL246)</f>
        <v>3.8</v>
      </c>
      <c r="AN246" s="52" t="str">
        <f>+IF($AM246&gt;0,FIXED(Fuelbeds_english!AN246*2.242,1,0),$AM246)</f>
        <v>1.0</v>
      </c>
      <c r="AO246" s="52" t="str">
        <f>+IF($AM246&gt;0,FIXED(Fuelbeds_english!AO246*2.242,1,0),$AM246)</f>
        <v>1.8</v>
      </c>
      <c r="AP246" s="52" t="str">
        <f>+IF($AM246&gt;0,FIXED(Fuelbeds_english!AP246*2.242,1,0),$AM246)</f>
        <v>0.8</v>
      </c>
      <c r="AQ246" s="52" t="str">
        <f>+IF($AM246&gt;0,FIXED(Fuelbeds_english!AQ246*2.242,1,0),$AM246)</f>
        <v>0.2</v>
      </c>
      <c r="AR246" s="45">
        <v>26417</v>
      </c>
      <c r="AS246" s="45" t="s">
        <v>147</v>
      </c>
      <c r="AT246" s="45">
        <v>100</v>
      </c>
      <c r="AU246" s="44">
        <v>-1</v>
      </c>
      <c r="AV246" s="52">
        <f>+IF(AU246&gt;0,FIXED(Fuelbeds_english!AV246*2.54,1,0),AU246)</f>
        <v>-1</v>
      </c>
      <c r="AW246" s="52">
        <v>-1</v>
      </c>
      <c r="AX246" s="52">
        <v>-1</v>
      </c>
      <c r="AY246" s="52">
        <f>+IF(AX246&gt;0,FIXED(Fuelbeds_english!AY246*2.54,1,0),AX246)</f>
        <v>-1</v>
      </c>
      <c r="AZ246" s="45">
        <v>1</v>
      </c>
      <c r="BA246" s="36">
        <v>100</v>
      </c>
      <c r="BB246" s="52" t="str">
        <f>+IF(BA246&gt;0,FIXED(Fuelbeds_english!BB246*2.54,1,0),BA246)</f>
        <v>1.9</v>
      </c>
      <c r="BC246" s="45">
        <v>-1</v>
      </c>
      <c r="BD246" s="45">
        <v>-1</v>
      </c>
      <c r="BE246" s="45">
        <v>-1</v>
      </c>
      <c r="BF246" s="45">
        <v>-1</v>
      </c>
      <c r="BG246" s="45">
        <v>100</v>
      </c>
      <c r="BH246" s="45">
        <v>-1</v>
      </c>
      <c r="BI246" s="45">
        <v>-1</v>
      </c>
      <c r="BJ246" s="28">
        <v>-1</v>
      </c>
      <c r="BK246" s="36">
        <v>-1</v>
      </c>
      <c r="BL246" s="52">
        <f>+IF(BK246&gt;0,FIXED(Fuelbeds_english!BL246*2.54,1,0),BK246)</f>
        <v>-1</v>
      </c>
      <c r="BM246" s="36">
        <v>-1</v>
      </c>
      <c r="BN246" s="36">
        <v>-1</v>
      </c>
      <c r="BO246" s="52">
        <f>+IF(BN246&gt;0,FIXED(Fuelbeds_english!BO246*2.54,1,0),BN246)</f>
        <v>-1</v>
      </c>
    </row>
    <row r="247" spans="1:67" s="50" customFormat="1" x14ac:dyDescent="0.25">
      <c r="A247" s="50">
        <v>246</v>
      </c>
      <c r="B247" s="36">
        <v>7140</v>
      </c>
      <c r="C247" s="46">
        <v>7140</v>
      </c>
      <c r="D247" s="22" t="s">
        <v>4</v>
      </c>
      <c r="E247" s="15" t="s">
        <v>14</v>
      </c>
      <c r="F247" s="39">
        <v>-3</v>
      </c>
      <c r="G247" s="36">
        <v>-3</v>
      </c>
      <c r="H247" s="45">
        <f>+IF(F247&gt;0,INT(Fuelbeds_english!H247*2.471),F247)</f>
        <v>-3</v>
      </c>
      <c r="I247" s="36">
        <f>+IF(F247&gt;0,INT(Fuelbeds_english!I247*0.3048),F247)</f>
        <v>-3</v>
      </c>
      <c r="J247" s="45">
        <f>+IF(F247&gt;0,INT(Fuelbeds_english!J247*0.3048),F247)</f>
        <v>-3</v>
      </c>
      <c r="K247" s="45">
        <f>+IF(F247&gt;0,INT(Fuelbeds_english!K247*2.54),F247)</f>
        <v>-3</v>
      </c>
      <c r="L247" s="45">
        <v>-3</v>
      </c>
      <c r="M247" s="45">
        <v>-3</v>
      </c>
      <c r="N247" s="45">
        <v>-3</v>
      </c>
      <c r="O247" s="36">
        <v>-3</v>
      </c>
      <c r="P247" s="45">
        <f>+IF(O247&gt;0,INT(Fuelbeds_english!P247*2.471),O247)</f>
        <v>-3</v>
      </c>
      <c r="Q247" s="36">
        <f>+IF(O247&gt;0,INT(Fuelbeds_english!Q247*0.3048),O247)</f>
        <v>-3</v>
      </c>
      <c r="R247" s="45">
        <f>+IF(O247&gt;0,INT(Fuelbeds_english!R247*0.3048),O247)</f>
        <v>-3</v>
      </c>
      <c r="S247" s="45">
        <f>+IF(O247&gt;0,INT(Fuelbeds_english!S247*2.54),O247)</f>
        <v>-3</v>
      </c>
      <c r="T247" s="45">
        <v>-3</v>
      </c>
      <c r="U247" s="45">
        <v>-3</v>
      </c>
      <c r="V247" s="45">
        <v>-3</v>
      </c>
      <c r="W247" s="45">
        <v>-3</v>
      </c>
      <c r="X247" s="99">
        <v>-3</v>
      </c>
      <c r="Y247" s="81">
        <v>-3</v>
      </c>
      <c r="Z247" s="88">
        <f>+IF(Y247&gt;0,FIXED(Fuelbeds_english!Z247*0.3048,1,0),Y247)</f>
        <v>-3</v>
      </c>
      <c r="AA247" s="48">
        <v>-3</v>
      </c>
      <c r="AB247" s="10">
        <v>-3</v>
      </c>
      <c r="AC247" s="10">
        <v>-3</v>
      </c>
      <c r="AD247" s="10">
        <v>-3</v>
      </c>
      <c r="AE247" s="42">
        <v>60</v>
      </c>
      <c r="AF247" s="52" t="str">
        <f>+IF(AE247&gt;0,FIXED(Fuelbeds_english!AF247*0.3048,1,0),AE247)</f>
        <v>0.5</v>
      </c>
      <c r="AG247" s="36">
        <v>80</v>
      </c>
      <c r="AH247" s="52" t="str">
        <f>+IF(AE247&gt;0,FIXED(Fuelbeds_english!AH247*2.242,1,0),AE247)</f>
        <v>8.0</v>
      </c>
      <c r="AI247" s="45">
        <v>40450</v>
      </c>
      <c r="AJ247" s="45" t="s">
        <v>148</v>
      </c>
      <c r="AK247" s="45">
        <v>100</v>
      </c>
      <c r="AL247" s="34">
        <v>-3</v>
      </c>
      <c r="AM247" s="52">
        <f>+IF(AL247&gt;0,FIXED(Fuelbeds_english!AM247*2.54,1,0),AL247)</f>
        <v>-3</v>
      </c>
      <c r="AN247" s="52">
        <f>+IF(AM247&gt;0,FIXED(Fuelbeds_english!AN247*0.3048,1,0),AM247)</f>
        <v>-3</v>
      </c>
      <c r="AO247" s="52">
        <f>+IF(AN247&gt;0,FIXED(Fuelbeds_english!AO247*0.3048,1,0),AN247)</f>
        <v>-3</v>
      </c>
      <c r="AP247" s="52">
        <f>+IF(AO247&gt;0,FIXED(Fuelbeds_english!AP247*0.3048,1,0),AO247)</f>
        <v>-3</v>
      </c>
      <c r="AQ247" s="52">
        <f>+IF(AP247&gt;0,FIXED(Fuelbeds_english!AQ247*0.3048,1,0),AP247)</f>
        <v>-3</v>
      </c>
      <c r="AR247" s="36">
        <v>-3</v>
      </c>
      <c r="AS247" s="45">
        <v>-3</v>
      </c>
      <c r="AT247" s="45">
        <v>-3</v>
      </c>
      <c r="AU247" s="44">
        <v>-1</v>
      </c>
      <c r="AV247" s="52">
        <f>+IF(AU247&gt;0,FIXED(Fuelbeds_english!AV247*2.54,1,0),AU247)</f>
        <v>-1</v>
      </c>
      <c r="AW247" s="52">
        <v>-1</v>
      </c>
      <c r="AX247" s="52">
        <v>-1</v>
      </c>
      <c r="AY247" s="52">
        <f>+IF(AX247&gt;0,FIXED(Fuelbeds_english!AY247*2.54,1,0),AX247)</f>
        <v>-1</v>
      </c>
      <c r="AZ247" s="45">
        <v>1</v>
      </c>
      <c r="BA247" s="36">
        <v>43.934586282645839</v>
      </c>
      <c r="BB247" s="52" t="str">
        <f>+IF(BA247&gt;0,FIXED(Fuelbeds_english!BB247*2.54,1,0),BA247)</f>
        <v>3.0</v>
      </c>
      <c r="BC247" s="45">
        <v>-1</v>
      </c>
      <c r="BD247" s="45">
        <v>-1</v>
      </c>
      <c r="BE247" s="45">
        <v>-1</v>
      </c>
      <c r="BF247" s="45">
        <v>-1</v>
      </c>
      <c r="BG247" s="45">
        <v>-1</v>
      </c>
      <c r="BH247" s="45">
        <v>-1</v>
      </c>
      <c r="BI247" s="45">
        <v>100</v>
      </c>
      <c r="BJ247" s="28">
        <v>-1</v>
      </c>
      <c r="BK247" s="36">
        <v>-1</v>
      </c>
      <c r="BL247" s="52">
        <f>+IF(BK247&gt;0,FIXED(Fuelbeds_english!BL247*2.54,1,0),BK247)</f>
        <v>-1</v>
      </c>
      <c r="BM247" s="36">
        <v>-1</v>
      </c>
      <c r="BN247" s="36">
        <v>-1</v>
      </c>
      <c r="BO247" s="52">
        <f>+IF(BN247&gt;0,FIXED(Fuelbeds_english!BO247*2.54,1,0),BN247)</f>
        <v>-1</v>
      </c>
    </row>
    <row r="248" spans="1:67" s="50" customFormat="1" x14ac:dyDescent="0.25">
      <c r="A248" s="50">
        <v>247</v>
      </c>
      <c r="B248" s="36">
        <v>7150</v>
      </c>
      <c r="C248" s="46">
        <v>7150</v>
      </c>
      <c r="D248" s="22" t="s">
        <v>4</v>
      </c>
      <c r="E248" s="18" t="s">
        <v>15</v>
      </c>
      <c r="F248" s="39">
        <v>-3</v>
      </c>
      <c r="G248" s="36">
        <v>-3</v>
      </c>
      <c r="H248" s="45">
        <f>+IF(F248&gt;0,INT(Fuelbeds_english!H248*2.471),F248)</f>
        <v>-3</v>
      </c>
      <c r="I248" s="36">
        <f>+IF(F248&gt;0,INT(Fuelbeds_english!I248*0.3048),F248)</f>
        <v>-3</v>
      </c>
      <c r="J248" s="45">
        <f>+IF(F248&gt;0,INT(Fuelbeds_english!J248*0.3048),F248)</f>
        <v>-3</v>
      </c>
      <c r="K248" s="45">
        <f>+IF(F248&gt;0,INT(Fuelbeds_english!K248*2.54),F248)</f>
        <v>-3</v>
      </c>
      <c r="L248" s="45">
        <v>-3</v>
      </c>
      <c r="M248" s="45">
        <v>-3</v>
      </c>
      <c r="N248" s="45">
        <v>-3</v>
      </c>
      <c r="O248" s="36">
        <v>-3</v>
      </c>
      <c r="P248" s="45">
        <f>+IF(O248&gt;0,INT(Fuelbeds_english!P248*2.471),O248)</f>
        <v>-3</v>
      </c>
      <c r="Q248" s="36">
        <f>+IF(O248&gt;0,INT(Fuelbeds_english!Q248*0.3048),O248)</f>
        <v>-3</v>
      </c>
      <c r="R248" s="45">
        <f>+IF(O248&gt;0,INT(Fuelbeds_english!R248*0.3048),O248)</f>
        <v>-3</v>
      </c>
      <c r="S248" s="45">
        <f>+IF(O248&gt;0,INT(Fuelbeds_english!S248*2.54),O248)</f>
        <v>-3</v>
      </c>
      <c r="T248" s="45">
        <v>-3</v>
      </c>
      <c r="U248" s="45">
        <v>-3</v>
      </c>
      <c r="V248" s="45">
        <v>-3</v>
      </c>
      <c r="W248" s="45">
        <v>-3</v>
      </c>
      <c r="X248" s="99">
        <v>-3</v>
      </c>
      <c r="Y248" s="29">
        <v>7</v>
      </c>
      <c r="Z248" s="88" t="str">
        <f>+IF(Y248&gt;0,FIXED(Fuelbeds_english!Z248*0.3048,1,0),Y248)</f>
        <v>0.9</v>
      </c>
      <c r="AA248" s="46">
        <v>80</v>
      </c>
      <c r="AB248" s="50">
        <v>28675</v>
      </c>
      <c r="AC248" s="50" t="s">
        <v>375</v>
      </c>
      <c r="AD248" s="50">
        <v>100</v>
      </c>
      <c r="AE248" s="42">
        <v>7.5</v>
      </c>
      <c r="AF248" s="52" t="str">
        <f>+IF(AE248&gt;0,FIXED(Fuelbeds_english!AF248*0.3048,1,0),AE248)</f>
        <v>0.5</v>
      </c>
      <c r="AG248" s="36">
        <v>80</v>
      </c>
      <c r="AH248" s="52" t="str">
        <f>+IF(AE248&gt;0,FIXED(Fuelbeds_english!AH248*2.242,1,0),AE248)</f>
        <v>1.0</v>
      </c>
      <c r="AI248" s="45">
        <v>40450</v>
      </c>
      <c r="AJ248" s="45" t="s">
        <v>148</v>
      </c>
      <c r="AK248" s="45">
        <v>100</v>
      </c>
      <c r="AL248" s="34">
        <v>14.880952380952381</v>
      </c>
      <c r="AM248" s="52" t="str">
        <f>+IF(AL248&gt;0,FIXED(Fuelbeds_english!AM248*2.54,1,0),AL248)</f>
        <v>0.8</v>
      </c>
      <c r="AN248" s="52" t="str">
        <f>+IF($AM248&gt;0,FIXED(Fuelbeds_english!AN248*2.242,1,0),$AM248)</f>
        <v>0.7</v>
      </c>
      <c r="AO248" s="52" t="str">
        <f>+IF($AM248&gt;0,FIXED(Fuelbeds_english!AO248*2.242,1,0),$AM248)</f>
        <v>1.7</v>
      </c>
      <c r="AP248" s="52" t="str">
        <f>+IF($AM248&gt;0,FIXED(Fuelbeds_english!AP248*2.242,1,0),$AM248)</f>
        <v>0.4</v>
      </c>
      <c r="AQ248" s="52" t="str">
        <f>+IF($AM248&gt;0,FIXED(Fuelbeds_english!AQ248*2.242,1,0),$AM248)</f>
        <v>0.0</v>
      </c>
      <c r="AR248" s="36">
        <v>28675</v>
      </c>
      <c r="AS248" s="45" t="s">
        <v>375</v>
      </c>
      <c r="AT248" s="45">
        <v>100</v>
      </c>
      <c r="AU248" s="44">
        <v>-1</v>
      </c>
      <c r="AV248" s="52">
        <f>+IF(AU248&gt;0,FIXED(Fuelbeds_english!AV248*2.54,1,0),AU248)</f>
        <v>-1</v>
      </c>
      <c r="AW248" s="52">
        <v>-1</v>
      </c>
      <c r="AX248" s="52">
        <v>-1</v>
      </c>
      <c r="AY248" s="52">
        <f>+IF(AX248&gt;0,FIXED(Fuelbeds_english!AY248*2.54,1,0),AX248)</f>
        <v>-1</v>
      </c>
      <c r="AZ248" s="45">
        <v>1</v>
      </c>
      <c r="BA248" s="36">
        <v>12.5</v>
      </c>
      <c r="BB248" s="52" t="str">
        <f>+IF(BA248&gt;0,FIXED(Fuelbeds_english!BB248*2.54,1,0),BA248)</f>
        <v>3.3</v>
      </c>
      <c r="BC248" s="45">
        <v>-1</v>
      </c>
      <c r="BD248" s="45">
        <v>-1</v>
      </c>
      <c r="BE248" s="45">
        <v>-1</v>
      </c>
      <c r="BF248" s="45">
        <v>-1</v>
      </c>
      <c r="BG248" s="45">
        <v>50</v>
      </c>
      <c r="BH248" s="45">
        <v>-1</v>
      </c>
      <c r="BI248" s="45">
        <v>50</v>
      </c>
      <c r="BJ248" s="28">
        <v>-1</v>
      </c>
      <c r="BK248" s="36">
        <v>-1</v>
      </c>
      <c r="BL248" s="52">
        <f>+IF(BK248&gt;0,FIXED(Fuelbeds_english!BL248*2.54,1,0),BK248)</f>
        <v>-1</v>
      </c>
      <c r="BM248" s="36">
        <v>-1</v>
      </c>
      <c r="BN248" s="36">
        <v>-1</v>
      </c>
      <c r="BO248" s="52">
        <f>+IF(BN248&gt;0,FIXED(Fuelbeds_english!BO248*2.54,1,0),BN248)</f>
        <v>-1</v>
      </c>
    </row>
    <row r="249" spans="1:67" s="50" customFormat="1" x14ac:dyDescent="0.25">
      <c r="A249" s="50">
        <v>248</v>
      </c>
      <c r="B249" s="52" t="s">
        <v>304</v>
      </c>
      <c r="C249" s="68">
        <v>917160</v>
      </c>
      <c r="D249" s="22" t="s">
        <v>4</v>
      </c>
      <c r="E249" s="74" t="s">
        <v>11</v>
      </c>
      <c r="F249" s="39">
        <v>19.100000000000001</v>
      </c>
      <c r="G249" s="36">
        <v>19.100000000000001</v>
      </c>
      <c r="H249" s="45">
        <f>+IF(F249&gt;0,INT(Fuelbeds_english!H249*2.471),F249)</f>
        <v>16</v>
      </c>
      <c r="I249" s="36">
        <f>+IF(F249&gt;0,INT(Fuelbeds_english!I249*0.3048),F249)</f>
        <v>14</v>
      </c>
      <c r="J249" s="45">
        <f>+IF(F249&gt;0,INT(Fuelbeds_english!J249*0.3048),F249)</f>
        <v>8</v>
      </c>
      <c r="K249" s="45">
        <f>+IF(F249&gt;0,INT(Fuelbeds_english!K249*2.54),F249)</f>
        <v>27</v>
      </c>
      <c r="L249" s="36">
        <v>29027</v>
      </c>
      <c r="M249" s="36" t="s">
        <v>369</v>
      </c>
      <c r="N249" s="36">
        <v>100</v>
      </c>
      <c r="O249" s="36">
        <v>13.482352941176471</v>
      </c>
      <c r="P249" s="45">
        <f>+IF(O249&gt;0,INT(Fuelbeds_english!P249*2.471),O249)</f>
        <v>83</v>
      </c>
      <c r="Q249" s="36">
        <f>+IF(O249&gt;0,INT(Fuelbeds_english!Q249*0.3048),O249)</f>
        <v>8</v>
      </c>
      <c r="R249" s="45">
        <f>+IF(O249&gt;0,INT(Fuelbeds_english!R249*0.3048),O249)</f>
        <v>3</v>
      </c>
      <c r="S249" s="45">
        <f>+IF(O249&gt;0,INT(Fuelbeds_english!S249*2.54),O249)</f>
        <v>14</v>
      </c>
      <c r="T249" s="36">
        <v>29027</v>
      </c>
      <c r="U249" s="36" t="s">
        <v>369</v>
      </c>
      <c r="V249" s="36">
        <v>100</v>
      </c>
      <c r="W249" s="36">
        <v>1</v>
      </c>
      <c r="X249" s="98">
        <v>4</v>
      </c>
      <c r="Y249" s="29">
        <v>45.084300000000006</v>
      </c>
      <c r="Z249" s="88" t="str">
        <f>+IF(Y249&gt;0,FIXED(Fuelbeds_english!Z249*0.3048,1,0),Y249)</f>
        <v>2.4</v>
      </c>
      <c r="AA249" s="46">
        <v>80</v>
      </c>
      <c r="AB249" s="50">
        <v>18101</v>
      </c>
      <c r="AC249" s="50" t="s">
        <v>374</v>
      </c>
      <c r="AD249" s="50">
        <v>100</v>
      </c>
      <c r="AE249" s="42">
        <v>22</v>
      </c>
      <c r="AF249" s="52" t="str">
        <f>+IF(AE249&gt;0,FIXED(Fuelbeds_english!AF249*0.3048,1,0),AE249)</f>
        <v>0.3</v>
      </c>
      <c r="AG249" s="36">
        <v>80</v>
      </c>
      <c r="AH249" s="52" t="str">
        <f>+IF(AE249&gt;0,FIXED(Fuelbeds_english!AH249*2.242,1,0),AE249)</f>
        <v>0.3</v>
      </c>
      <c r="AI249" s="45">
        <v>39878</v>
      </c>
      <c r="AJ249" s="45" t="s">
        <v>373</v>
      </c>
      <c r="AK249" s="45">
        <v>100</v>
      </c>
      <c r="AL249" s="34">
        <v>5.6176470588235299</v>
      </c>
      <c r="AM249" s="52" t="str">
        <f>+IF(AL249&gt;0,FIXED(Fuelbeds_english!AM249*2.54,1,0),AL249)</f>
        <v>0.6</v>
      </c>
      <c r="AN249" s="52" t="str">
        <f>+IF($AM249&gt;0,FIXED(Fuelbeds_english!AN249*2.242,1,0),$AM249)</f>
        <v>0.3</v>
      </c>
      <c r="AO249" s="52" t="str">
        <f>+IF($AM249&gt;0,FIXED(Fuelbeds_english!AO249*2.242,1,0),$AM249)</f>
        <v>0.3</v>
      </c>
      <c r="AP249" s="52" t="str">
        <f>+IF($AM249&gt;0,FIXED(Fuelbeds_english!AP249*2.242,1,0),$AM249)</f>
        <v>0.5</v>
      </c>
      <c r="AQ249" s="52" t="str">
        <f>+IF($AM249&gt;0,FIXED(Fuelbeds_english!AQ249*2.242,1,0),$AM249)</f>
        <v>0.8</v>
      </c>
      <c r="AR249" s="36">
        <v>29027</v>
      </c>
      <c r="AS249" s="36" t="s">
        <v>369</v>
      </c>
      <c r="AT249" s="36">
        <v>100</v>
      </c>
      <c r="AU249" s="44">
        <v>-1</v>
      </c>
      <c r="AV249" s="52">
        <f>+IF(AU249&gt;0,FIXED(Fuelbeds_english!AV249*2.54,1,0),AU249)</f>
        <v>-1</v>
      </c>
      <c r="AW249" s="88">
        <v>1</v>
      </c>
      <c r="AX249" s="52">
        <v>20</v>
      </c>
      <c r="AY249" s="52" t="str">
        <f>+IF(AX249&gt;0,FIXED(Fuelbeds_english!AY249*2.54,1,0),AX249)</f>
        <v>2.5</v>
      </c>
      <c r="AZ249" s="45">
        <v>1</v>
      </c>
      <c r="BA249" s="36">
        <v>21.347058823529416</v>
      </c>
      <c r="BB249" s="52" t="str">
        <f>+IF(BA249&gt;0,FIXED(Fuelbeds_english!BB249*2.54,1,0),BA249)</f>
        <v>3.8</v>
      </c>
      <c r="BC249" s="45">
        <v>-1</v>
      </c>
      <c r="BD249" s="45">
        <v>-1</v>
      </c>
      <c r="BE249" s="45">
        <v>-1</v>
      </c>
      <c r="BF249" s="45">
        <v>-1</v>
      </c>
      <c r="BG249" s="45">
        <v>100</v>
      </c>
      <c r="BH249" s="45">
        <v>-1</v>
      </c>
      <c r="BI249" s="45">
        <v>-1</v>
      </c>
      <c r="BJ249" s="28">
        <v>1</v>
      </c>
      <c r="BK249" s="67">
        <v>16.852941176470587</v>
      </c>
      <c r="BL249" s="52" t="str">
        <f>+IF(BK249&gt;0,FIXED(Fuelbeds_english!BL249*2.54,1,0),BK249)</f>
        <v>2.5</v>
      </c>
      <c r="BM249" s="59">
        <v>3</v>
      </c>
      <c r="BN249" s="67">
        <v>16.852941176470587</v>
      </c>
      <c r="BO249" s="52" t="str">
        <f>+IF(BN249&gt;0,FIXED(Fuelbeds_english!BO249*2.54,1,0),BN249)</f>
        <v>1.3</v>
      </c>
    </row>
    <row r="250" spans="1:67" s="50" customFormat="1" x14ac:dyDescent="0.25">
      <c r="A250" s="50">
        <v>249</v>
      </c>
      <c r="B250" s="52" t="s">
        <v>305</v>
      </c>
      <c r="C250" s="68">
        <v>927160</v>
      </c>
      <c r="D250" s="22" t="s">
        <v>4</v>
      </c>
      <c r="E250" s="74" t="s">
        <v>11</v>
      </c>
      <c r="F250" s="39">
        <v>60</v>
      </c>
      <c r="G250" s="36">
        <v>60</v>
      </c>
      <c r="H250" s="45">
        <f>+IF(F250&gt;0,INT(Fuelbeds_english!H250*2.471),F250)</f>
        <v>52</v>
      </c>
      <c r="I250" s="36">
        <f>+IF(F250&gt;0,INT(Fuelbeds_english!I250*0.3048),F250)</f>
        <v>21</v>
      </c>
      <c r="J250" s="45">
        <f>+IF(F250&gt;0,INT(Fuelbeds_english!J250*0.3048),F250)</f>
        <v>12</v>
      </c>
      <c r="K250" s="45">
        <f>+IF(F250&gt;0,INT(Fuelbeds_english!K250*2.54),F250)</f>
        <v>39</v>
      </c>
      <c r="L250" s="36">
        <v>29027</v>
      </c>
      <c r="M250" s="36" t="s">
        <v>369</v>
      </c>
      <c r="N250" s="36">
        <v>100</v>
      </c>
      <c r="O250" s="36">
        <v>42.352941176470587</v>
      </c>
      <c r="P250" s="45">
        <f>+IF(O250&gt;0,INT(Fuelbeds_english!P250*2.471),O250)</f>
        <v>261</v>
      </c>
      <c r="Q250" s="36">
        <f>+IF(O250&gt;0,INT(Fuelbeds_english!Q250*0.3048),O250)</f>
        <v>12</v>
      </c>
      <c r="R250" s="45">
        <f>+IF(O250&gt;0,INT(Fuelbeds_english!R250*0.3048),O250)</f>
        <v>5</v>
      </c>
      <c r="S250" s="45">
        <f>+IF(O250&gt;0,INT(Fuelbeds_english!S250*2.54),O250)</f>
        <v>20</v>
      </c>
      <c r="T250" s="36">
        <v>29027</v>
      </c>
      <c r="U250" s="36" t="s">
        <v>369</v>
      </c>
      <c r="V250" s="36">
        <v>100</v>
      </c>
      <c r="W250" s="36">
        <v>1</v>
      </c>
      <c r="X250" s="98">
        <v>4</v>
      </c>
      <c r="Y250" s="29">
        <v>26.290800000000004</v>
      </c>
      <c r="Z250" s="88" t="str">
        <f>+IF(Y250&gt;0,FIXED(Fuelbeds_english!Z250*0.3048,1,0),Y250)</f>
        <v>2.4</v>
      </c>
      <c r="AA250" s="46">
        <v>80</v>
      </c>
      <c r="AB250" s="50">
        <v>18101</v>
      </c>
      <c r="AC250" s="50" t="s">
        <v>374</v>
      </c>
      <c r="AD250" s="50">
        <v>100</v>
      </c>
      <c r="AE250" s="42">
        <v>13</v>
      </c>
      <c r="AF250" s="52" t="str">
        <f>+IF(AE250&gt;0,FIXED(Fuelbeds_english!AF250*0.3048,1,0),AE250)</f>
        <v>0.3</v>
      </c>
      <c r="AG250" s="36">
        <v>80</v>
      </c>
      <c r="AH250" s="52" t="str">
        <f>+IF(AE250&gt;0,FIXED(Fuelbeds_english!AH250*2.242,1,0),AE250)</f>
        <v>0.2</v>
      </c>
      <c r="AI250" s="45">
        <v>39878</v>
      </c>
      <c r="AJ250" s="45" t="s">
        <v>373</v>
      </c>
      <c r="AK250" s="45">
        <v>100</v>
      </c>
      <c r="AL250" s="34">
        <v>17.647058823529413</v>
      </c>
      <c r="AM250" s="52" t="str">
        <f>+IF(AL250&gt;0,FIXED(Fuelbeds_english!AM250*2.54,1,0),AL250)</f>
        <v>1.8</v>
      </c>
      <c r="AN250" s="52" t="str">
        <f>+IF($AM250&gt;0,FIXED(Fuelbeds_english!AN250*2.242,1,0),$AM250)</f>
        <v>0.8</v>
      </c>
      <c r="AO250" s="52" t="str">
        <f>+IF($AM250&gt;0,FIXED(Fuelbeds_english!AO250*2.242,1,0),$AM250)</f>
        <v>0.8</v>
      </c>
      <c r="AP250" s="52" t="str">
        <f>+IF($AM250&gt;0,FIXED(Fuelbeds_english!AP250*2.242,1,0),$AM250)</f>
        <v>1.6</v>
      </c>
      <c r="AQ250" s="52" t="str">
        <f>+IF($AM250&gt;0,FIXED(Fuelbeds_english!AQ250*2.242,1,0),$AM250)</f>
        <v>2.4</v>
      </c>
      <c r="AR250" s="36">
        <v>29027</v>
      </c>
      <c r="AS250" s="36" t="s">
        <v>369</v>
      </c>
      <c r="AT250" s="36">
        <v>100</v>
      </c>
      <c r="AU250" s="44">
        <v>-1</v>
      </c>
      <c r="AV250" s="52">
        <f>+IF(AU250&gt;0,FIXED(Fuelbeds_english!AV250*2.54,1,0),AU250)</f>
        <v>-1</v>
      </c>
      <c r="AW250" s="88">
        <v>1</v>
      </c>
      <c r="AX250" s="52">
        <v>20</v>
      </c>
      <c r="AY250" s="52" t="str">
        <f>+IF(AX250&gt;0,FIXED(Fuelbeds_english!AY250*2.54,1,0),AX250)</f>
        <v>2.5</v>
      </c>
      <c r="AZ250" s="45">
        <v>1</v>
      </c>
      <c r="BA250" s="36">
        <v>67.058823529411768</v>
      </c>
      <c r="BB250" s="52" t="str">
        <f>+IF(BA250&gt;0,FIXED(Fuelbeds_english!BB250*2.54,1,0),BA250)</f>
        <v>3.8</v>
      </c>
      <c r="BC250" s="45">
        <v>-1</v>
      </c>
      <c r="BD250" s="45">
        <v>-1</v>
      </c>
      <c r="BE250" s="45">
        <v>-1</v>
      </c>
      <c r="BF250" s="45">
        <v>-1</v>
      </c>
      <c r="BG250" s="45">
        <v>100</v>
      </c>
      <c r="BH250" s="45">
        <v>-1</v>
      </c>
      <c r="BI250" s="45">
        <v>-1</v>
      </c>
      <c r="BJ250" s="28">
        <v>1</v>
      </c>
      <c r="BK250" s="67">
        <v>52.941176470588232</v>
      </c>
      <c r="BL250" s="52" t="str">
        <f>+IF(BK250&gt;0,FIXED(Fuelbeds_english!BL250*2.54,1,0),BK250)</f>
        <v>2.5</v>
      </c>
      <c r="BM250" s="59">
        <v>3</v>
      </c>
      <c r="BN250" s="67">
        <v>52.941176470588232</v>
      </c>
      <c r="BO250" s="52" t="str">
        <f>+IF(BN250&gt;0,FIXED(Fuelbeds_english!BO250*2.54,1,0),BN250)</f>
        <v>1.3</v>
      </c>
    </row>
    <row r="251" spans="1:67" s="50" customFormat="1" x14ac:dyDescent="0.25">
      <c r="A251" s="50">
        <v>250</v>
      </c>
      <c r="B251" s="36">
        <v>7180</v>
      </c>
      <c r="C251" s="46">
        <v>7180</v>
      </c>
      <c r="D251" s="22" t="s">
        <v>4</v>
      </c>
      <c r="E251" s="16" t="s">
        <v>13</v>
      </c>
      <c r="F251" s="39">
        <v>-3</v>
      </c>
      <c r="G251" s="36">
        <v>-3</v>
      </c>
      <c r="H251" s="45">
        <f>+IF(F251&gt;0,INT(Fuelbeds_english!H251*2.471),F251)</f>
        <v>-3</v>
      </c>
      <c r="I251" s="36">
        <f>+IF(F251&gt;0,INT(Fuelbeds_english!I251*0.3048),F251)</f>
        <v>-3</v>
      </c>
      <c r="J251" s="45">
        <f>+IF(F251&gt;0,INT(Fuelbeds_english!J251*0.3048),F251)</f>
        <v>-3</v>
      </c>
      <c r="K251" s="45">
        <f>+IF(F251&gt;0,INT(Fuelbeds_english!K251*2.54),F251)</f>
        <v>-3</v>
      </c>
      <c r="L251" s="45">
        <v>-3</v>
      </c>
      <c r="M251" s="45">
        <v>-3</v>
      </c>
      <c r="N251" s="45">
        <v>-3</v>
      </c>
      <c r="O251" s="36">
        <v>-3</v>
      </c>
      <c r="P251" s="45">
        <f>+IF(O251&gt;0,INT(Fuelbeds_english!P251*2.471),O251)</f>
        <v>-3</v>
      </c>
      <c r="Q251" s="36">
        <f>+IF(O251&gt;0,INT(Fuelbeds_english!Q251*0.3048),O251)</f>
        <v>-3</v>
      </c>
      <c r="R251" s="45">
        <f>+IF(O251&gt;0,INT(Fuelbeds_english!R251*0.3048),O251)</f>
        <v>-3</v>
      </c>
      <c r="S251" s="45">
        <f>+IF(O251&gt;0,INT(Fuelbeds_english!S251*2.54),O251)</f>
        <v>-3</v>
      </c>
      <c r="T251" s="45">
        <v>-3</v>
      </c>
      <c r="U251" s="45">
        <v>-3</v>
      </c>
      <c r="V251" s="45">
        <v>-3</v>
      </c>
      <c r="W251" s="45">
        <v>-3</v>
      </c>
      <c r="X251" s="99">
        <v>-3</v>
      </c>
      <c r="Y251" s="81">
        <v>-1</v>
      </c>
      <c r="Z251" s="88">
        <f>+IF(Y251&gt;0,FIXED(Fuelbeds_english!Z251*0.3048,1,0),Y251)</f>
        <v>-1</v>
      </c>
      <c r="AA251" s="48">
        <v>-1</v>
      </c>
      <c r="AB251" s="10">
        <v>-1</v>
      </c>
      <c r="AC251" s="10">
        <v>-1</v>
      </c>
      <c r="AD251" s="10">
        <v>-1</v>
      </c>
      <c r="AE251" s="42">
        <v>72</v>
      </c>
      <c r="AF251" s="52" t="str">
        <f>+IF(AE251&gt;0,FIXED(Fuelbeds_english!AF251*0.3048,1,0),AE251)</f>
        <v>0.9</v>
      </c>
      <c r="AG251" s="36">
        <v>70</v>
      </c>
      <c r="AH251" s="52" t="str">
        <f>+IF(AE251&gt;0,FIXED(Fuelbeds_english!AH251*2.242,1,0),AE251)</f>
        <v>4.8</v>
      </c>
      <c r="AI251" s="45">
        <v>39878</v>
      </c>
      <c r="AJ251" s="45" t="s">
        <v>373</v>
      </c>
      <c r="AK251" s="45">
        <v>100</v>
      </c>
      <c r="AL251" s="34">
        <v>-1</v>
      </c>
      <c r="AM251" s="52">
        <f>+IF(AL251&gt;0,FIXED(Fuelbeds_english!AM251*2.54,1,0),AL251)</f>
        <v>-1</v>
      </c>
      <c r="AN251" s="52">
        <f>+IF(AM251&gt;0,FIXED(Fuelbeds_english!AN251*0.3048,1,0),AM251)</f>
        <v>-1</v>
      </c>
      <c r="AO251" s="52">
        <f>+IF(AN251&gt;0,FIXED(Fuelbeds_english!AO251*0.3048,1,0),AN251)</f>
        <v>-1</v>
      </c>
      <c r="AP251" s="52">
        <f>+IF(AO251&gt;0,FIXED(Fuelbeds_english!AP251*0.3048,1,0),AO251)</f>
        <v>-1</v>
      </c>
      <c r="AQ251" s="52">
        <f>+IF(AP251&gt;0,FIXED(Fuelbeds_english!AQ251*0.3048,1,0),AP251)</f>
        <v>-1</v>
      </c>
      <c r="AR251" s="36">
        <v>-1</v>
      </c>
      <c r="AS251" s="36">
        <v>-1</v>
      </c>
      <c r="AT251" s="36">
        <v>-1</v>
      </c>
      <c r="AU251" s="44">
        <v>-1</v>
      </c>
      <c r="AV251" s="52">
        <f>+IF(AU251&gt;0,FIXED(Fuelbeds_english!AV251*2.54,1,0),AU251)</f>
        <v>-1</v>
      </c>
      <c r="AW251" s="52">
        <v>-1</v>
      </c>
      <c r="AX251" s="52">
        <v>-1</v>
      </c>
      <c r="AY251" s="52">
        <f>+IF(AX251&gt;0,FIXED(Fuelbeds_english!AY251*2.54,1,0),AX251)</f>
        <v>-1</v>
      </c>
      <c r="AZ251" s="45">
        <v>1</v>
      </c>
      <c r="BA251" s="36">
        <v>72</v>
      </c>
      <c r="BB251" s="52" t="str">
        <f>+IF(BA251&gt;0,FIXED(Fuelbeds_english!BB251*2.54,1,0),BA251)</f>
        <v>5.1</v>
      </c>
      <c r="BC251" s="45">
        <v>-1</v>
      </c>
      <c r="BD251" s="45">
        <v>-1</v>
      </c>
      <c r="BE251" s="45">
        <v>-1</v>
      </c>
      <c r="BF251" s="45">
        <v>-1</v>
      </c>
      <c r="BG251" s="45">
        <v>-1</v>
      </c>
      <c r="BH251" s="45">
        <v>-1</v>
      </c>
      <c r="BI251" s="45">
        <v>100</v>
      </c>
      <c r="BJ251" s="28">
        <v>-1</v>
      </c>
      <c r="BK251" s="36">
        <v>-1</v>
      </c>
      <c r="BL251" s="52">
        <f>+IF(BK251&gt;0,FIXED(Fuelbeds_english!BL251*2.54,1,0),BK251)</f>
        <v>-1</v>
      </c>
      <c r="BM251" s="36">
        <v>-1</v>
      </c>
      <c r="BN251" s="36">
        <v>-1</v>
      </c>
      <c r="BO251" s="52">
        <f>+IF(BN251&gt;0,FIXED(Fuelbeds_english!BO251*2.54,1,0),BN251)</f>
        <v>-1</v>
      </c>
    </row>
    <row r="252" spans="1:67" s="50" customFormat="1" x14ac:dyDescent="0.25">
      <c r="A252" s="50">
        <v>251</v>
      </c>
      <c r="B252" s="36">
        <v>8010</v>
      </c>
      <c r="C252" s="46">
        <v>8010</v>
      </c>
      <c r="D252" s="36" t="s">
        <v>3</v>
      </c>
      <c r="E252" s="25" t="s">
        <v>410</v>
      </c>
      <c r="F252" s="39">
        <v>-3</v>
      </c>
      <c r="G252" s="45">
        <v>-3</v>
      </c>
      <c r="H252" s="45">
        <f>+IF(F252&gt;0,INT(Fuelbeds_english!H252*2.471),F252)</f>
        <v>-3</v>
      </c>
      <c r="I252" s="36">
        <f>+IF(F252&gt;0,INT(Fuelbeds_english!I252*0.3048),F252)</f>
        <v>-3</v>
      </c>
      <c r="J252" s="45">
        <f>+IF(F252&gt;0,INT(Fuelbeds_english!J252*0.3048),F252)</f>
        <v>-3</v>
      </c>
      <c r="K252" s="45">
        <f>+IF(F252&gt;0,INT(Fuelbeds_english!K252*2.54),F252)</f>
        <v>-3</v>
      </c>
      <c r="L252" s="45">
        <v>-3</v>
      </c>
      <c r="M252" s="45">
        <v>-3</v>
      </c>
      <c r="N252" s="45">
        <v>-3</v>
      </c>
      <c r="O252" s="45">
        <v>-3</v>
      </c>
      <c r="P252" s="45">
        <f>+IF(O252&gt;0,INT(Fuelbeds_english!P252*2.471),O252)</f>
        <v>-3</v>
      </c>
      <c r="Q252" s="36">
        <f>+IF(O252&gt;0,INT(Fuelbeds_english!Q252*0.3048),O252)</f>
        <v>-3</v>
      </c>
      <c r="R252" s="45">
        <f>+IF(O252&gt;0,INT(Fuelbeds_english!R252*0.3048),O252)</f>
        <v>-3</v>
      </c>
      <c r="S252" s="45">
        <f>+IF(O252&gt;0,INT(Fuelbeds_english!S252*2.54),O252)</f>
        <v>-3</v>
      </c>
      <c r="T252" s="45">
        <v>-3</v>
      </c>
      <c r="U252" s="45">
        <v>-3</v>
      </c>
      <c r="V252" s="45">
        <v>-3</v>
      </c>
      <c r="W252" s="45">
        <v>-3</v>
      </c>
      <c r="X252" s="99">
        <v>-3</v>
      </c>
      <c r="Y252" s="81">
        <v>-3</v>
      </c>
      <c r="Z252" s="88">
        <f>+IF(Y252&gt;0,FIXED(Fuelbeds_english!Z252*0.3048,1,0),Y252)</f>
        <v>-3</v>
      </c>
      <c r="AA252" s="48">
        <v>-3</v>
      </c>
      <c r="AB252" s="10">
        <v>-3</v>
      </c>
      <c r="AC252" s="10">
        <v>-3</v>
      </c>
      <c r="AD252" s="10">
        <v>-3</v>
      </c>
      <c r="AE252" s="42">
        <v>100</v>
      </c>
      <c r="AF252" s="52" t="str">
        <f>+IF(AE252&gt;0,FIXED(Fuelbeds_english!AF252*0.3048,1,0),AE252)</f>
        <v>0.2</v>
      </c>
      <c r="AG252" s="36">
        <v>0</v>
      </c>
      <c r="AH252" s="52" t="str">
        <f>+IF(AE252&gt;0,FIXED(Fuelbeds_english!AH252*2.242,1,0),AE252)</f>
        <v>0.4</v>
      </c>
      <c r="AI252" s="45">
        <v>42236</v>
      </c>
      <c r="AJ252" s="45" t="s">
        <v>207</v>
      </c>
      <c r="AK252" s="45">
        <v>100</v>
      </c>
      <c r="AL252" s="34">
        <v>-3</v>
      </c>
      <c r="AM252" s="52">
        <f>+IF(AL252&gt;0,FIXED(Fuelbeds_english!AM252*2.54,1,0),AL252)</f>
        <v>-3</v>
      </c>
      <c r="AN252" s="52">
        <f>+IF(AM252&gt;0,FIXED(Fuelbeds_english!AN252*0.3048,1,0),AM252)</f>
        <v>-3</v>
      </c>
      <c r="AO252" s="52">
        <f>+IF(AN252&gt;0,FIXED(Fuelbeds_english!AO252*0.3048,1,0),AN252)</f>
        <v>-3</v>
      </c>
      <c r="AP252" s="52">
        <f>+IF(AO252&gt;0,FIXED(Fuelbeds_english!AP252*0.3048,1,0),AO252)</f>
        <v>-3</v>
      </c>
      <c r="AQ252" s="52">
        <f>+IF(AP252&gt;0,FIXED(Fuelbeds_english!AQ252*0.3048,1,0),AP252)</f>
        <v>-3</v>
      </c>
      <c r="AR252" s="36">
        <v>-3</v>
      </c>
      <c r="AS252" s="36">
        <v>-3</v>
      </c>
      <c r="AT252" s="36">
        <v>-3</v>
      </c>
      <c r="AU252" s="44">
        <v>-1</v>
      </c>
      <c r="AV252" s="52">
        <f>+IF(AU252&gt;0,FIXED(Fuelbeds_english!AV252*2.54,1,0),AU252)</f>
        <v>-1</v>
      </c>
      <c r="AW252" s="52">
        <v>-1</v>
      </c>
      <c r="AX252" s="52">
        <v>-1</v>
      </c>
      <c r="AY252" s="52">
        <f>+IF(AX252&gt;0,FIXED(Fuelbeds_english!AY252*2.54,1,0),AX252)</f>
        <v>-1</v>
      </c>
      <c r="AZ252" s="45">
        <v>2</v>
      </c>
      <c r="BA252" s="36">
        <v>65</v>
      </c>
      <c r="BB252" s="52" t="str">
        <f>+IF(BA252&gt;0,FIXED(Fuelbeds_english!BB252*2.54,1,0),BA252)</f>
        <v>1.3</v>
      </c>
      <c r="BC252" s="53">
        <v>-1</v>
      </c>
      <c r="BD252" s="53">
        <v>-1</v>
      </c>
      <c r="BE252" s="53">
        <v>-1</v>
      </c>
      <c r="BF252" s="53">
        <v>-1</v>
      </c>
      <c r="BG252" s="53">
        <v>-1</v>
      </c>
      <c r="BH252" s="53">
        <v>-1</v>
      </c>
      <c r="BI252" s="45">
        <v>100</v>
      </c>
      <c r="BJ252" s="28">
        <v>-1</v>
      </c>
      <c r="BK252" s="36">
        <v>-1</v>
      </c>
      <c r="BL252" s="52">
        <f>+IF(BK252&gt;0,FIXED(Fuelbeds_english!BL252*2.54,1,0),BK252)</f>
        <v>-1</v>
      </c>
      <c r="BM252" s="36">
        <v>-1</v>
      </c>
      <c r="BN252" s="36">
        <v>-1</v>
      </c>
      <c r="BO252" s="52">
        <f>+IF(BN252&gt;0,FIXED(Fuelbeds_english!BO252*2.54,1,0),BN252)</f>
        <v>-1</v>
      </c>
    </row>
    <row r="253" spans="1:67" s="50" customFormat="1" x14ac:dyDescent="0.25">
      <c r="A253" s="50">
        <v>252</v>
      </c>
      <c r="B253" s="36">
        <v>8012</v>
      </c>
      <c r="C253" s="46">
        <v>8012</v>
      </c>
      <c r="D253" s="36" t="s">
        <v>3</v>
      </c>
      <c r="E253" s="25" t="s">
        <v>412</v>
      </c>
      <c r="F253" s="39">
        <v>-3</v>
      </c>
      <c r="G253" s="45">
        <v>-3</v>
      </c>
      <c r="H253" s="45">
        <f>+IF(F253&gt;0,INT(Fuelbeds_english!H253*2.471),F253)</f>
        <v>-3</v>
      </c>
      <c r="I253" s="36">
        <f>+IF(F253&gt;0,INT(Fuelbeds_english!I253*0.3048),F253)</f>
        <v>-3</v>
      </c>
      <c r="J253" s="45">
        <f>+IF(F253&gt;0,INT(Fuelbeds_english!J253*0.3048),F253)</f>
        <v>-3</v>
      </c>
      <c r="K253" s="45">
        <f>+IF(F253&gt;0,INT(Fuelbeds_english!K253*2.54),F253)</f>
        <v>-3</v>
      </c>
      <c r="L253" s="45">
        <v>-3</v>
      </c>
      <c r="M253" s="45">
        <v>-3</v>
      </c>
      <c r="N253" s="45">
        <v>-3</v>
      </c>
      <c r="O253" s="45">
        <v>-3</v>
      </c>
      <c r="P253" s="45">
        <f>+IF(O253&gt;0,INT(Fuelbeds_english!P253*2.471),O253)</f>
        <v>-3</v>
      </c>
      <c r="Q253" s="36">
        <f>+IF(O253&gt;0,INT(Fuelbeds_english!Q253*0.3048),O253)</f>
        <v>-3</v>
      </c>
      <c r="R253" s="45">
        <f>+IF(O253&gt;0,INT(Fuelbeds_english!R253*0.3048),O253)</f>
        <v>-3</v>
      </c>
      <c r="S253" s="45">
        <f>+IF(O253&gt;0,INT(Fuelbeds_english!S253*2.54),O253)</f>
        <v>-3</v>
      </c>
      <c r="T253" s="45">
        <v>-3</v>
      </c>
      <c r="U253" s="45">
        <v>-3</v>
      </c>
      <c r="V253" s="45">
        <v>-3</v>
      </c>
      <c r="W253" s="45">
        <v>-3</v>
      </c>
      <c r="X253" s="99">
        <v>-3</v>
      </c>
      <c r="Y253" s="81">
        <v>-3</v>
      </c>
      <c r="Z253" s="88">
        <f>+IF(Y253&gt;0,FIXED(Fuelbeds_english!Z253*0.3048,1,0),Y253)</f>
        <v>-3</v>
      </c>
      <c r="AA253" s="48">
        <v>-3</v>
      </c>
      <c r="AB253" s="10">
        <v>-3</v>
      </c>
      <c r="AC253" s="10">
        <v>-3</v>
      </c>
      <c r="AD253" s="10">
        <v>-3</v>
      </c>
      <c r="AE253" s="42">
        <v>100</v>
      </c>
      <c r="AF253" s="52" t="str">
        <f>+IF(AE253&gt;0,FIXED(Fuelbeds_english!AF253*0.3048,1,0),AE253)</f>
        <v>0.2</v>
      </c>
      <c r="AG253" s="62">
        <v>0</v>
      </c>
      <c r="AH253" s="52" t="str">
        <f>+IF(AE253&gt;0,FIXED(Fuelbeds_english!AH253*2.242,1,0),AE253)</f>
        <v>1.1</v>
      </c>
      <c r="AI253" s="45">
        <v>42269</v>
      </c>
      <c r="AJ253" s="45" t="s">
        <v>206</v>
      </c>
      <c r="AK253" s="45">
        <v>100</v>
      </c>
      <c r="AL253" s="34">
        <v>-3</v>
      </c>
      <c r="AM253" s="52">
        <f>+IF(AL253&gt;0,FIXED(Fuelbeds_english!AM253*2.54,1,0),AL253)</f>
        <v>-3</v>
      </c>
      <c r="AN253" s="52">
        <f>+IF(AM253&gt;0,FIXED(Fuelbeds_english!AN253*0.3048,1,0),AM253)</f>
        <v>-3</v>
      </c>
      <c r="AO253" s="52">
        <f>+IF(AN253&gt;0,FIXED(Fuelbeds_english!AO253*0.3048,1,0),AN253)</f>
        <v>-3</v>
      </c>
      <c r="AP253" s="52">
        <f>+IF(AO253&gt;0,FIXED(Fuelbeds_english!AP253*0.3048,1,0),AO253)</f>
        <v>-3</v>
      </c>
      <c r="AQ253" s="52">
        <f>+IF(AP253&gt;0,FIXED(Fuelbeds_english!AQ253*0.3048,1,0),AP253)</f>
        <v>-3</v>
      </c>
      <c r="AR253" s="36">
        <v>-3</v>
      </c>
      <c r="AS253" s="45">
        <v>-3</v>
      </c>
      <c r="AT253" s="45">
        <v>-3</v>
      </c>
      <c r="AU253" s="44">
        <v>-1</v>
      </c>
      <c r="AV253" s="52">
        <f>+IF(AU253&gt;0,FIXED(Fuelbeds_english!AV253*2.54,1,0),AU253)</f>
        <v>-1</v>
      </c>
      <c r="AW253" s="52">
        <v>-1</v>
      </c>
      <c r="AX253" s="52">
        <v>-1</v>
      </c>
      <c r="AY253" s="52">
        <f>+IF(AX253&gt;0,FIXED(Fuelbeds_english!AY253*2.54,1,0),AX253)</f>
        <v>-1</v>
      </c>
      <c r="AZ253" s="45">
        <v>2</v>
      </c>
      <c r="BA253" s="36">
        <v>65</v>
      </c>
      <c r="BB253" s="52" t="str">
        <f>+IF(BA253&gt;0,FIXED(Fuelbeds_english!BB253*2.54,1,0),BA253)</f>
        <v>1.3</v>
      </c>
      <c r="BC253" s="53">
        <v>-1</v>
      </c>
      <c r="BD253" s="53">
        <v>-1</v>
      </c>
      <c r="BE253" s="53">
        <v>-1</v>
      </c>
      <c r="BF253" s="53">
        <v>-1</v>
      </c>
      <c r="BG253" s="53">
        <v>-1</v>
      </c>
      <c r="BH253" s="53">
        <v>-1</v>
      </c>
      <c r="BI253" s="45">
        <v>100</v>
      </c>
      <c r="BJ253" s="28">
        <v>-1</v>
      </c>
      <c r="BK253" s="36">
        <v>-1</v>
      </c>
      <c r="BL253" s="52">
        <f>+IF(BK253&gt;0,FIXED(Fuelbeds_english!BL253*2.54,1,0),BK253)</f>
        <v>-1</v>
      </c>
      <c r="BM253" s="36">
        <v>-1</v>
      </c>
      <c r="BN253" s="36">
        <v>-1</v>
      </c>
      <c r="BO253" s="52">
        <f>+IF(BN253&gt;0,FIXED(Fuelbeds_english!BO253*2.54,1,0),BN253)</f>
        <v>-1</v>
      </c>
    </row>
    <row r="254" spans="1:67" s="50" customFormat="1" x14ac:dyDescent="0.25">
      <c r="A254" s="50">
        <v>253</v>
      </c>
      <c r="B254" s="36">
        <v>8013</v>
      </c>
      <c r="C254" s="46">
        <v>8013</v>
      </c>
      <c r="D254" s="36" t="s">
        <v>3</v>
      </c>
      <c r="E254" s="25" t="s">
        <v>413</v>
      </c>
      <c r="F254" s="39">
        <v>-3</v>
      </c>
      <c r="G254" s="45">
        <v>-3</v>
      </c>
      <c r="H254" s="45">
        <f>+IF(F254&gt;0,INT(Fuelbeds_english!H254*2.471),F254)</f>
        <v>-3</v>
      </c>
      <c r="I254" s="36">
        <f>+IF(F254&gt;0,INT(Fuelbeds_english!I254*0.3048),F254)</f>
        <v>-3</v>
      </c>
      <c r="J254" s="45">
        <f>+IF(F254&gt;0,INT(Fuelbeds_english!J254*0.3048),F254)</f>
        <v>-3</v>
      </c>
      <c r="K254" s="45">
        <f>+IF(F254&gt;0,INT(Fuelbeds_english!K254*2.54),F254)</f>
        <v>-3</v>
      </c>
      <c r="L254" s="45">
        <v>-3</v>
      </c>
      <c r="M254" s="45">
        <v>-3</v>
      </c>
      <c r="N254" s="45">
        <v>-3</v>
      </c>
      <c r="O254" s="45">
        <v>-3</v>
      </c>
      <c r="P254" s="45">
        <f>+IF(O254&gt;0,INT(Fuelbeds_english!P254*2.471),O254)</f>
        <v>-3</v>
      </c>
      <c r="Q254" s="36">
        <f>+IF(O254&gt;0,INT(Fuelbeds_english!Q254*0.3048),O254)</f>
        <v>-3</v>
      </c>
      <c r="R254" s="45">
        <f>+IF(O254&gt;0,INT(Fuelbeds_english!R254*0.3048),O254)</f>
        <v>-3</v>
      </c>
      <c r="S254" s="45">
        <f>+IF(O254&gt;0,INT(Fuelbeds_english!S254*2.54),O254)</f>
        <v>-3</v>
      </c>
      <c r="T254" s="45">
        <v>-3</v>
      </c>
      <c r="U254" s="45">
        <v>-3</v>
      </c>
      <c r="V254" s="45">
        <v>-3</v>
      </c>
      <c r="W254" s="45">
        <v>-3</v>
      </c>
      <c r="X254" s="99">
        <v>-3</v>
      </c>
      <c r="Y254" s="81">
        <v>-3</v>
      </c>
      <c r="Z254" s="88">
        <f>+IF(Y254&gt;0,FIXED(Fuelbeds_english!Z254*0.3048,1,0),Y254)</f>
        <v>-3</v>
      </c>
      <c r="AA254" s="48">
        <v>-3</v>
      </c>
      <c r="AB254" s="10">
        <v>-3</v>
      </c>
      <c r="AC254" s="10">
        <v>-3</v>
      </c>
      <c r="AD254" s="10">
        <v>-3</v>
      </c>
      <c r="AE254" s="42">
        <v>100</v>
      </c>
      <c r="AF254" s="52" t="str">
        <f>+IF(AE254&gt;0,FIXED(Fuelbeds_english!AF254*0.3048,1,0),AE254)</f>
        <v>0.2</v>
      </c>
      <c r="AG254" s="45">
        <v>0</v>
      </c>
      <c r="AH254" s="52" t="str">
        <f>+IF(AE254&gt;0,FIXED(Fuelbeds_english!AH254*2.242,1,0),AE254)</f>
        <v>0.4</v>
      </c>
      <c r="AI254" s="45">
        <v>26716</v>
      </c>
      <c r="AJ254" s="45" t="s">
        <v>208</v>
      </c>
      <c r="AK254" s="45">
        <v>100</v>
      </c>
      <c r="AL254" s="34">
        <v>-3</v>
      </c>
      <c r="AM254" s="52">
        <f>+IF(AL254&gt;0,FIXED(Fuelbeds_english!AM254*2.54,1,0),AL254)</f>
        <v>-3</v>
      </c>
      <c r="AN254" s="52">
        <f>+IF(AM254&gt;0,FIXED(Fuelbeds_english!AN254*0.3048,1,0),AM254)</f>
        <v>-3</v>
      </c>
      <c r="AO254" s="52">
        <f>+IF(AN254&gt;0,FIXED(Fuelbeds_english!AO254*0.3048,1,0),AN254)</f>
        <v>-3</v>
      </c>
      <c r="AP254" s="52">
        <f>+IF(AO254&gt;0,FIXED(Fuelbeds_english!AP254*0.3048,1,0),AO254)</f>
        <v>-3</v>
      </c>
      <c r="AQ254" s="52">
        <f>+IF(AP254&gt;0,FIXED(Fuelbeds_english!AQ254*0.3048,1,0),AP254)</f>
        <v>-3</v>
      </c>
      <c r="AR254" s="36">
        <v>-3</v>
      </c>
      <c r="AS254" s="45">
        <v>-3</v>
      </c>
      <c r="AT254" s="45">
        <v>-3</v>
      </c>
      <c r="AU254" s="44">
        <v>-1</v>
      </c>
      <c r="AV254" s="52">
        <f>+IF(AU254&gt;0,FIXED(Fuelbeds_english!AV254*2.54,1,0),AU254)</f>
        <v>-1</v>
      </c>
      <c r="AW254" s="52">
        <v>-1</v>
      </c>
      <c r="AX254" s="52">
        <v>-1</v>
      </c>
      <c r="AY254" s="52">
        <f>+IF(AX254&gt;0,FIXED(Fuelbeds_english!AY254*2.54,1,0),AX254)</f>
        <v>-1</v>
      </c>
      <c r="AZ254" s="45">
        <v>2</v>
      </c>
      <c r="BA254" s="36">
        <v>65</v>
      </c>
      <c r="BB254" s="52" t="str">
        <f>+IF(BA254&gt;0,FIXED(Fuelbeds_english!BB254*2.54,1,0),BA254)</f>
        <v>1.3</v>
      </c>
      <c r="BC254" s="53">
        <v>-1</v>
      </c>
      <c r="BD254" s="53">
        <v>-1</v>
      </c>
      <c r="BE254" s="53">
        <v>-1</v>
      </c>
      <c r="BF254" s="53">
        <v>-1</v>
      </c>
      <c r="BG254" s="53">
        <v>-1</v>
      </c>
      <c r="BH254" s="53">
        <v>-1</v>
      </c>
      <c r="BI254" s="45">
        <v>100</v>
      </c>
      <c r="BJ254" s="28">
        <v>-1</v>
      </c>
      <c r="BK254" s="36">
        <v>-1</v>
      </c>
      <c r="BL254" s="52">
        <f>+IF(BK254&gt;0,FIXED(Fuelbeds_english!BL254*2.54,1,0),BK254)</f>
        <v>-1</v>
      </c>
      <c r="BM254" s="36">
        <v>-1</v>
      </c>
      <c r="BN254" s="36">
        <v>-1</v>
      </c>
      <c r="BO254" s="52">
        <f>+IF(BN254&gt;0,FIXED(Fuelbeds_english!BO254*2.54,1,0),BN254)</f>
        <v>-1</v>
      </c>
    </row>
    <row r="255" spans="1:67" s="50" customFormat="1" x14ac:dyDescent="0.25">
      <c r="A255" s="50">
        <v>254</v>
      </c>
      <c r="B255" s="36">
        <v>8015</v>
      </c>
      <c r="C255" s="46">
        <v>8015</v>
      </c>
      <c r="D255" s="36" t="s">
        <v>3</v>
      </c>
      <c r="E255" s="9" t="s">
        <v>424</v>
      </c>
      <c r="F255" s="39">
        <v>-3</v>
      </c>
      <c r="G255" s="45">
        <v>-3</v>
      </c>
      <c r="H255" s="45">
        <f>+IF(F255&gt;0,INT(Fuelbeds_english!H255*2.471),F255)</f>
        <v>-3</v>
      </c>
      <c r="I255" s="36">
        <f>+IF(F255&gt;0,INT(Fuelbeds_english!I255*0.3048),F255)</f>
        <v>-3</v>
      </c>
      <c r="J255" s="45">
        <f>+IF(F255&gt;0,INT(Fuelbeds_english!J255*0.3048),F255)</f>
        <v>-3</v>
      </c>
      <c r="K255" s="45">
        <f>+IF(F255&gt;0,INT(Fuelbeds_english!K255*2.54),F255)</f>
        <v>-3</v>
      </c>
      <c r="L255" s="45">
        <v>-3</v>
      </c>
      <c r="M255" s="45">
        <v>-3</v>
      </c>
      <c r="N255" s="45">
        <v>-3</v>
      </c>
      <c r="O255" s="45">
        <v>-3</v>
      </c>
      <c r="P255" s="45">
        <f>+IF(O255&gt;0,INT(Fuelbeds_english!P255*2.471),O255)</f>
        <v>-3</v>
      </c>
      <c r="Q255" s="36">
        <f>+IF(O255&gt;0,INT(Fuelbeds_english!Q255*0.3048),O255)</f>
        <v>-3</v>
      </c>
      <c r="R255" s="45">
        <f>+IF(O255&gt;0,INT(Fuelbeds_english!R255*0.3048),O255)</f>
        <v>-3</v>
      </c>
      <c r="S255" s="45">
        <f>+IF(O255&gt;0,INT(Fuelbeds_english!S255*2.54),O255)</f>
        <v>-3</v>
      </c>
      <c r="T255" s="45">
        <v>-3</v>
      </c>
      <c r="U255" s="45">
        <v>-3</v>
      </c>
      <c r="V255" s="45">
        <v>-3</v>
      </c>
      <c r="W255" s="45">
        <v>-3</v>
      </c>
      <c r="X255" s="99">
        <v>-3</v>
      </c>
      <c r="Y255" s="81">
        <v>-3</v>
      </c>
      <c r="Z255" s="88">
        <f>+IF(Y255&gt;0,FIXED(Fuelbeds_english!Z255*0.3048,1,0),Y255)</f>
        <v>-3</v>
      </c>
      <c r="AA255" s="48">
        <v>-3</v>
      </c>
      <c r="AB255" s="10">
        <v>-3</v>
      </c>
      <c r="AC255" s="10">
        <v>-3</v>
      </c>
      <c r="AD255" s="10">
        <v>-3</v>
      </c>
      <c r="AE255" s="42">
        <v>100</v>
      </c>
      <c r="AF255" s="52" t="str">
        <f>+IF(AE255&gt;0,FIXED(Fuelbeds_english!AF255*0.3048,1,0),AE255)</f>
        <v>0.2</v>
      </c>
      <c r="AG255" s="62">
        <v>0</v>
      </c>
      <c r="AH255" s="52" t="str">
        <f>+IF(AE255&gt;0,FIXED(Fuelbeds_english!AH255*2.242,1,0),AE255)</f>
        <v>1.5</v>
      </c>
      <c r="AI255" s="45">
        <v>21711</v>
      </c>
      <c r="AJ255" s="45" t="s">
        <v>425</v>
      </c>
      <c r="AK255" s="45">
        <v>100</v>
      </c>
      <c r="AL255" s="34">
        <v>-3</v>
      </c>
      <c r="AM255" s="52">
        <f>+IF(AL255&gt;0,FIXED(Fuelbeds_english!AM255*2.54,1,0),AL255)</f>
        <v>-3</v>
      </c>
      <c r="AN255" s="52">
        <f>+IF(AM255&gt;0,FIXED(Fuelbeds_english!AN255*0.3048,1,0),AM255)</f>
        <v>-3</v>
      </c>
      <c r="AO255" s="52">
        <f>+IF(AN255&gt;0,FIXED(Fuelbeds_english!AO255*0.3048,1,0),AN255)</f>
        <v>-3</v>
      </c>
      <c r="AP255" s="52">
        <f>+IF(AO255&gt;0,FIXED(Fuelbeds_english!AP255*0.3048,1,0),AO255)</f>
        <v>-3</v>
      </c>
      <c r="AQ255" s="52">
        <f>+IF(AP255&gt;0,FIXED(Fuelbeds_english!AQ255*0.3048,1,0),AP255)</f>
        <v>-3</v>
      </c>
      <c r="AR255" s="36">
        <v>-3</v>
      </c>
      <c r="AS255" s="45">
        <v>-3</v>
      </c>
      <c r="AT255" s="45">
        <v>-3</v>
      </c>
      <c r="AU255" s="44">
        <v>-1</v>
      </c>
      <c r="AV255" s="52">
        <f>+IF(AU255&gt;0,FIXED(Fuelbeds_english!AV255*2.54,1,0),AU255)</f>
        <v>-1</v>
      </c>
      <c r="AW255" s="52">
        <v>-1</v>
      </c>
      <c r="AX255" s="52">
        <v>-1</v>
      </c>
      <c r="AY255" s="52">
        <f>+IF(AX255&gt;0,FIXED(Fuelbeds_english!AY255*2.54,1,0),AX255)</f>
        <v>-1</v>
      </c>
      <c r="AZ255" s="45">
        <v>2</v>
      </c>
      <c r="BA255" s="36">
        <v>65</v>
      </c>
      <c r="BB255" s="52" t="str">
        <f>+IF(BA255&gt;0,FIXED(Fuelbeds_english!BB255*2.54,1,0),BA255)</f>
        <v>1.3</v>
      </c>
      <c r="BC255" s="53">
        <v>-1</v>
      </c>
      <c r="BD255" s="53">
        <v>-1</v>
      </c>
      <c r="BE255" s="53">
        <v>-1</v>
      </c>
      <c r="BF255" s="53">
        <v>-1</v>
      </c>
      <c r="BG255" s="53">
        <v>-1</v>
      </c>
      <c r="BH255" s="53">
        <v>-1</v>
      </c>
      <c r="BI255" s="45">
        <v>100</v>
      </c>
      <c r="BJ255" s="28">
        <v>-1</v>
      </c>
      <c r="BK255" s="36">
        <v>-1</v>
      </c>
      <c r="BL255" s="52">
        <f>+IF(BK255&gt;0,FIXED(Fuelbeds_english!BL255*2.54,1,0),BK255)</f>
        <v>-1</v>
      </c>
      <c r="BM255" s="36">
        <v>-1</v>
      </c>
      <c r="BN255" s="36">
        <v>-1</v>
      </c>
      <c r="BO255" s="52">
        <f>+IF(BN255&gt;0,FIXED(Fuelbeds_english!BO255*2.54,1,0),BN255)</f>
        <v>-1</v>
      </c>
    </row>
    <row r="256" spans="1:67" s="50" customFormat="1" x14ac:dyDescent="0.25">
      <c r="A256" s="50">
        <v>255</v>
      </c>
      <c r="B256" s="36">
        <v>8019</v>
      </c>
      <c r="C256" s="46">
        <v>8019</v>
      </c>
      <c r="D256" s="36" t="s">
        <v>3</v>
      </c>
      <c r="E256" s="9" t="s">
        <v>448</v>
      </c>
      <c r="F256" s="39">
        <v>-3</v>
      </c>
      <c r="G256" s="45">
        <v>-3</v>
      </c>
      <c r="H256" s="45">
        <f>+IF(F256&gt;0,INT(Fuelbeds_english!H256*2.471),F256)</f>
        <v>-3</v>
      </c>
      <c r="I256" s="36">
        <f>+IF(F256&gt;0,INT(Fuelbeds_english!I256*0.3048),F256)</f>
        <v>-3</v>
      </c>
      <c r="J256" s="45">
        <f>+IF(F256&gt;0,INT(Fuelbeds_english!J256*0.3048),F256)</f>
        <v>-3</v>
      </c>
      <c r="K256" s="45">
        <f>+IF(F256&gt;0,INT(Fuelbeds_english!K256*2.54),F256)</f>
        <v>-3</v>
      </c>
      <c r="L256" s="45">
        <v>-3</v>
      </c>
      <c r="M256" s="45">
        <v>-3</v>
      </c>
      <c r="N256" s="45">
        <v>-3</v>
      </c>
      <c r="O256" s="45">
        <v>-3</v>
      </c>
      <c r="P256" s="45">
        <f>+IF(O256&gt;0,INT(Fuelbeds_english!P256*2.471),O256)</f>
        <v>-3</v>
      </c>
      <c r="Q256" s="36">
        <f>+IF(O256&gt;0,INT(Fuelbeds_english!Q256*0.3048),O256)</f>
        <v>-3</v>
      </c>
      <c r="R256" s="45">
        <f>+IF(O256&gt;0,INT(Fuelbeds_english!R256*0.3048),O256)</f>
        <v>-3</v>
      </c>
      <c r="S256" s="45">
        <f>+IF(O256&gt;0,INT(Fuelbeds_english!S256*2.54),O256)</f>
        <v>-3</v>
      </c>
      <c r="T256" s="45">
        <v>-3</v>
      </c>
      <c r="U256" s="45">
        <v>-3</v>
      </c>
      <c r="V256" s="45">
        <v>-3</v>
      </c>
      <c r="W256" s="45">
        <v>-3</v>
      </c>
      <c r="X256" s="99">
        <v>-3</v>
      </c>
      <c r="Y256" s="81">
        <v>-3</v>
      </c>
      <c r="Z256" s="88">
        <f>+IF(Y256&gt;0,FIXED(Fuelbeds_english!Z256*0.3048,1,0),Y256)</f>
        <v>-3</v>
      </c>
      <c r="AA256" s="48">
        <v>-3</v>
      </c>
      <c r="AB256" s="10">
        <v>-3</v>
      </c>
      <c r="AC256" s="10">
        <v>-3</v>
      </c>
      <c r="AD256" s="10">
        <v>-3</v>
      </c>
      <c r="AE256" s="42">
        <v>100</v>
      </c>
      <c r="AF256" s="52" t="str">
        <f>+IF(AE256&gt;0,FIXED(Fuelbeds_english!AF256*0.3048,1,0),AE256)</f>
        <v>0.2</v>
      </c>
      <c r="AG256" s="45">
        <v>0</v>
      </c>
      <c r="AH256" s="52" t="str">
        <f>+IF(AE256&gt;0,FIXED(Fuelbeds_english!AH256*2.242,1,0),AE256)</f>
        <v>1.1</v>
      </c>
      <c r="AI256" s="45">
        <v>36611</v>
      </c>
      <c r="AJ256" s="45" t="s">
        <v>435</v>
      </c>
      <c r="AK256" s="45">
        <v>100</v>
      </c>
      <c r="AL256" s="34">
        <v>-3</v>
      </c>
      <c r="AM256" s="52">
        <f>+IF(AL256&gt;0,FIXED(Fuelbeds_english!AM256*2.54,1,0),AL256)</f>
        <v>-3</v>
      </c>
      <c r="AN256" s="52">
        <f>+IF(AM256&gt;0,FIXED(Fuelbeds_english!AN256*0.3048,1,0),AM256)</f>
        <v>-3</v>
      </c>
      <c r="AO256" s="52">
        <f>+IF(AN256&gt;0,FIXED(Fuelbeds_english!AO256*0.3048,1,0),AN256)</f>
        <v>-3</v>
      </c>
      <c r="AP256" s="52">
        <f>+IF(AO256&gt;0,FIXED(Fuelbeds_english!AP256*0.3048,1,0),AO256)</f>
        <v>-3</v>
      </c>
      <c r="AQ256" s="52">
        <f>+IF(AP256&gt;0,FIXED(Fuelbeds_english!AQ256*0.3048,1,0),AP256)</f>
        <v>-3</v>
      </c>
      <c r="AR256" s="36">
        <v>-3</v>
      </c>
      <c r="AS256" s="45">
        <v>-3</v>
      </c>
      <c r="AT256" s="45">
        <v>-3</v>
      </c>
      <c r="AU256" s="44">
        <v>-1</v>
      </c>
      <c r="AV256" s="52">
        <f>+IF(AU256&gt;0,FIXED(Fuelbeds_english!AV256*2.54,1,0),AU256)</f>
        <v>-1</v>
      </c>
      <c r="AW256" s="52">
        <v>-1</v>
      </c>
      <c r="AX256" s="52">
        <v>-1</v>
      </c>
      <c r="AY256" s="52">
        <f>+IF(AX256&gt;0,FIXED(Fuelbeds_english!AY256*2.54,1,0),AX256)</f>
        <v>-1</v>
      </c>
      <c r="AZ256" s="45">
        <v>2</v>
      </c>
      <c r="BA256" s="36">
        <v>65</v>
      </c>
      <c r="BB256" s="52" t="str">
        <f>+IF(BA256&gt;0,FIXED(Fuelbeds_english!BB256*2.54,1,0),BA256)</f>
        <v>1.3</v>
      </c>
      <c r="BC256" s="53">
        <v>-1</v>
      </c>
      <c r="BD256" s="53">
        <v>-1</v>
      </c>
      <c r="BE256" s="53">
        <v>-1</v>
      </c>
      <c r="BF256" s="53">
        <v>-1</v>
      </c>
      <c r="BG256" s="53">
        <v>-1</v>
      </c>
      <c r="BH256" s="53">
        <v>-1</v>
      </c>
      <c r="BI256" s="45">
        <v>100</v>
      </c>
      <c r="BJ256" s="28">
        <v>-1</v>
      </c>
      <c r="BK256" s="36">
        <v>-1</v>
      </c>
      <c r="BL256" s="52">
        <f>+IF(BK256&gt;0,FIXED(Fuelbeds_english!BL256*2.54,1,0),BK256)</f>
        <v>-1</v>
      </c>
      <c r="BM256" s="36">
        <v>-1</v>
      </c>
      <c r="BN256" s="36">
        <v>-1</v>
      </c>
      <c r="BO256" s="52">
        <f>+IF(BN256&gt;0,FIXED(Fuelbeds_english!BO256*2.54,1,0),BN256)</f>
        <v>-1</v>
      </c>
    </row>
    <row r="257" spans="1:67" s="50" customFormat="1" x14ac:dyDescent="0.25">
      <c r="A257" s="50">
        <v>256</v>
      </c>
      <c r="B257" s="36">
        <v>8020</v>
      </c>
      <c r="C257" s="46">
        <v>8020</v>
      </c>
      <c r="D257" s="36" t="s">
        <v>3</v>
      </c>
      <c r="E257" s="38" t="s">
        <v>427</v>
      </c>
      <c r="F257" s="39">
        <v>-1</v>
      </c>
      <c r="G257" s="36">
        <v>-1</v>
      </c>
      <c r="H257" s="45">
        <f>+IF(F257&gt;0,INT(Fuelbeds_english!H257*2.471),F257)</f>
        <v>-1</v>
      </c>
      <c r="I257" s="36">
        <f>+IF(F257&gt;0,INT(Fuelbeds_english!I257*0.3048),F257)</f>
        <v>-1</v>
      </c>
      <c r="J257" s="45">
        <f>+IF(F257&gt;0,INT(Fuelbeds_english!J257*0.3048),F257)</f>
        <v>-1</v>
      </c>
      <c r="K257" s="45">
        <f>+IF(F257&gt;0,INT(Fuelbeds_english!K257*2.54),F257)</f>
        <v>-1</v>
      </c>
      <c r="L257" s="36">
        <v>-1</v>
      </c>
      <c r="M257" s="36">
        <v>-1</v>
      </c>
      <c r="N257" s="36">
        <v>-1</v>
      </c>
      <c r="O257" s="36">
        <v>-1</v>
      </c>
      <c r="P257" s="45">
        <f>+IF(O257&gt;0,INT(Fuelbeds_english!P257*2.471),O257)</f>
        <v>-1</v>
      </c>
      <c r="Q257" s="36">
        <f>+IF(O257&gt;0,INT(Fuelbeds_english!Q257*0.3048),O257)</f>
        <v>-1</v>
      </c>
      <c r="R257" s="45">
        <f>+IF(O257&gt;0,INT(Fuelbeds_english!R257*0.3048),O257)</f>
        <v>-1</v>
      </c>
      <c r="S257" s="45">
        <f>+IF(O257&gt;0,INT(Fuelbeds_english!S257*2.54),O257)</f>
        <v>-1</v>
      </c>
      <c r="T257" s="36">
        <v>-1</v>
      </c>
      <c r="U257" s="36">
        <v>-1</v>
      </c>
      <c r="V257" s="36">
        <v>-1</v>
      </c>
      <c r="W257" s="36">
        <v>-1</v>
      </c>
      <c r="X257" s="98">
        <v>-1</v>
      </c>
      <c r="Y257" s="29">
        <v>40</v>
      </c>
      <c r="Z257" s="88" t="str">
        <f>+IF(Y257&gt;0,FIXED(Fuelbeds_english!Z257*0.3048,1,0),Y257)</f>
        <v>0.9</v>
      </c>
      <c r="AA257" s="46">
        <v>75</v>
      </c>
      <c r="AB257" s="50">
        <v>29051</v>
      </c>
      <c r="AC257" s="50" t="s">
        <v>152</v>
      </c>
      <c r="AD257" s="50">
        <v>100</v>
      </c>
      <c r="AE257" s="42">
        <v>60</v>
      </c>
      <c r="AF257" s="52" t="str">
        <f>+IF(AE257&gt;0,FIXED(Fuelbeds_english!AF257*0.3048,1,0),AE257)</f>
        <v>0.2</v>
      </c>
      <c r="AG257" s="45">
        <v>0</v>
      </c>
      <c r="AH257" s="52" t="str">
        <f>+IF(AE257&gt;0,FIXED(Fuelbeds_english!AH257*2.242,1,0),AE257)</f>
        <v>0.2</v>
      </c>
      <c r="AI257" s="45">
        <v>42236</v>
      </c>
      <c r="AJ257" s="45" t="s">
        <v>207</v>
      </c>
      <c r="AK257" s="45">
        <v>100</v>
      </c>
      <c r="AL257" s="34">
        <v>0.62211981558629104</v>
      </c>
      <c r="AM257" s="52" t="str">
        <f>+IF(AL257&gt;0,FIXED(Fuelbeds_english!AM257*2.54,1,0),AL257)</f>
        <v>0.3</v>
      </c>
      <c r="AN257" s="52" t="str">
        <f>+IF($AM257&gt;0,FIXED(Fuelbeds_english!AN257*2.242,1,0),$AM257)</f>
        <v>0.2</v>
      </c>
      <c r="AO257" s="52" t="str">
        <f>+IF($AM257&gt;0,FIXED(Fuelbeds_english!AO257*2.242,1,0),$AM257)</f>
        <v>0.4</v>
      </c>
      <c r="AP257" s="52" t="str">
        <f>+IF($AM257&gt;0,FIXED(Fuelbeds_english!AP257*2.242,1,0),$AM257)</f>
        <v>0.0</v>
      </c>
      <c r="AQ257" s="52" t="str">
        <f>+IF($AM257&gt;0,FIXED(Fuelbeds_english!AQ257*2.242,1,0),$AM257)</f>
        <v>0.0</v>
      </c>
      <c r="AR257" s="36">
        <v>29051</v>
      </c>
      <c r="AS257" s="45" t="s">
        <v>152</v>
      </c>
      <c r="AT257" s="45">
        <v>100</v>
      </c>
      <c r="AU257" s="44">
        <v>-1</v>
      </c>
      <c r="AV257" s="52">
        <f>+IF(AU257&gt;0,FIXED(Fuelbeds_english!AV257*2.54,1,0),AU257)</f>
        <v>-1</v>
      </c>
      <c r="AW257" s="52">
        <v>-1</v>
      </c>
      <c r="AX257" s="52">
        <v>-1</v>
      </c>
      <c r="AY257" s="52">
        <f>+IF(AX257&gt;0,FIXED(Fuelbeds_english!AY257*2.54,1,0),AX257)</f>
        <v>-1</v>
      </c>
      <c r="AZ257" s="45">
        <v>2</v>
      </c>
      <c r="BA257" s="36">
        <v>78</v>
      </c>
      <c r="BB257" s="52" t="str">
        <f>+IF(BA257&gt;0,FIXED(Fuelbeds_english!BB257*2.54,1,0),BA257)</f>
        <v>1.5</v>
      </c>
      <c r="BC257" s="53">
        <v>-1</v>
      </c>
      <c r="BD257" s="53">
        <v>-1</v>
      </c>
      <c r="BE257" s="53">
        <v>-1</v>
      </c>
      <c r="BF257" s="53">
        <v>-1</v>
      </c>
      <c r="BG257" s="53">
        <v>40</v>
      </c>
      <c r="BH257" s="53">
        <v>-1</v>
      </c>
      <c r="BI257" s="45">
        <v>60</v>
      </c>
      <c r="BJ257" s="28">
        <v>-1</v>
      </c>
      <c r="BK257" s="36">
        <v>-1</v>
      </c>
      <c r="BL257" s="52">
        <f>+IF(BK257&gt;0,FIXED(Fuelbeds_english!BL257*2.54,1,0),BK257)</f>
        <v>-1</v>
      </c>
      <c r="BM257" s="36">
        <v>-1</v>
      </c>
      <c r="BN257" s="36">
        <v>-1</v>
      </c>
      <c r="BO257" s="52">
        <f>+IF(BN257&gt;0,FIXED(Fuelbeds_english!BO257*2.54,1,0),BN257)</f>
        <v>-1</v>
      </c>
    </row>
    <row r="258" spans="1:67" s="50" customFormat="1" x14ac:dyDescent="0.25">
      <c r="A258" s="50">
        <v>257</v>
      </c>
      <c r="B258" s="36">
        <v>8022</v>
      </c>
      <c r="C258" s="46">
        <v>8022</v>
      </c>
      <c r="D258" s="36" t="s">
        <v>3</v>
      </c>
      <c r="E258" s="38" t="s">
        <v>428</v>
      </c>
      <c r="F258" s="39">
        <v>-1</v>
      </c>
      <c r="G258" s="36">
        <v>-1</v>
      </c>
      <c r="H258" s="45">
        <f>+IF(F258&gt;0,INT(Fuelbeds_english!H258*2.471),F258)</f>
        <v>-1</v>
      </c>
      <c r="I258" s="36">
        <f>+IF(F258&gt;0,INT(Fuelbeds_english!I258*0.3048),F258)</f>
        <v>-1</v>
      </c>
      <c r="J258" s="45">
        <f>+IF(F258&gt;0,INT(Fuelbeds_english!J258*0.3048),F258)</f>
        <v>-1</v>
      </c>
      <c r="K258" s="45">
        <f>+IF(F258&gt;0,INT(Fuelbeds_english!K258*2.54),F258)</f>
        <v>-1</v>
      </c>
      <c r="L258" s="36">
        <v>-1</v>
      </c>
      <c r="M258" s="36">
        <v>-1</v>
      </c>
      <c r="N258" s="36">
        <v>-1</v>
      </c>
      <c r="O258" s="36">
        <v>-1</v>
      </c>
      <c r="P258" s="45">
        <f>+IF(O258&gt;0,INT(Fuelbeds_english!P258*2.471),O258)</f>
        <v>-1</v>
      </c>
      <c r="Q258" s="36">
        <f>+IF(O258&gt;0,INT(Fuelbeds_english!Q258*0.3048),O258)</f>
        <v>-1</v>
      </c>
      <c r="R258" s="45">
        <f>+IF(O258&gt;0,INT(Fuelbeds_english!R258*0.3048),O258)</f>
        <v>-1</v>
      </c>
      <c r="S258" s="45">
        <f>+IF(O258&gt;0,INT(Fuelbeds_english!S258*2.54),O258)</f>
        <v>-1</v>
      </c>
      <c r="T258" s="36">
        <v>-1</v>
      </c>
      <c r="U258" s="36">
        <v>-1</v>
      </c>
      <c r="V258" s="36">
        <v>-1</v>
      </c>
      <c r="W258" s="36">
        <v>-1</v>
      </c>
      <c r="X258" s="98">
        <v>-1</v>
      </c>
      <c r="Y258" s="29">
        <v>40</v>
      </c>
      <c r="Z258" s="88" t="str">
        <f>+IF(Y258&gt;0,FIXED(Fuelbeds_english!Z258*0.3048,1,0),Y258)</f>
        <v>0.9</v>
      </c>
      <c r="AA258" s="46">
        <v>75</v>
      </c>
      <c r="AB258" s="50">
        <v>29051</v>
      </c>
      <c r="AC258" s="50" t="s">
        <v>152</v>
      </c>
      <c r="AD258" s="50">
        <v>100</v>
      </c>
      <c r="AE258" s="42">
        <v>60</v>
      </c>
      <c r="AF258" s="52" t="str">
        <f>+IF(AE258&gt;0,FIXED(Fuelbeds_english!AF258*0.3048,1,0),AE258)</f>
        <v>0.2</v>
      </c>
      <c r="AG258" s="45">
        <v>0</v>
      </c>
      <c r="AH258" s="52" t="str">
        <f>+IF(AE258&gt;0,FIXED(Fuelbeds_english!AH258*2.242,1,0),AE258)</f>
        <v>0.6</v>
      </c>
      <c r="AI258" s="45">
        <v>42269</v>
      </c>
      <c r="AJ258" s="45" t="s">
        <v>206</v>
      </c>
      <c r="AK258" s="45">
        <v>100</v>
      </c>
      <c r="AL258" s="34">
        <v>0.62211981558629104</v>
      </c>
      <c r="AM258" s="52" t="str">
        <f>+IF(AL258&gt;0,FIXED(Fuelbeds_english!AM258*2.54,1,0),AL258)</f>
        <v>0.3</v>
      </c>
      <c r="AN258" s="52" t="str">
        <f>+IF($AM258&gt;0,FIXED(Fuelbeds_english!AN258*2.242,1,0),$AM258)</f>
        <v>0.2</v>
      </c>
      <c r="AO258" s="52" t="str">
        <f>+IF($AM258&gt;0,FIXED(Fuelbeds_english!AO258*2.242,1,0),$AM258)</f>
        <v>0.4</v>
      </c>
      <c r="AP258" s="52" t="str">
        <f>+IF($AM258&gt;0,FIXED(Fuelbeds_english!AP258*2.242,1,0),$AM258)</f>
        <v>0.0</v>
      </c>
      <c r="AQ258" s="52" t="str">
        <f>+IF($AM258&gt;0,FIXED(Fuelbeds_english!AQ258*2.242,1,0),$AM258)</f>
        <v>0.0</v>
      </c>
      <c r="AR258" s="36">
        <v>29051</v>
      </c>
      <c r="AS258" s="45" t="s">
        <v>152</v>
      </c>
      <c r="AT258" s="45">
        <v>100</v>
      </c>
      <c r="AU258" s="44">
        <v>-1</v>
      </c>
      <c r="AV258" s="52">
        <f>+IF(AU258&gt;0,FIXED(Fuelbeds_english!AV258*2.54,1,0),AU258)</f>
        <v>-1</v>
      </c>
      <c r="AW258" s="52">
        <v>-1</v>
      </c>
      <c r="AX258" s="52">
        <v>-1</v>
      </c>
      <c r="AY258" s="52">
        <f>+IF(AX258&gt;0,FIXED(Fuelbeds_english!AY258*2.54,1,0),AX258)</f>
        <v>-1</v>
      </c>
      <c r="AZ258" s="45">
        <v>2</v>
      </c>
      <c r="BA258" s="36">
        <v>78</v>
      </c>
      <c r="BB258" s="52" t="str">
        <f>+IF(BA258&gt;0,FIXED(Fuelbeds_english!BB258*2.54,1,0),BA258)</f>
        <v>1.5</v>
      </c>
      <c r="BC258" s="53">
        <v>-1</v>
      </c>
      <c r="BD258" s="53">
        <v>-1</v>
      </c>
      <c r="BE258" s="53">
        <v>-1</v>
      </c>
      <c r="BF258" s="53">
        <v>-1</v>
      </c>
      <c r="BG258" s="53">
        <v>40</v>
      </c>
      <c r="BH258" s="53">
        <v>-1</v>
      </c>
      <c r="BI258" s="45">
        <v>60</v>
      </c>
      <c r="BJ258" s="28">
        <v>-1</v>
      </c>
      <c r="BK258" s="36">
        <v>-1</v>
      </c>
      <c r="BL258" s="52">
        <f>+IF(BK258&gt;0,FIXED(Fuelbeds_english!BL258*2.54,1,0),BK258)</f>
        <v>-1</v>
      </c>
      <c r="BM258" s="36">
        <v>-1</v>
      </c>
      <c r="BN258" s="36">
        <v>-1</v>
      </c>
      <c r="BO258" s="52">
        <f>+IF(BN258&gt;0,FIXED(Fuelbeds_english!BO258*2.54,1,0),BN258)</f>
        <v>-1</v>
      </c>
    </row>
    <row r="259" spans="1:67" s="50" customFormat="1" x14ac:dyDescent="0.25">
      <c r="A259" s="50">
        <v>258</v>
      </c>
      <c r="B259" s="36">
        <v>8023</v>
      </c>
      <c r="C259" s="36">
        <v>8023</v>
      </c>
      <c r="D259" s="36" t="s">
        <v>3</v>
      </c>
      <c r="E259" s="38" t="s">
        <v>429</v>
      </c>
      <c r="F259" s="39">
        <v>-1</v>
      </c>
      <c r="G259" s="36">
        <v>-1</v>
      </c>
      <c r="H259" s="45">
        <f>+IF(F259&gt;0,INT(Fuelbeds_english!H259*2.471),F259)</f>
        <v>-1</v>
      </c>
      <c r="I259" s="36">
        <f>+IF(F259&gt;0,INT(Fuelbeds_english!I259*0.3048),F259)</f>
        <v>-1</v>
      </c>
      <c r="J259" s="45">
        <f>+IF(F259&gt;0,INT(Fuelbeds_english!J259*0.3048),F259)</f>
        <v>-1</v>
      </c>
      <c r="K259" s="45">
        <f>+IF(F259&gt;0,INT(Fuelbeds_english!K259*2.54),F259)</f>
        <v>-1</v>
      </c>
      <c r="L259" s="36">
        <v>-1</v>
      </c>
      <c r="M259" s="36">
        <v>-1</v>
      </c>
      <c r="N259" s="36">
        <v>-1</v>
      </c>
      <c r="O259" s="36">
        <v>-1</v>
      </c>
      <c r="P259" s="45">
        <f>+IF(O259&gt;0,INT(Fuelbeds_english!P259*2.471),O259)</f>
        <v>-1</v>
      </c>
      <c r="Q259" s="36">
        <f>+IF(O259&gt;0,INT(Fuelbeds_english!Q259*0.3048),O259)</f>
        <v>-1</v>
      </c>
      <c r="R259" s="45">
        <f>+IF(O259&gt;0,INT(Fuelbeds_english!R259*0.3048),O259)</f>
        <v>-1</v>
      </c>
      <c r="S259" s="45">
        <f>+IF(O259&gt;0,INT(Fuelbeds_english!S259*2.54),O259)</f>
        <v>-1</v>
      </c>
      <c r="T259" s="36">
        <v>-1</v>
      </c>
      <c r="U259" s="36">
        <v>-1</v>
      </c>
      <c r="V259" s="36">
        <v>-1</v>
      </c>
      <c r="W259" s="36">
        <v>-1</v>
      </c>
      <c r="X259" s="98">
        <v>-1</v>
      </c>
      <c r="Y259" s="29">
        <v>40</v>
      </c>
      <c r="Z259" s="88" t="str">
        <f>+IF(Y259&gt;0,FIXED(Fuelbeds_english!Z259*0.3048,1,0),Y259)</f>
        <v>0.9</v>
      </c>
      <c r="AA259" s="46">
        <v>75</v>
      </c>
      <c r="AB259" s="50">
        <v>29051</v>
      </c>
      <c r="AC259" s="50" t="s">
        <v>152</v>
      </c>
      <c r="AD259" s="50">
        <v>100</v>
      </c>
      <c r="AE259" s="42">
        <v>60</v>
      </c>
      <c r="AF259" s="52" t="str">
        <f>+IF(AE259&gt;0,FIXED(Fuelbeds_english!AF259*0.3048,1,0),AE259)</f>
        <v>0.2</v>
      </c>
      <c r="AG259" s="45">
        <v>0</v>
      </c>
      <c r="AH259" s="52" t="str">
        <f>+IF(AE259&gt;0,FIXED(Fuelbeds_english!AH259*2.242,1,0),AE259)</f>
        <v>0.2</v>
      </c>
      <c r="AI259" s="45">
        <v>26716</v>
      </c>
      <c r="AJ259" s="45" t="s">
        <v>208</v>
      </c>
      <c r="AK259" s="45">
        <v>100</v>
      </c>
      <c r="AL259" s="34">
        <v>0.62211981558629104</v>
      </c>
      <c r="AM259" s="52" t="str">
        <f>+IF(AL259&gt;0,FIXED(Fuelbeds_english!AM259*2.54,1,0),AL259)</f>
        <v>0.3</v>
      </c>
      <c r="AN259" s="52" t="str">
        <f>+IF($AM259&gt;0,FIXED(Fuelbeds_english!AN259*2.242,1,0),$AM259)</f>
        <v>0.2</v>
      </c>
      <c r="AO259" s="52" t="str">
        <f>+IF($AM259&gt;0,FIXED(Fuelbeds_english!AO259*2.242,1,0),$AM259)</f>
        <v>0.4</v>
      </c>
      <c r="AP259" s="52" t="str">
        <f>+IF($AM259&gt;0,FIXED(Fuelbeds_english!AP259*2.242,1,0),$AM259)</f>
        <v>0.0</v>
      </c>
      <c r="AQ259" s="52" t="str">
        <f>+IF($AM259&gt;0,FIXED(Fuelbeds_english!AQ259*2.242,1,0),$AM259)</f>
        <v>0.0</v>
      </c>
      <c r="AR259" s="36">
        <v>29051</v>
      </c>
      <c r="AS259" s="45" t="s">
        <v>152</v>
      </c>
      <c r="AT259" s="45">
        <v>100</v>
      </c>
      <c r="AU259" s="44">
        <v>-1</v>
      </c>
      <c r="AV259" s="52">
        <f>+IF(AU259&gt;0,FIXED(Fuelbeds_english!AV259*2.54,1,0),AU259)</f>
        <v>-1</v>
      </c>
      <c r="AW259" s="52">
        <v>-1</v>
      </c>
      <c r="AX259" s="52">
        <v>-1</v>
      </c>
      <c r="AY259" s="52">
        <f>+IF(AX259&gt;0,FIXED(Fuelbeds_english!AY259*2.54,1,0),AX259)</f>
        <v>-1</v>
      </c>
      <c r="AZ259" s="45">
        <v>2</v>
      </c>
      <c r="BA259" s="36">
        <v>78</v>
      </c>
      <c r="BB259" s="52" t="str">
        <f>+IF(BA259&gt;0,FIXED(Fuelbeds_english!BB259*2.54,1,0),BA259)</f>
        <v>1.5</v>
      </c>
      <c r="BC259" s="53">
        <v>-1</v>
      </c>
      <c r="BD259" s="53">
        <v>-1</v>
      </c>
      <c r="BE259" s="53">
        <v>-1</v>
      </c>
      <c r="BF259" s="53">
        <v>-1</v>
      </c>
      <c r="BG259" s="53">
        <v>40</v>
      </c>
      <c r="BH259" s="53">
        <v>-1</v>
      </c>
      <c r="BI259" s="45">
        <v>60</v>
      </c>
      <c r="BJ259" s="28">
        <v>-1</v>
      </c>
      <c r="BK259" s="36">
        <v>-1</v>
      </c>
      <c r="BL259" s="52">
        <f>+IF(BK259&gt;0,FIXED(Fuelbeds_english!BL259*2.54,1,0),BK259)</f>
        <v>-1</v>
      </c>
      <c r="BM259" s="36">
        <v>-1</v>
      </c>
      <c r="BN259" s="36">
        <v>-1</v>
      </c>
      <c r="BO259" s="52">
        <f>+IF(BN259&gt;0,FIXED(Fuelbeds_english!BO259*2.54,1,0),BN259)</f>
        <v>-1</v>
      </c>
    </row>
    <row r="260" spans="1:67" s="50" customFormat="1" x14ac:dyDescent="0.25">
      <c r="A260" s="50">
        <v>259</v>
      </c>
      <c r="B260" s="36">
        <v>8029</v>
      </c>
      <c r="C260" s="36">
        <v>8029</v>
      </c>
      <c r="D260" s="36" t="s">
        <v>3</v>
      </c>
      <c r="E260" s="38" t="s">
        <v>434</v>
      </c>
      <c r="F260" s="39">
        <v>-1</v>
      </c>
      <c r="G260" s="36">
        <v>-1</v>
      </c>
      <c r="H260" s="45">
        <f>+IF(F260&gt;0,INT(Fuelbeds_english!H260*2.471),F260)</f>
        <v>-1</v>
      </c>
      <c r="I260" s="36">
        <f>+IF(F260&gt;0,INT(Fuelbeds_english!I260*0.3048),F260)</f>
        <v>-1</v>
      </c>
      <c r="J260" s="45">
        <f>+IF(F260&gt;0,INT(Fuelbeds_english!J260*0.3048),F260)</f>
        <v>-1</v>
      </c>
      <c r="K260" s="45">
        <f>+IF(F260&gt;0,INT(Fuelbeds_english!K260*2.54),F260)</f>
        <v>-1</v>
      </c>
      <c r="L260" s="36">
        <v>-1</v>
      </c>
      <c r="M260" s="36">
        <v>-1</v>
      </c>
      <c r="N260" s="36">
        <v>-1</v>
      </c>
      <c r="O260" s="36">
        <v>-1</v>
      </c>
      <c r="P260" s="45">
        <f>+IF(O260&gt;0,INT(Fuelbeds_english!P260*2.471),O260)</f>
        <v>-1</v>
      </c>
      <c r="Q260" s="36">
        <f>+IF(O260&gt;0,INT(Fuelbeds_english!Q260*0.3048),O260)</f>
        <v>-1</v>
      </c>
      <c r="R260" s="45">
        <f>+IF(O260&gt;0,INT(Fuelbeds_english!R260*0.3048),O260)</f>
        <v>-1</v>
      </c>
      <c r="S260" s="45">
        <f>+IF(O260&gt;0,INT(Fuelbeds_english!S260*2.54),O260)</f>
        <v>-1</v>
      </c>
      <c r="T260" s="36">
        <v>-1</v>
      </c>
      <c r="U260" s="36">
        <v>-1</v>
      </c>
      <c r="V260" s="36">
        <v>-1</v>
      </c>
      <c r="W260" s="36">
        <v>-1</v>
      </c>
      <c r="X260" s="98">
        <v>-1</v>
      </c>
      <c r="Y260" s="29">
        <v>40</v>
      </c>
      <c r="Z260" s="88" t="str">
        <f>+IF(Y260&gt;0,FIXED(Fuelbeds_english!Z260*0.3048,1,0),Y260)</f>
        <v>0.9</v>
      </c>
      <c r="AA260" s="46">
        <v>75</v>
      </c>
      <c r="AB260" s="50">
        <v>29051</v>
      </c>
      <c r="AC260" s="50" t="s">
        <v>152</v>
      </c>
      <c r="AD260" s="50">
        <v>100</v>
      </c>
      <c r="AE260" s="42">
        <v>60</v>
      </c>
      <c r="AF260" s="52" t="str">
        <f>+IF(AE260&gt;0,FIXED(Fuelbeds_english!AF260*0.3048,1,0),AE260)</f>
        <v>0.2</v>
      </c>
      <c r="AG260" s="45">
        <v>0</v>
      </c>
      <c r="AH260" s="52" t="str">
        <f>+IF(AE260&gt;0,FIXED(Fuelbeds_english!AH260*2.242,1,0),AE260)</f>
        <v>0.6</v>
      </c>
      <c r="AI260" s="45">
        <v>36611</v>
      </c>
      <c r="AJ260" s="45" t="s">
        <v>435</v>
      </c>
      <c r="AK260" s="45">
        <v>100</v>
      </c>
      <c r="AL260" s="34">
        <v>0.62211981558629104</v>
      </c>
      <c r="AM260" s="52" t="str">
        <f>+IF(AL260&gt;0,FIXED(Fuelbeds_english!AM260*2.54,1,0),AL260)</f>
        <v>0.3</v>
      </c>
      <c r="AN260" s="52" t="str">
        <f>+IF($AM260&gt;0,FIXED(Fuelbeds_english!AN260*2.242,1,0),$AM260)</f>
        <v>0.2</v>
      </c>
      <c r="AO260" s="52" t="str">
        <f>+IF($AM260&gt;0,FIXED(Fuelbeds_english!AO260*2.242,1,0),$AM260)</f>
        <v>0.4</v>
      </c>
      <c r="AP260" s="52" t="str">
        <f>+IF($AM260&gt;0,FIXED(Fuelbeds_english!AP260*2.242,1,0),$AM260)</f>
        <v>0.0</v>
      </c>
      <c r="AQ260" s="52" t="str">
        <f>+IF($AM260&gt;0,FIXED(Fuelbeds_english!AQ260*2.242,1,0),$AM260)</f>
        <v>0.0</v>
      </c>
      <c r="AR260" s="36">
        <v>29051</v>
      </c>
      <c r="AS260" s="45" t="s">
        <v>152</v>
      </c>
      <c r="AT260" s="45">
        <v>100</v>
      </c>
      <c r="AU260" s="44">
        <v>-1</v>
      </c>
      <c r="AV260" s="52">
        <f>+IF(AU260&gt;0,FIXED(Fuelbeds_english!AV260*2.54,1,0),AU260)</f>
        <v>-1</v>
      </c>
      <c r="AW260" s="52">
        <v>-1</v>
      </c>
      <c r="AX260" s="52">
        <v>-1</v>
      </c>
      <c r="AY260" s="52">
        <f>+IF(AX260&gt;0,FIXED(Fuelbeds_english!AY260*2.54,1,0),AX260)</f>
        <v>-1</v>
      </c>
      <c r="AZ260" s="45">
        <v>2</v>
      </c>
      <c r="BA260" s="36">
        <v>78</v>
      </c>
      <c r="BB260" s="52" t="str">
        <f>+IF(BA260&gt;0,FIXED(Fuelbeds_english!BB260*2.54,1,0),BA260)</f>
        <v>1.5</v>
      </c>
      <c r="BC260" s="53">
        <v>-1</v>
      </c>
      <c r="BD260" s="53">
        <v>-1</v>
      </c>
      <c r="BE260" s="53">
        <v>-1</v>
      </c>
      <c r="BF260" s="53">
        <v>-1</v>
      </c>
      <c r="BG260" s="53">
        <v>40</v>
      </c>
      <c r="BH260" s="53">
        <v>-1</v>
      </c>
      <c r="BI260" s="45">
        <v>60</v>
      </c>
      <c r="BJ260" s="28">
        <v>-1</v>
      </c>
      <c r="BK260" s="36">
        <v>-1</v>
      </c>
      <c r="BL260" s="52">
        <f>+IF(BK260&gt;0,FIXED(Fuelbeds_english!BL260*2.54,1,0),BK260)</f>
        <v>-1</v>
      </c>
      <c r="BM260" s="36">
        <v>-1</v>
      </c>
      <c r="BN260" s="36">
        <v>-1</v>
      </c>
      <c r="BO260" s="52">
        <f>+IF(BN260&gt;0,FIXED(Fuelbeds_english!BO260*2.54,1,0),BN260)</f>
        <v>-1</v>
      </c>
    </row>
    <row r="261" spans="1:67" s="50" customFormat="1" x14ac:dyDescent="0.25">
      <c r="A261" s="50">
        <v>260</v>
      </c>
      <c r="B261" s="36">
        <v>8030</v>
      </c>
      <c r="C261" s="36">
        <v>8030</v>
      </c>
      <c r="D261" s="36" t="s">
        <v>3</v>
      </c>
      <c r="E261" s="39" t="s">
        <v>461</v>
      </c>
      <c r="F261" s="39">
        <v>-1</v>
      </c>
      <c r="G261" s="36">
        <v>-1</v>
      </c>
      <c r="H261" s="45">
        <f>+IF(F261&gt;0,INT(Fuelbeds_english!H261*2.471),F261)</f>
        <v>-1</v>
      </c>
      <c r="I261" s="36">
        <f>+IF(F261&gt;0,INT(Fuelbeds_english!I261*0.3048),F261)</f>
        <v>-1</v>
      </c>
      <c r="J261" s="45">
        <f>+IF(F261&gt;0,INT(Fuelbeds_english!J261*0.3048),F261)</f>
        <v>-1</v>
      </c>
      <c r="K261" s="45">
        <f>+IF(F261&gt;0,INT(Fuelbeds_english!K261*2.54),F261)</f>
        <v>-1</v>
      </c>
      <c r="L261" s="36">
        <v>-1</v>
      </c>
      <c r="M261" s="36">
        <v>-1</v>
      </c>
      <c r="N261" s="36">
        <v>-1</v>
      </c>
      <c r="O261" s="36">
        <v>-1</v>
      </c>
      <c r="P261" s="45">
        <f>+IF(O261&gt;0,INT(Fuelbeds_english!P261*2.471),O261)</f>
        <v>-1</v>
      </c>
      <c r="Q261" s="36">
        <f>+IF(O261&gt;0,INT(Fuelbeds_english!Q261*0.3048),O261)</f>
        <v>-1</v>
      </c>
      <c r="R261" s="45">
        <f>+IF(O261&gt;0,INT(Fuelbeds_english!R261*0.3048),O261)</f>
        <v>-1</v>
      </c>
      <c r="S261" s="45">
        <f>+IF(O261&gt;0,INT(Fuelbeds_english!S261*2.54),O261)</f>
        <v>-1</v>
      </c>
      <c r="T261" s="36">
        <v>-1</v>
      </c>
      <c r="U261" s="36">
        <v>-1</v>
      </c>
      <c r="V261" s="36">
        <v>-1</v>
      </c>
      <c r="W261" s="36">
        <v>-1</v>
      </c>
      <c r="X261" s="98">
        <v>-1</v>
      </c>
      <c r="Y261" s="29">
        <v>60</v>
      </c>
      <c r="Z261" s="88" t="str">
        <f>+IF(Y261&gt;0,FIXED(Fuelbeds_english!Z261*0.3048,1,0),Y261)</f>
        <v>0.9</v>
      </c>
      <c r="AA261" s="46">
        <v>75</v>
      </c>
      <c r="AB261" s="50">
        <v>29051</v>
      </c>
      <c r="AC261" s="50" t="s">
        <v>152</v>
      </c>
      <c r="AD261" s="50">
        <v>100</v>
      </c>
      <c r="AE261" s="42">
        <v>40</v>
      </c>
      <c r="AF261" s="52" t="str">
        <f>+IF(AE261&gt;0,FIXED(Fuelbeds_english!AF261*0.3048,1,0),AE261)</f>
        <v>0.2</v>
      </c>
      <c r="AG261" s="45">
        <v>0</v>
      </c>
      <c r="AH261" s="52" t="str">
        <f>+IF(AE261&gt;0,FIXED(Fuelbeds_english!AH261*2.242,1,0),AE261)</f>
        <v>0.2</v>
      </c>
      <c r="AI261" s="45">
        <v>42236</v>
      </c>
      <c r="AJ261" s="45" t="s">
        <v>207</v>
      </c>
      <c r="AK261" s="45">
        <v>100</v>
      </c>
      <c r="AL261" s="34">
        <v>0.93317972337943655</v>
      </c>
      <c r="AM261" s="52" t="str">
        <f>+IF(AL261&gt;0,FIXED(Fuelbeds_english!AM261*2.54,1,0),AL261)</f>
        <v>0.3</v>
      </c>
      <c r="AN261" s="52" t="str">
        <f>+IF($AM261&gt;0,FIXED(Fuelbeds_english!AN261*2.242,1,0),$AM261)</f>
        <v>0.3</v>
      </c>
      <c r="AO261" s="52" t="str">
        <f>+IF($AM261&gt;0,FIXED(Fuelbeds_english!AO261*2.242,1,0),$AM261)</f>
        <v>0.6</v>
      </c>
      <c r="AP261" s="52" t="str">
        <f>+IF($AM261&gt;0,FIXED(Fuelbeds_english!AP261*2.242,1,0),$AM261)</f>
        <v>0.0</v>
      </c>
      <c r="AQ261" s="52" t="str">
        <f>+IF($AM261&gt;0,FIXED(Fuelbeds_english!AQ261*2.242,1,0),$AM261)</f>
        <v>0.0</v>
      </c>
      <c r="AR261" s="36">
        <v>29051</v>
      </c>
      <c r="AS261" s="45" t="s">
        <v>152</v>
      </c>
      <c r="AT261" s="45">
        <v>100</v>
      </c>
      <c r="AU261" s="44">
        <v>-1</v>
      </c>
      <c r="AV261" s="52">
        <f>+IF(AU261&gt;0,FIXED(Fuelbeds_english!AV261*2.54,1,0),AU261)</f>
        <v>-1</v>
      </c>
      <c r="AW261" s="52">
        <v>-1</v>
      </c>
      <c r="AX261" s="52">
        <v>-1</v>
      </c>
      <c r="AY261" s="52">
        <f>+IF(AX261&gt;0,FIXED(Fuelbeds_english!AY261*2.54,1,0),AX261)</f>
        <v>-1</v>
      </c>
      <c r="AZ261" s="45">
        <v>1</v>
      </c>
      <c r="BA261" s="36">
        <v>84</v>
      </c>
      <c r="BB261" s="52" t="str">
        <f>+IF(BA261&gt;0,FIXED(Fuelbeds_english!BB261*2.54,1,0),BA261)</f>
        <v>1.8</v>
      </c>
      <c r="BC261" s="53">
        <v>-1</v>
      </c>
      <c r="BD261" s="53">
        <v>-1</v>
      </c>
      <c r="BE261" s="53">
        <v>-1</v>
      </c>
      <c r="BF261" s="53">
        <v>-1</v>
      </c>
      <c r="BG261" s="53">
        <v>60</v>
      </c>
      <c r="BH261" s="53">
        <v>-1</v>
      </c>
      <c r="BI261" s="45">
        <v>40</v>
      </c>
      <c r="BJ261" s="28">
        <v>-1</v>
      </c>
      <c r="BK261" s="36">
        <v>-1</v>
      </c>
      <c r="BL261" s="52">
        <f>+IF(BK261&gt;0,FIXED(Fuelbeds_english!BL261*2.54,1,0),BK261)</f>
        <v>-1</v>
      </c>
      <c r="BM261" s="36">
        <v>-1</v>
      </c>
      <c r="BN261" s="36">
        <v>-1</v>
      </c>
      <c r="BO261" s="52">
        <f>+IF(BN261&gt;0,FIXED(Fuelbeds_english!BO261*2.54,1,0),BN261)</f>
        <v>-1</v>
      </c>
    </row>
    <row r="262" spans="1:67" s="50" customFormat="1" x14ac:dyDescent="0.25">
      <c r="A262" s="50">
        <v>261</v>
      </c>
      <c r="B262" s="36">
        <v>8032</v>
      </c>
      <c r="C262" s="46">
        <v>8032</v>
      </c>
      <c r="D262" s="36" t="s">
        <v>3</v>
      </c>
      <c r="E262" s="39" t="s">
        <v>462</v>
      </c>
      <c r="F262" s="39">
        <v>-1</v>
      </c>
      <c r="G262" s="36">
        <v>-1</v>
      </c>
      <c r="H262" s="45">
        <f>+IF(F262&gt;0,INT(Fuelbeds_english!H262*2.471),F262)</f>
        <v>-1</v>
      </c>
      <c r="I262" s="36">
        <f>+IF(F262&gt;0,INT(Fuelbeds_english!I262*0.3048),F262)</f>
        <v>-1</v>
      </c>
      <c r="J262" s="45">
        <f>+IF(F262&gt;0,INT(Fuelbeds_english!J262*0.3048),F262)</f>
        <v>-1</v>
      </c>
      <c r="K262" s="45">
        <f>+IF(F262&gt;0,INT(Fuelbeds_english!K262*2.54),F262)</f>
        <v>-1</v>
      </c>
      <c r="L262" s="36">
        <v>-1</v>
      </c>
      <c r="M262" s="36">
        <v>-1</v>
      </c>
      <c r="N262" s="36">
        <v>-1</v>
      </c>
      <c r="O262" s="36">
        <v>-1</v>
      </c>
      <c r="P262" s="45">
        <f>+IF(O262&gt;0,INT(Fuelbeds_english!P262*2.471),O262)</f>
        <v>-1</v>
      </c>
      <c r="Q262" s="36">
        <f>+IF(O262&gt;0,INT(Fuelbeds_english!Q262*0.3048),O262)</f>
        <v>-1</v>
      </c>
      <c r="R262" s="45">
        <f>+IF(O262&gt;0,INT(Fuelbeds_english!R262*0.3048),O262)</f>
        <v>-1</v>
      </c>
      <c r="S262" s="45">
        <f>+IF(O262&gt;0,INT(Fuelbeds_english!S262*2.54),O262)</f>
        <v>-1</v>
      </c>
      <c r="T262" s="36">
        <v>-1</v>
      </c>
      <c r="U262" s="36">
        <v>-1</v>
      </c>
      <c r="V262" s="36">
        <v>-1</v>
      </c>
      <c r="W262" s="36">
        <v>-1</v>
      </c>
      <c r="X262" s="98">
        <v>-1</v>
      </c>
      <c r="Y262" s="29">
        <v>60</v>
      </c>
      <c r="Z262" s="88" t="str">
        <f>+IF(Y262&gt;0,FIXED(Fuelbeds_english!Z262*0.3048,1,0),Y262)</f>
        <v>0.9</v>
      </c>
      <c r="AA262" s="46">
        <v>75</v>
      </c>
      <c r="AB262" s="50">
        <v>29051</v>
      </c>
      <c r="AC262" s="50" t="s">
        <v>152</v>
      </c>
      <c r="AD262" s="50">
        <v>100</v>
      </c>
      <c r="AE262" s="42">
        <v>40</v>
      </c>
      <c r="AF262" s="52" t="str">
        <f>+IF(AE262&gt;0,FIXED(Fuelbeds_english!AF262*0.3048,1,0),AE262)</f>
        <v>0.2</v>
      </c>
      <c r="AG262" s="45">
        <v>0</v>
      </c>
      <c r="AH262" s="52" t="str">
        <f>+IF(AE262&gt;0,FIXED(Fuelbeds_english!AH262*2.242,1,0),AE262)</f>
        <v>0.4</v>
      </c>
      <c r="AI262" s="45">
        <v>42269</v>
      </c>
      <c r="AJ262" s="45" t="s">
        <v>206</v>
      </c>
      <c r="AK262" s="45">
        <v>100</v>
      </c>
      <c r="AL262" s="34">
        <v>0.93317972337943655</v>
      </c>
      <c r="AM262" s="52" t="str">
        <f>+IF(AL262&gt;0,FIXED(Fuelbeds_english!AM262*2.54,1,0),AL262)</f>
        <v>0.3</v>
      </c>
      <c r="AN262" s="52" t="str">
        <f>+IF($AM262&gt;0,FIXED(Fuelbeds_english!AN262*2.242,1,0),$AM262)</f>
        <v>0.3</v>
      </c>
      <c r="AO262" s="52" t="str">
        <f>+IF($AM262&gt;0,FIXED(Fuelbeds_english!AO262*2.242,1,0),$AM262)</f>
        <v>0.6</v>
      </c>
      <c r="AP262" s="52" t="str">
        <f>+IF($AM262&gt;0,FIXED(Fuelbeds_english!AP262*2.242,1,0),$AM262)</f>
        <v>0.0</v>
      </c>
      <c r="AQ262" s="52" t="str">
        <f>+IF($AM262&gt;0,FIXED(Fuelbeds_english!AQ262*2.242,1,0),$AM262)</f>
        <v>0.0</v>
      </c>
      <c r="AR262" s="36">
        <v>29051</v>
      </c>
      <c r="AS262" s="45" t="s">
        <v>152</v>
      </c>
      <c r="AT262" s="45">
        <v>100</v>
      </c>
      <c r="AU262" s="44">
        <v>-1</v>
      </c>
      <c r="AV262" s="52">
        <f>+IF(AU262&gt;0,FIXED(Fuelbeds_english!AV262*2.54,1,0),AU262)</f>
        <v>-1</v>
      </c>
      <c r="AW262" s="52">
        <v>-1</v>
      </c>
      <c r="AX262" s="52">
        <v>-1</v>
      </c>
      <c r="AY262" s="52">
        <f>+IF(AX262&gt;0,FIXED(Fuelbeds_english!AY262*2.54,1,0),AX262)</f>
        <v>-1</v>
      </c>
      <c r="AZ262" s="45">
        <v>1</v>
      </c>
      <c r="BA262" s="36">
        <v>84</v>
      </c>
      <c r="BB262" s="52" t="str">
        <f>+IF(BA262&gt;0,FIXED(Fuelbeds_english!BB262*2.54,1,0),BA262)</f>
        <v>1.8</v>
      </c>
      <c r="BC262" s="53">
        <v>-1</v>
      </c>
      <c r="BD262" s="53">
        <v>-1</v>
      </c>
      <c r="BE262" s="53">
        <v>-1</v>
      </c>
      <c r="BF262" s="53">
        <v>-1</v>
      </c>
      <c r="BG262" s="53">
        <v>60</v>
      </c>
      <c r="BH262" s="53">
        <v>-1</v>
      </c>
      <c r="BI262" s="45">
        <v>40</v>
      </c>
      <c r="BJ262" s="28">
        <v>-1</v>
      </c>
      <c r="BK262" s="36">
        <v>-1</v>
      </c>
      <c r="BL262" s="52">
        <f>+IF(BK262&gt;0,FIXED(Fuelbeds_english!BL262*2.54,1,0),BK262)</f>
        <v>-1</v>
      </c>
      <c r="BM262" s="36">
        <v>-1</v>
      </c>
      <c r="BN262" s="36">
        <v>-1</v>
      </c>
      <c r="BO262" s="52">
        <f>+IF(BN262&gt;0,FIXED(Fuelbeds_english!BO262*2.54,1,0),BN262)</f>
        <v>-1</v>
      </c>
    </row>
    <row r="263" spans="1:67" s="50" customFormat="1" x14ac:dyDescent="0.25">
      <c r="A263" s="50">
        <v>262</v>
      </c>
      <c r="B263" s="36">
        <v>8033</v>
      </c>
      <c r="C263" s="46">
        <v>8033</v>
      </c>
      <c r="D263" s="36" t="s">
        <v>3</v>
      </c>
      <c r="E263" s="39" t="s">
        <v>463</v>
      </c>
      <c r="F263" s="39">
        <v>-1</v>
      </c>
      <c r="G263" s="36">
        <v>-1</v>
      </c>
      <c r="H263" s="45">
        <f>+IF(F263&gt;0,INT(Fuelbeds_english!H263*2.471),F263)</f>
        <v>-1</v>
      </c>
      <c r="I263" s="36">
        <f>+IF(F263&gt;0,INT(Fuelbeds_english!I263*0.3048),F263)</f>
        <v>-1</v>
      </c>
      <c r="J263" s="45">
        <f>+IF(F263&gt;0,INT(Fuelbeds_english!J263*0.3048),F263)</f>
        <v>-1</v>
      </c>
      <c r="K263" s="45">
        <f>+IF(F263&gt;0,INT(Fuelbeds_english!K263*2.54),F263)</f>
        <v>-1</v>
      </c>
      <c r="L263" s="36">
        <v>-1</v>
      </c>
      <c r="M263" s="36">
        <v>-1</v>
      </c>
      <c r="N263" s="36">
        <v>-1</v>
      </c>
      <c r="O263" s="36">
        <v>-1</v>
      </c>
      <c r="P263" s="45">
        <f>+IF(O263&gt;0,INT(Fuelbeds_english!P263*2.471),O263)</f>
        <v>-1</v>
      </c>
      <c r="Q263" s="36">
        <f>+IF(O263&gt;0,INT(Fuelbeds_english!Q263*0.3048),O263)</f>
        <v>-1</v>
      </c>
      <c r="R263" s="45">
        <f>+IF(O263&gt;0,INT(Fuelbeds_english!R263*0.3048),O263)</f>
        <v>-1</v>
      </c>
      <c r="S263" s="45">
        <f>+IF(O263&gt;0,INT(Fuelbeds_english!S263*2.54),O263)</f>
        <v>-1</v>
      </c>
      <c r="T263" s="36">
        <v>-1</v>
      </c>
      <c r="U263" s="36">
        <v>-1</v>
      </c>
      <c r="V263" s="36">
        <v>-1</v>
      </c>
      <c r="W263" s="36">
        <v>-1</v>
      </c>
      <c r="X263" s="98">
        <v>-1</v>
      </c>
      <c r="Y263" s="29">
        <v>60</v>
      </c>
      <c r="Z263" s="88" t="str">
        <f>+IF(Y263&gt;0,FIXED(Fuelbeds_english!Z263*0.3048,1,0),Y263)</f>
        <v>0.9</v>
      </c>
      <c r="AA263" s="46">
        <v>75</v>
      </c>
      <c r="AB263" s="50">
        <v>29051</v>
      </c>
      <c r="AC263" s="50" t="s">
        <v>152</v>
      </c>
      <c r="AD263" s="50">
        <v>100</v>
      </c>
      <c r="AE263" s="42">
        <v>40</v>
      </c>
      <c r="AF263" s="52" t="str">
        <f>+IF(AE263&gt;0,FIXED(Fuelbeds_english!AF263*0.3048,1,0),AE263)</f>
        <v>0.2</v>
      </c>
      <c r="AG263" s="45">
        <v>0</v>
      </c>
      <c r="AH263" s="52" t="str">
        <f>+IF(AE263&gt;0,FIXED(Fuelbeds_english!AH263*2.242,1,0),AE263)</f>
        <v>0.2</v>
      </c>
      <c r="AI263" s="45">
        <v>26716</v>
      </c>
      <c r="AJ263" s="45" t="s">
        <v>208</v>
      </c>
      <c r="AK263" s="45">
        <v>100</v>
      </c>
      <c r="AL263" s="34">
        <v>0.93317972337943655</v>
      </c>
      <c r="AM263" s="52" t="str">
        <f>+IF(AL263&gt;0,FIXED(Fuelbeds_english!AM263*2.54,1,0),AL263)</f>
        <v>0.3</v>
      </c>
      <c r="AN263" s="52" t="str">
        <f>+IF($AM263&gt;0,FIXED(Fuelbeds_english!AN263*2.242,1,0),$AM263)</f>
        <v>0.3</v>
      </c>
      <c r="AO263" s="52" t="str">
        <f>+IF($AM263&gt;0,FIXED(Fuelbeds_english!AO263*2.242,1,0),$AM263)</f>
        <v>0.6</v>
      </c>
      <c r="AP263" s="52" t="str">
        <f>+IF($AM263&gt;0,FIXED(Fuelbeds_english!AP263*2.242,1,0),$AM263)</f>
        <v>0.0</v>
      </c>
      <c r="AQ263" s="52" t="str">
        <f>+IF($AM263&gt;0,FIXED(Fuelbeds_english!AQ263*2.242,1,0),$AM263)</f>
        <v>0.0</v>
      </c>
      <c r="AR263" s="36">
        <v>29051</v>
      </c>
      <c r="AS263" s="45" t="s">
        <v>152</v>
      </c>
      <c r="AT263" s="45">
        <v>100</v>
      </c>
      <c r="AU263" s="44">
        <v>-1</v>
      </c>
      <c r="AV263" s="52">
        <f>+IF(AU263&gt;0,FIXED(Fuelbeds_english!AV263*2.54,1,0),AU263)</f>
        <v>-1</v>
      </c>
      <c r="AW263" s="52">
        <v>-1</v>
      </c>
      <c r="AX263" s="52">
        <v>-1</v>
      </c>
      <c r="AY263" s="52">
        <f>+IF(AX263&gt;0,FIXED(Fuelbeds_english!AY263*2.54,1,0),AX263)</f>
        <v>-1</v>
      </c>
      <c r="AZ263" s="45">
        <v>1</v>
      </c>
      <c r="BA263" s="36">
        <v>84</v>
      </c>
      <c r="BB263" s="52" t="str">
        <f>+IF(BA263&gt;0,FIXED(Fuelbeds_english!BB263*2.54,1,0),BA263)</f>
        <v>1.8</v>
      </c>
      <c r="BC263" s="53">
        <v>-1</v>
      </c>
      <c r="BD263" s="53">
        <v>-1</v>
      </c>
      <c r="BE263" s="53">
        <v>-1</v>
      </c>
      <c r="BF263" s="53">
        <v>-1</v>
      </c>
      <c r="BG263" s="53">
        <v>60</v>
      </c>
      <c r="BH263" s="53">
        <v>-1</v>
      </c>
      <c r="BI263" s="45">
        <v>40</v>
      </c>
      <c r="BJ263" s="28">
        <v>-1</v>
      </c>
      <c r="BK263" s="36">
        <v>-1</v>
      </c>
      <c r="BL263" s="52">
        <f>+IF(BK263&gt;0,FIXED(Fuelbeds_english!BL263*2.54,1,0),BK263)</f>
        <v>-1</v>
      </c>
      <c r="BM263" s="36">
        <v>-1</v>
      </c>
      <c r="BN263" s="36">
        <v>-1</v>
      </c>
      <c r="BO263" s="52">
        <f>+IF(BN263&gt;0,FIXED(Fuelbeds_english!BO263*2.54,1,0),BN263)</f>
        <v>-1</v>
      </c>
    </row>
    <row r="264" spans="1:67" s="50" customFormat="1" x14ac:dyDescent="0.25">
      <c r="A264" s="50">
        <v>263</v>
      </c>
      <c r="B264" s="36">
        <v>8035</v>
      </c>
      <c r="C264" s="46">
        <v>8035</v>
      </c>
      <c r="D264" s="36" t="s">
        <v>3</v>
      </c>
      <c r="E264" s="33" t="s">
        <v>470</v>
      </c>
      <c r="F264" s="39">
        <v>-1</v>
      </c>
      <c r="G264" s="36">
        <v>-1</v>
      </c>
      <c r="H264" s="45">
        <f>+IF(F264&gt;0,INT(Fuelbeds_english!H264*2.471),F264)</f>
        <v>-1</v>
      </c>
      <c r="I264" s="36">
        <f>+IF(F264&gt;0,INT(Fuelbeds_english!I264*0.3048),F264)</f>
        <v>-1</v>
      </c>
      <c r="J264" s="45">
        <f>+IF(F264&gt;0,INT(Fuelbeds_english!J264*0.3048),F264)</f>
        <v>-1</v>
      </c>
      <c r="K264" s="45">
        <f>+IF(F264&gt;0,INT(Fuelbeds_english!K264*2.54),F264)</f>
        <v>-1</v>
      </c>
      <c r="L264" s="36">
        <v>-1</v>
      </c>
      <c r="M264" s="36">
        <v>-1</v>
      </c>
      <c r="N264" s="36">
        <v>-1</v>
      </c>
      <c r="O264" s="36">
        <v>-1</v>
      </c>
      <c r="P264" s="45">
        <f>+IF(O264&gt;0,INT(Fuelbeds_english!P264*2.471),O264)</f>
        <v>-1</v>
      </c>
      <c r="Q264" s="36">
        <f>+IF(O264&gt;0,INT(Fuelbeds_english!Q264*0.3048),O264)</f>
        <v>-1</v>
      </c>
      <c r="R264" s="45">
        <f>+IF(O264&gt;0,INT(Fuelbeds_english!R264*0.3048),O264)</f>
        <v>-1</v>
      </c>
      <c r="S264" s="45">
        <f>+IF(O264&gt;0,INT(Fuelbeds_english!S264*2.54),O264)</f>
        <v>-1</v>
      </c>
      <c r="T264" s="36">
        <v>-1</v>
      </c>
      <c r="U264" s="36">
        <v>-1</v>
      </c>
      <c r="V264" s="36">
        <v>-1</v>
      </c>
      <c r="W264" s="36">
        <v>-1</v>
      </c>
      <c r="X264" s="98">
        <v>-1</v>
      </c>
      <c r="Y264" s="29">
        <v>60</v>
      </c>
      <c r="Z264" s="88" t="str">
        <f>+IF(Y264&gt;0,FIXED(Fuelbeds_english!Z264*0.3048,1,0),Y264)</f>
        <v>0.9</v>
      </c>
      <c r="AA264" s="46">
        <v>75</v>
      </c>
      <c r="AB264" s="50">
        <v>29051</v>
      </c>
      <c r="AC264" s="50" t="s">
        <v>152</v>
      </c>
      <c r="AD264" s="50">
        <v>100</v>
      </c>
      <c r="AE264" s="42">
        <v>40</v>
      </c>
      <c r="AF264" s="52" t="str">
        <f>+IF(AE264&gt;0,FIXED(Fuelbeds_english!AF264*0.3048,1,0),AE264)</f>
        <v>0.2</v>
      </c>
      <c r="AG264" s="45">
        <v>0</v>
      </c>
      <c r="AH264" s="52" t="str">
        <f>+IF(AE264&gt;0,FIXED(Fuelbeds_english!AH264*2.242,1,0),AE264)</f>
        <v>0.6</v>
      </c>
      <c r="AI264" s="45">
        <v>21711</v>
      </c>
      <c r="AJ264" s="45" t="s">
        <v>425</v>
      </c>
      <c r="AK264" s="45">
        <v>100</v>
      </c>
      <c r="AL264" s="34">
        <v>0.93317972337943655</v>
      </c>
      <c r="AM264" s="52" t="str">
        <f>+IF(AL264&gt;0,FIXED(Fuelbeds_english!AM264*2.54,1,0),AL264)</f>
        <v>0.3</v>
      </c>
      <c r="AN264" s="52" t="str">
        <f>+IF($AM264&gt;0,FIXED(Fuelbeds_english!AN264*2.242,1,0),$AM264)</f>
        <v>0.3</v>
      </c>
      <c r="AO264" s="52" t="str">
        <f>+IF($AM264&gt;0,FIXED(Fuelbeds_english!AO264*2.242,1,0),$AM264)</f>
        <v>0.6</v>
      </c>
      <c r="AP264" s="52" t="str">
        <f>+IF($AM264&gt;0,FIXED(Fuelbeds_english!AP264*2.242,1,0),$AM264)</f>
        <v>0.0</v>
      </c>
      <c r="AQ264" s="52" t="str">
        <f>+IF($AM264&gt;0,FIXED(Fuelbeds_english!AQ264*2.242,1,0),$AM264)</f>
        <v>0.0</v>
      </c>
      <c r="AR264" s="36">
        <v>29051</v>
      </c>
      <c r="AS264" s="45" t="s">
        <v>152</v>
      </c>
      <c r="AT264" s="45">
        <v>100</v>
      </c>
      <c r="AU264" s="44">
        <v>-1</v>
      </c>
      <c r="AV264" s="52">
        <f>+IF(AU264&gt;0,FIXED(Fuelbeds_english!AV264*2.54,1,0),AU264)</f>
        <v>-1</v>
      </c>
      <c r="AW264" s="52">
        <v>-1</v>
      </c>
      <c r="AX264" s="52">
        <v>-1</v>
      </c>
      <c r="AY264" s="52">
        <f>+IF(AX264&gt;0,FIXED(Fuelbeds_english!AY264*2.54,1,0),AX264)</f>
        <v>-1</v>
      </c>
      <c r="AZ264" s="45">
        <v>1</v>
      </c>
      <c r="BA264" s="36">
        <v>84</v>
      </c>
      <c r="BB264" s="52" t="str">
        <f>+IF(BA264&gt;0,FIXED(Fuelbeds_english!BB264*2.54,1,0),BA264)</f>
        <v>1.8</v>
      </c>
      <c r="BC264" s="53">
        <v>-1</v>
      </c>
      <c r="BD264" s="53">
        <v>-1</v>
      </c>
      <c r="BE264" s="53">
        <v>-1</v>
      </c>
      <c r="BF264" s="53">
        <v>-1</v>
      </c>
      <c r="BG264" s="53">
        <v>60</v>
      </c>
      <c r="BH264" s="53">
        <v>-1</v>
      </c>
      <c r="BI264" s="45">
        <v>40</v>
      </c>
      <c r="BJ264" s="28">
        <v>-1</v>
      </c>
      <c r="BK264" s="36">
        <v>-1</v>
      </c>
      <c r="BL264" s="52">
        <f>+IF(BK264&gt;0,FIXED(Fuelbeds_english!BL264*2.54,1,0),BK264)</f>
        <v>-1</v>
      </c>
      <c r="BM264" s="36">
        <v>-1</v>
      </c>
      <c r="BN264" s="36">
        <v>-1</v>
      </c>
      <c r="BO264" s="52">
        <f>+IF(BN264&gt;0,FIXED(Fuelbeds_english!BO264*2.54,1,0),BN264)</f>
        <v>-1</v>
      </c>
    </row>
    <row r="265" spans="1:67" s="50" customFormat="1" x14ac:dyDescent="0.25">
      <c r="A265" s="50">
        <v>264</v>
      </c>
      <c r="B265" s="36">
        <v>8036</v>
      </c>
      <c r="C265" s="71">
        <v>8036</v>
      </c>
      <c r="D265" s="36" t="s">
        <v>3</v>
      </c>
      <c r="E265" s="33" t="s">
        <v>464</v>
      </c>
      <c r="F265" s="39">
        <v>9</v>
      </c>
      <c r="G265" s="36">
        <v>9</v>
      </c>
      <c r="H265" s="45">
        <f>+IF(F265&gt;0,INT(Fuelbeds_english!H265*2.471),F265)</f>
        <v>4</v>
      </c>
      <c r="I265" s="36">
        <f>+IF(F265&gt;0,INT(Fuelbeds_english!I265*0.3048),F265)</f>
        <v>9</v>
      </c>
      <c r="J265" s="45">
        <f>+IF(F265&gt;0,INT(Fuelbeds_english!J265*0.3048),F265)</f>
        <v>5</v>
      </c>
      <c r="K265" s="45">
        <f>+IF(F265&gt;0,INT(Fuelbeds_english!K265*2.54),F265)</f>
        <v>27</v>
      </c>
      <c r="L265" s="36">
        <v>27189</v>
      </c>
      <c r="M265" s="36" t="s">
        <v>401</v>
      </c>
      <c r="N265" s="36">
        <v>100</v>
      </c>
      <c r="O265" s="36">
        <v>4</v>
      </c>
      <c r="P265" s="45">
        <f>+IF(O265&gt;0,INT(Fuelbeds_english!P265*2.471),O265)</f>
        <v>27</v>
      </c>
      <c r="Q265" s="36">
        <f>+IF(O265&gt;0,INT(Fuelbeds_english!Q265*0.3048),O265)</f>
        <v>4</v>
      </c>
      <c r="R265" s="45">
        <f>+IF(O265&gt;0,INT(Fuelbeds_english!R265*0.3048),O265)</f>
        <v>2</v>
      </c>
      <c r="S265" s="45">
        <f>+IF(O265&gt;0,INT(Fuelbeds_english!S265*2.54),O265)</f>
        <v>10</v>
      </c>
      <c r="T265" s="36">
        <v>27189</v>
      </c>
      <c r="U265" s="36" t="s">
        <v>401</v>
      </c>
      <c r="V265" s="36">
        <v>100</v>
      </c>
      <c r="W265" s="36">
        <v>1</v>
      </c>
      <c r="X265" s="98">
        <v>4</v>
      </c>
      <c r="Y265" s="29">
        <v>41</v>
      </c>
      <c r="Z265" s="88" t="str">
        <f>+IF(Y265&gt;0,FIXED(Fuelbeds_english!Z265*0.3048,1,0),Y265)</f>
        <v>0.3</v>
      </c>
      <c r="AA265" s="46">
        <v>90</v>
      </c>
      <c r="AB265" s="50">
        <v>28675</v>
      </c>
      <c r="AC265" s="50" t="s">
        <v>375</v>
      </c>
      <c r="AD265" s="50">
        <v>100</v>
      </c>
      <c r="AE265" s="42">
        <v>30</v>
      </c>
      <c r="AF265" s="52" t="str">
        <f>+IF(AE265&gt;0,FIXED(Fuelbeds_english!AF265*0.3048,1,0),AE265)</f>
        <v>0.2</v>
      </c>
      <c r="AG265" s="45">
        <v>0</v>
      </c>
      <c r="AH265" s="52" t="str">
        <f>+IF(AE265&gt;0,FIXED(Fuelbeds_english!AH265*2.242,1,0),AE265)</f>
        <v>0.1</v>
      </c>
      <c r="AI265" s="45">
        <v>42236</v>
      </c>
      <c r="AJ265" s="45" t="s">
        <v>207</v>
      </c>
      <c r="AK265" s="45">
        <v>100</v>
      </c>
      <c r="AL265" s="34">
        <v>8.5714285714285712</v>
      </c>
      <c r="AM265" s="52" t="str">
        <f>+IF(AL265&gt;0,FIXED(Fuelbeds_english!AM265*2.54,1,0),AL265)</f>
        <v>7.6</v>
      </c>
      <c r="AN265" s="52" t="str">
        <f>+IF($AM265&gt;0,FIXED(Fuelbeds_english!AN265*2.242,1,0),$AM265)</f>
        <v>0.2</v>
      </c>
      <c r="AO265" s="52" t="str">
        <f>+IF($AM265&gt;0,FIXED(Fuelbeds_english!AO265*2.242,1,0),$AM265)</f>
        <v>0.8</v>
      </c>
      <c r="AP265" s="52" t="str">
        <f>+IF($AM265&gt;0,FIXED(Fuelbeds_english!AP265*2.242,1,0),$AM265)</f>
        <v>1.0</v>
      </c>
      <c r="AQ265" s="52" t="str">
        <f>+IF($AM265&gt;0,FIXED(Fuelbeds_english!AQ265*2.242,1,0),$AM265)</f>
        <v>1.0</v>
      </c>
      <c r="AR265" s="36">
        <v>27189</v>
      </c>
      <c r="AS265" s="45" t="s">
        <v>401</v>
      </c>
      <c r="AT265" s="45">
        <v>100</v>
      </c>
      <c r="AU265" s="44">
        <v>-1</v>
      </c>
      <c r="AV265" s="52">
        <f>+IF(AU265&gt;0,FIXED(Fuelbeds_english!AV265*2.54,1,0),AU265)</f>
        <v>-1</v>
      </c>
      <c r="AW265" s="52">
        <v>-1</v>
      </c>
      <c r="AX265" s="52">
        <v>-1</v>
      </c>
      <c r="AY265" s="52">
        <f>+IF(AX265&gt;0,FIXED(Fuelbeds_english!AY265*2.54,1,0),AX265)</f>
        <v>-1</v>
      </c>
      <c r="AZ265" s="45">
        <v>1</v>
      </c>
      <c r="BA265" s="36">
        <v>10.5</v>
      </c>
      <c r="BB265" s="52" t="str">
        <f>+IF(BA265&gt;0,FIXED(Fuelbeds_english!BB265*2.54,1,0),BA265)</f>
        <v>4.6</v>
      </c>
      <c r="BC265" s="53">
        <v>-1</v>
      </c>
      <c r="BD265" s="53">
        <v>-1</v>
      </c>
      <c r="BE265" s="53">
        <v>-1</v>
      </c>
      <c r="BF265" s="53">
        <v>-1</v>
      </c>
      <c r="BG265" s="53">
        <v>100</v>
      </c>
      <c r="BH265" s="53">
        <v>-1</v>
      </c>
      <c r="BI265" s="45">
        <v>-1</v>
      </c>
      <c r="BJ265" s="28">
        <v>1</v>
      </c>
      <c r="BK265" s="55">
        <v>10.5</v>
      </c>
      <c r="BL265" s="52" t="str">
        <f>+IF(BK265&gt;0,FIXED(Fuelbeds_english!BL265*2.54,1,0),BK265)</f>
        <v>5.1</v>
      </c>
      <c r="BM265" s="45">
        <v>3</v>
      </c>
      <c r="BN265" s="55">
        <v>10.5</v>
      </c>
      <c r="BO265" s="52" t="str">
        <f>+IF(BN265&gt;0,FIXED(Fuelbeds_english!BO265*2.54,1,0),BN265)</f>
        <v>5.1</v>
      </c>
    </row>
    <row r="266" spans="1:67" s="50" customFormat="1" x14ac:dyDescent="0.25">
      <c r="A266" s="50">
        <v>265</v>
      </c>
      <c r="B266" s="36">
        <v>8038</v>
      </c>
      <c r="C266" s="46">
        <v>8038</v>
      </c>
      <c r="D266" s="36" t="s">
        <v>3</v>
      </c>
      <c r="E266" s="33" t="s">
        <v>469</v>
      </c>
      <c r="F266" s="39">
        <v>-1</v>
      </c>
      <c r="G266" s="36">
        <v>-1</v>
      </c>
      <c r="H266" s="45">
        <f>+IF(F266&gt;0,INT(Fuelbeds_english!H266*2.471),F266)</f>
        <v>-1</v>
      </c>
      <c r="I266" s="36">
        <f>+IF(F266&gt;0,INT(Fuelbeds_english!I266*0.3048),F266)</f>
        <v>-1</v>
      </c>
      <c r="J266" s="45">
        <f>+IF(F266&gt;0,INT(Fuelbeds_english!J266*0.3048),F266)</f>
        <v>-1</v>
      </c>
      <c r="K266" s="45">
        <f>+IF(F266&gt;0,INT(Fuelbeds_english!K266*2.54),F266)</f>
        <v>-1</v>
      </c>
      <c r="L266" s="36">
        <v>-1</v>
      </c>
      <c r="M266" s="36">
        <v>-1</v>
      </c>
      <c r="N266" s="36">
        <v>-1</v>
      </c>
      <c r="O266" s="36">
        <v>-1</v>
      </c>
      <c r="P266" s="45">
        <f>+IF(O266&gt;0,INT(Fuelbeds_english!P266*2.471),O266)</f>
        <v>-1</v>
      </c>
      <c r="Q266" s="36">
        <f>+IF(O266&gt;0,INT(Fuelbeds_english!Q266*0.3048),O266)</f>
        <v>-1</v>
      </c>
      <c r="R266" s="45">
        <f>+IF(O266&gt;0,INT(Fuelbeds_english!R266*0.3048),O266)</f>
        <v>-1</v>
      </c>
      <c r="S266" s="45">
        <f>+IF(O266&gt;0,INT(Fuelbeds_english!S266*2.54),O266)</f>
        <v>-1</v>
      </c>
      <c r="T266" s="36">
        <v>-1</v>
      </c>
      <c r="U266" s="36">
        <v>-1</v>
      </c>
      <c r="V266" s="36">
        <v>-1</v>
      </c>
      <c r="W266" s="36">
        <v>-1</v>
      </c>
      <c r="X266" s="98">
        <v>-1</v>
      </c>
      <c r="Y266" s="29">
        <v>60</v>
      </c>
      <c r="Z266" s="88" t="str">
        <f>+IF(Y266&gt;0,FIXED(Fuelbeds_english!Z266*0.3048,1,0),Y266)</f>
        <v>0.9</v>
      </c>
      <c r="AA266" s="46">
        <v>75</v>
      </c>
      <c r="AB266" s="50">
        <v>29051</v>
      </c>
      <c r="AC266" s="50" t="s">
        <v>152</v>
      </c>
      <c r="AD266" s="50">
        <v>100</v>
      </c>
      <c r="AE266" s="42">
        <v>40</v>
      </c>
      <c r="AF266" s="52" t="str">
        <f>+IF(AE266&gt;0,FIXED(Fuelbeds_english!AF266*0.3048,1,0),AE266)</f>
        <v>0.2</v>
      </c>
      <c r="AG266" s="45">
        <v>0</v>
      </c>
      <c r="AH266" s="52" t="str">
        <f>+IF(AE266&gt;0,FIXED(Fuelbeds_english!AH266*2.242,1,0),AE266)</f>
        <v>1.1</v>
      </c>
      <c r="AI266" s="45">
        <v>41088</v>
      </c>
      <c r="AJ266" s="45" t="s">
        <v>420</v>
      </c>
      <c r="AK266" s="45">
        <v>100</v>
      </c>
      <c r="AL266" s="34">
        <v>0.93317972337943655</v>
      </c>
      <c r="AM266" s="52" t="str">
        <f>+IF(AL266&gt;0,FIXED(Fuelbeds_english!AM266*2.54,1,0),AL266)</f>
        <v>0.3</v>
      </c>
      <c r="AN266" s="52" t="str">
        <f>+IF($AM266&gt;0,FIXED(Fuelbeds_english!AN266*2.242,1,0),$AM266)</f>
        <v>0.3</v>
      </c>
      <c r="AO266" s="52" t="str">
        <f>+IF($AM266&gt;0,FIXED(Fuelbeds_english!AO266*2.242,1,0),$AM266)</f>
        <v>0.6</v>
      </c>
      <c r="AP266" s="52" t="str">
        <f>+IF($AM266&gt;0,FIXED(Fuelbeds_english!AP266*2.242,1,0),$AM266)</f>
        <v>0.0</v>
      </c>
      <c r="AQ266" s="52" t="str">
        <f>+IF($AM266&gt;0,FIXED(Fuelbeds_english!AQ266*2.242,1,0),$AM266)</f>
        <v>0.0</v>
      </c>
      <c r="AR266" s="36">
        <v>29051</v>
      </c>
      <c r="AS266" s="45" t="s">
        <v>152</v>
      </c>
      <c r="AT266" s="45">
        <v>100</v>
      </c>
      <c r="AU266" s="44">
        <v>-1</v>
      </c>
      <c r="AV266" s="52">
        <f>+IF(AU266&gt;0,FIXED(Fuelbeds_english!AV266*2.54,1,0),AU266)</f>
        <v>-1</v>
      </c>
      <c r="AW266" s="52">
        <v>-1</v>
      </c>
      <c r="AX266" s="52">
        <v>-1</v>
      </c>
      <c r="AY266" s="52">
        <f>+IF(AX266&gt;0,FIXED(Fuelbeds_english!AY266*2.54,1,0),AX266)</f>
        <v>-1</v>
      </c>
      <c r="AZ266" s="45">
        <v>1</v>
      </c>
      <c r="BA266" s="36">
        <v>84</v>
      </c>
      <c r="BB266" s="52" t="str">
        <f>+IF(BA266&gt;0,FIXED(Fuelbeds_english!BB266*2.54,1,0),BA266)</f>
        <v>1.8</v>
      </c>
      <c r="BC266" s="53">
        <v>-1</v>
      </c>
      <c r="BD266" s="53">
        <v>-1</v>
      </c>
      <c r="BE266" s="53">
        <v>-1</v>
      </c>
      <c r="BF266" s="53">
        <v>-1</v>
      </c>
      <c r="BG266" s="53">
        <v>60</v>
      </c>
      <c r="BH266" s="53">
        <v>-1</v>
      </c>
      <c r="BI266" s="45">
        <v>40</v>
      </c>
      <c r="BJ266" s="28">
        <v>-1</v>
      </c>
      <c r="BK266" s="36">
        <v>-1</v>
      </c>
      <c r="BL266" s="52">
        <f>+IF(BK266&gt;0,FIXED(Fuelbeds_english!BL266*2.54,1,0),BK266)</f>
        <v>-1</v>
      </c>
      <c r="BM266" s="36">
        <v>-1</v>
      </c>
      <c r="BN266" s="36">
        <v>-1</v>
      </c>
      <c r="BO266" s="52">
        <f>+IF(BN266&gt;0,FIXED(Fuelbeds_english!BO266*2.54,1,0),BN266)</f>
        <v>-1</v>
      </c>
    </row>
    <row r="267" spans="1:67" s="50" customFormat="1" x14ac:dyDescent="0.25">
      <c r="A267" s="50">
        <v>266</v>
      </c>
      <c r="B267" s="36">
        <v>8039</v>
      </c>
      <c r="C267" s="46">
        <v>8039</v>
      </c>
      <c r="D267" s="36" t="s">
        <v>3</v>
      </c>
      <c r="E267" s="39" t="s">
        <v>468</v>
      </c>
      <c r="F267" s="39">
        <v>-1</v>
      </c>
      <c r="G267" s="36">
        <v>-1</v>
      </c>
      <c r="H267" s="45">
        <f>+IF(F267&gt;0,INT(Fuelbeds_english!H267*2.471),F267)</f>
        <v>-1</v>
      </c>
      <c r="I267" s="36">
        <f>+IF(F267&gt;0,INT(Fuelbeds_english!I267*0.3048),F267)</f>
        <v>-1</v>
      </c>
      <c r="J267" s="45">
        <f>+IF(F267&gt;0,INT(Fuelbeds_english!J267*0.3048),F267)</f>
        <v>-1</v>
      </c>
      <c r="K267" s="45">
        <f>+IF(F267&gt;0,INT(Fuelbeds_english!K267*2.54),F267)</f>
        <v>-1</v>
      </c>
      <c r="L267" s="36">
        <v>-1</v>
      </c>
      <c r="M267" s="36">
        <v>-1</v>
      </c>
      <c r="N267" s="36">
        <v>-1</v>
      </c>
      <c r="O267" s="36">
        <v>-1</v>
      </c>
      <c r="P267" s="45">
        <f>+IF(O267&gt;0,INT(Fuelbeds_english!P267*2.471),O267)</f>
        <v>-1</v>
      </c>
      <c r="Q267" s="36">
        <f>+IF(O267&gt;0,INT(Fuelbeds_english!Q267*0.3048),O267)</f>
        <v>-1</v>
      </c>
      <c r="R267" s="45">
        <f>+IF(O267&gt;0,INT(Fuelbeds_english!R267*0.3048),O267)</f>
        <v>-1</v>
      </c>
      <c r="S267" s="45">
        <f>+IF(O267&gt;0,INT(Fuelbeds_english!S267*2.54),O267)</f>
        <v>-1</v>
      </c>
      <c r="T267" s="36">
        <v>-1</v>
      </c>
      <c r="U267" s="36">
        <v>-1</v>
      </c>
      <c r="V267" s="36">
        <v>-1</v>
      </c>
      <c r="W267" s="36">
        <v>-1</v>
      </c>
      <c r="X267" s="98">
        <v>-1</v>
      </c>
      <c r="Y267" s="29">
        <v>60</v>
      </c>
      <c r="Z267" s="88" t="str">
        <f>+IF(Y267&gt;0,FIXED(Fuelbeds_english!Z267*0.3048,1,0),Y267)</f>
        <v>0.9</v>
      </c>
      <c r="AA267" s="46">
        <v>75</v>
      </c>
      <c r="AB267" s="50">
        <v>29051</v>
      </c>
      <c r="AC267" s="50" t="s">
        <v>152</v>
      </c>
      <c r="AD267" s="50">
        <v>100</v>
      </c>
      <c r="AE267" s="42">
        <v>40</v>
      </c>
      <c r="AF267" s="52" t="str">
        <f>+IF(AE267&gt;0,FIXED(Fuelbeds_english!AF267*0.3048,1,0),AE267)</f>
        <v>0.2</v>
      </c>
      <c r="AG267" s="45">
        <v>0</v>
      </c>
      <c r="AH267" s="52" t="str">
        <f>+IF(AE267&gt;0,FIXED(Fuelbeds_english!AH267*2.242,1,0),AE267)</f>
        <v>0.4</v>
      </c>
      <c r="AI267" s="45">
        <v>36611</v>
      </c>
      <c r="AJ267" s="45" t="s">
        <v>435</v>
      </c>
      <c r="AK267" s="45">
        <v>100</v>
      </c>
      <c r="AL267" s="34">
        <v>0.93317972337943655</v>
      </c>
      <c r="AM267" s="52" t="str">
        <f>+IF(AL267&gt;0,FIXED(Fuelbeds_english!AM267*2.54,1,0),AL267)</f>
        <v>0.3</v>
      </c>
      <c r="AN267" s="52" t="str">
        <f>+IF($AM267&gt;0,FIXED(Fuelbeds_english!AN267*2.242,1,0),$AM267)</f>
        <v>0.3</v>
      </c>
      <c r="AO267" s="52" t="str">
        <f>+IF($AM267&gt;0,FIXED(Fuelbeds_english!AO267*2.242,1,0),$AM267)</f>
        <v>0.6</v>
      </c>
      <c r="AP267" s="52" t="str">
        <f>+IF($AM267&gt;0,FIXED(Fuelbeds_english!AP267*2.242,1,0),$AM267)</f>
        <v>0.0</v>
      </c>
      <c r="AQ267" s="52" t="str">
        <f>+IF($AM267&gt;0,FIXED(Fuelbeds_english!AQ267*2.242,1,0),$AM267)</f>
        <v>0.0</v>
      </c>
      <c r="AR267" s="36">
        <v>29051</v>
      </c>
      <c r="AS267" s="45" t="s">
        <v>152</v>
      </c>
      <c r="AT267" s="45">
        <v>100</v>
      </c>
      <c r="AU267" s="44">
        <v>-1</v>
      </c>
      <c r="AV267" s="52">
        <f>+IF(AU267&gt;0,FIXED(Fuelbeds_english!AV267*2.54,1,0),AU267)</f>
        <v>-1</v>
      </c>
      <c r="AW267" s="52">
        <v>-1</v>
      </c>
      <c r="AX267" s="52">
        <v>-1</v>
      </c>
      <c r="AY267" s="52">
        <f>+IF(AX267&gt;0,FIXED(Fuelbeds_english!AY267*2.54,1,0),AX267)</f>
        <v>-1</v>
      </c>
      <c r="AZ267" s="45">
        <v>1</v>
      </c>
      <c r="BA267" s="36">
        <v>84</v>
      </c>
      <c r="BB267" s="52" t="str">
        <f>+IF(BA267&gt;0,FIXED(Fuelbeds_english!BB267*2.54,1,0),BA267)</f>
        <v>1.8</v>
      </c>
      <c r="BC267" s="53">
        <v>-1</v>
      </c>
      <c r="BD267" s="53">
        <v>-1</v>
      </c>
      <c r="BE267" s="53">
        <v>-1</v>
      </c>
      <c r="BF267" s="53">
        <v>-1</v>
      </c>
      <c r="BG267" s="53">
        <v>60</v>
      </c>
      <c r="BH267" s="53">
        <v>-1</v>
      </c>
      <c r="BI267" s="45">
        <v>40</v>
      </c>
      <c r="BJ267" s="28">
        <v>-1</v>
      </c>
      <c r="BK267" s="36">
        <v>-1</v>
      </c>
      <c r="BL267" s="52">
        <f>+IF(BK267&gt;0,FIXED(Fuelbeds_english!BL267*2.54,1,0),BK267)</f>
        <v>-1</v>
      </c>
      <c r="BM267" s="36">
        <v>-1</v>
      </c>
      <c r="BN267" s="36">
        <v>-1</v>
      </c>
      <c r="BO267" s="52">
        <f>+IF(BN267&gt;0,FIXED(Fuelbeds_english!BO267*2.54,1,0),BN267)</f>
        <v>-1</v>
      </c>
    </row>
    <row r="268" spans="1:67" s="50" customFormat="1" x14ac:dyDescent="0.25">
      <c r="A268" s="50">
        <v>267</v>
      </c>
      <c r="B268" s="36">
        <v>8040</v>
      </c>
      <c r="C268" s="46">
        <v>8040</v>
      </c>
      <c r="D268" s="36" t="s">
        <v>3</v>
      </c>
      <c r="E268" s="6" t="s">
        <v>17</v>
      </c>
      <c r="F268" s="39">
        <v>33.03</v>
      </c>
      <c r="G268" s="56">
        <v>33.03</v>
      </c>
      <c r="H268" s="45">
        <f>+IF(F268&gt;0,INT(Fuelbeds_english!H268*2.471),F268)</f>
        <v>63</v>
      </c>
      <c r="I268" s="36">
        <f>+IF(F268&gt;0,INT(Fuelbeds_english!I268*0.3048),F268)</f>
        <v>25</v>
      </c>
      <c r="J268" s="45">
        <f>+IF(F268&gt;0,INT(Fuelbeds_english!J268*0.3048),F268)</f>
        <v>14</v>
      </c>
      <c r="K268" s="45">
        <f>+IF(F268&gt;0,INT(Fuelbeds_english!K268*2.54),F268)</f>
        <v>48</v>
      </c>
      <c r="L268" s="36">
        <v>19464</v>
      </c>
      <c r="M268" s="36" t="s">
        <v>155</v>
      </c>
      <c r="N268" s="36">
        <v>100</v>
      </c>
      <c r="O268" s="43">
        <v>18.808462382445143</v>
      </c>
      <c r="P268" s="45">
        <f>+IF(O268&gt;0,INT(Fuelbeds_english!P268*2.471),O268)</f>
        <v>96</v>
      </c>
      <c r="Q268" s="36">
        <f>+IF(O268&gt;0,INT(Fuelbeds_english!Q268*0.3048),O268)</f>
        <v>16</v>
      </c>
      <c r="R268" s="45">
        <f>+IF(O268&gt;0,INT(Fuelbeds_english!R268*0.3048),O268)</f>
        <v>9</v>
      </c>
      <c r="S268" s="45">
        <f>+IF(O268&gt;0,INT(Fuelbeds_english!S268*2.54),O268)</f>
        <v>25</v>
      </c>
      <c r="T268" s="36">
        <v>19464</v>
      </c>
      <c r="U268" s="36" t="s">
        <v>155</v>
      </c>
      <c r="V268" s="36">
        <v>100</v>
      </c>
      <c r="W268" s="36">
        <v>1</v>
      </c>
      <c r="X268" s="98">
        <v>2</v>
      </c>
      <c r="Y268" s="29">
        <v>29.239699484536086</v>
      </c>
      <c r="Z268" s="88" t="str">
        <f>+IF(Y268&gt;0,FIXED(Fuelbeds_english!Z268*0.3048,1,0),Y268)</f>
        <v>2.0</v>
      </c>
      <c r="AA268" s="46">
        <v>85</v>
      </c>
      <c r="AB268" s="50">
        <v>23700</v>
      </c>
      <c r="AC268" s="50" t="s">
        <v>393</v>
      </c>
      <c r="AD268" s="50">
        <v>100</v>
      </c>
      <c r="AE268" s="42">
        <v>23</v>
      </c>
      <c r="AF268" s="52" t="str">
        <f>+IF(AE268&gt;0,FIXED(Fuelbeds_english!AF268*0.3048,1,0),AE268)</f>
        <v>0.5</v>
      </c>
      <c r="AG268" s="45">
        <v>75</v>
      </c>
      <c r="AH268" s="52" t="str">
        <f>+IF(AE268&gt;0,FIXED(Fuelbeds_english!AH268*2.242,1,0),AE268)</f>
        <v>0.5</v>
      </c>
      <c r="AI268" s="45">
        <v>39369</v>
      </c>
      <c r="AJ268" s="45" t="s">
        <v>391</v>
      </c>
      <c r="AK268" s="45">
        <v>100</v>
      </c>
      <c r="AL268" s="34">
        <v>7</v>
      </c>
      <c r="AM268" s="52" t="str">
        <f>+IF(AL268&gt;0,FIXED(Fuelbeds_english!AM268*2.54,1,0),AL268)</f>
        <v>2.0</v>
      </c>
      <c r="AN268" s="52" t="str">
        <f>+IF($AM268&gt;0,FIXED(Fuelbeds_english!AN268*2.242,1,0),$AM268)</f>
        <v>0.4</v>
      </c>
      <c r="AO268" s="52" t="str">
        <f>+IF($AM268&gt;0,FIXED(Fuelbeds_english!AO268*2.242,1,0),$AM268)</f>
        <v>0.7</v>
      </c>
      <c r="AP268" s="52" t="str">
        <f>+IF($AM268&gt;0,FIXED(Fuelbeds_english!AP268*2.242,1,0),$AM268)</f>
        <v>1.3</v>
      </c>
      <c r="AQ268" s="52" t="str">
        <f>+IF($AM268&gt;0,FIXED(Fuelbeds_english!AQ268*2.242,1,0),$AM268)</f>
        <v>1.5</v>
      </c>
      <c r="AR268" s="36">
        <v>19464</v>
      </c>
      <c r="AS268" s="45" t="s">
        <v>155</v>
      </c>
      <c r="AT268" s="45">
        <v>100</v>
      </c>
      <c r="AU268" s="44">
        <v>-1</v>
      </c>
      <c r="AV268" s="52">
        <f>+IF(AU268&gt;0,FIXED(Fuelbeds_english!AV268*2.54,1,0),AU268)</f>
        <v>-1</v>
      </c>
      <c r="AW268" s="52">
        <v>-1</v>
      </c>
      <c r="AX268" s="52">
        <v>-1</v>
      </c>
      <c r="AY268" s="52">
        <f>+IF(AX268&gt;0,FIXED(Fuelbeds_english!AY268*2.54,1,0),AX268)</f>
        <v>-1</v>
      </c>
      <c r="AZ268" s="45">
        <v>1</v>
      </c>
      <c r="BA268" s="36">
        <v>36</v>
      </c>
      <c r="BB268" s="52" t="str">
        <f>+IF(BA268&gt;0,FIXED(Fuelbeds_english!BB268*2.54,1,0),BA268)</f>
        <v>3.0</v>
      </c>
      <c r="BC268" s="45">
        <v>-1</v>
      </c>
      <c r="BD268" s="45">
        <v>-1</v>
      </c>
      <c r="BE268" s="45">
        <v>-1</v>
      </c>
      <c r="BF268" s="45">
        <v>-1</v>
      </c>
      <c r="BG268" s="45">
        <v>100</v>
      </c>
      <c r="BH268" s="45">
        <v>-1</v>
      </c>
      <c r="BI268" s="45">
        <v>-1</v>
      </c>
      <c r="BJ268" s="28">
        <v>1</v>
      </c>
      <c r="BK268" s="67">
        <v>29.731904636198646</v>
      </c>
      <c r="BL268" s="52" t="str">
        <f>+IF(BK268&gt;0,FIXED(Fuelbeds_english!BL268*2.54,1,0),BK268)</f>
        <v>1.5</v>
      </c>
      <c r="BM268" s="45">
        <v>3</v>
      </c>
      <c r="BN268" s="67">
        <v>23.780946048506848</v>
      </c>
      <c r="BO268" s="52" t="str">
        <f>+IF(BN268&gt;0,FIXED(Fuelbeds_english!BO268*2.54,1,0),BN268)</f>
        <v>0.8</v>
      </c>
    </row>
    <row r="269" spans="1:67" s="50" customFormat="1" x14ac:dyDescent="0.25">
      <c r="A269" s="50">
        <v>268</v>
      </c>
      <c r="B269" s="36">
        <v>8043</v>
      </c>
      <c r="C269" s="71">
        <v>8043</v>
      </c>
      <c r="D269" s="36" t="s">
        <v>3</v>
      </c>
      <c r="E269" s="75" t="s">
        <v>404</v>
      </c>
      <c r="F269" s="39">
        <v>30</v>
      </c>
      <c r="G269" s="36">
        <v>30</v>
      </c>
      <c r="H269" s="45">
        <f>+IF(F269&gt;0,INT(Fuelbeds_english!H269*2.471),F269)</f>
        <v>12</v>
      </c>
      <c r="I269" s="36">
        <f>+IF(F269&gt;0,INT(Fuelbeds_english!I269*0.3048),F269)</f>
        <v>12</v>
      </c>
      <c r="J269" s="45">
        <f>+IF(F269&gt;0,INT(Fuelbeds_english!J269*0.3048),F269)</f>
        <v>7</v>
      </c>
      <c r="K269" s="45">
        <f>+IF(F269&gt;0,INT(Fuelbeds_english!K269*2.54),F269)</f>
        <v>38</v>
      </c>
      <c r="L269" s="36">
        <v>27189</v>
      </c>
      <c r="M269" s="36" t="s">
        <v>401</v>
      </c>
      <c r="N269" s="36">
        <v>100</v>
      </c>
      <c r="O269" s="36">
        <v>14</v>
      </c>
      <c r="P269" s="45">
        <f>+IF(O269&gt;0,INT(Fuelbeds_english!P269*2.471),O269)</f>
        <v>88</v>
      </c>
      <c r="Q269" s="36">
        <f>+IF(O269&gt;0,INT(Fuelbeds_english!Q269*0.3048),O269)</f>
        <v>6</v>
      </c>
      <c r="R269" s="45">
        <f>+IF(O269&gt;0,INT(Fuelbeds_english!R269*0.3048),O269)</f>
        <v>3</v>
      </c>
      <c r="S269" s="45">
        <f>+IF(O269&gt;0,INT(Fuelbeds_english!S269*2.54),O269)</f>
        <v>15</v>
      </c>
      <c r="T269" s="45">
        <v>27189</v>
      </c>
      <c r="U269" s="36" t="s">
        <v>401</v>
      </c>
      <c r="V269" s="36">
        <v>100</v>
      </c>
      <c r="W269" s="36">
        <v>1</v>
      </c>
      <c r="X269" s="98">
        <v>4</v>
      </c>
      <c r="Y269" s="81">
        <v>-1</v>
      </c>
      <c r="Z269" s="88">
        <f>+IF(Y269&gt;0,FIXED(Fuelbeds_english!Z269*0.3048,1,0),Y269)</f>
        <v>-1</v>
      </c>
      <c r="AA269" s="48">
        <v>-1</v>
      </c>
      <c r="AB269" s="10">
        <v>-1</v>
      </c>
      <c r="AC269" s="10">
        <v>-1</v>
      </c>
      <c r="AD269" s="10">
        <v>-1</v>
      </c>
      <c r="AE269" s="42">
        <v>66</v>
      </c>
      <c r="AF269" s="52" t="str">
        <f>+IF(AE269&gt;0,FIXED(Fuelbeds_english!AF269*0.3048,1,0),AE269)</f>
        <v>0.2</v>
      </c>
      <c r="AG269" s="45">
        <v>80</v>
      </c>
      <c r="AH269" s="52" t="str">
        <f>+IF(AE269&gt;0,FIXED(Fuelbeds_english!AH269*2.242,1,0),AE269)</f>
        <v>1.2</v>
      </c>
      <c r="AI269" s="45">
        <v>39369</v>
      </c>
      <c r="AJ269" s="45" t="s">
        <v>391</v>
      </c>
      <c r="AK269" s="45">
        <v>100</v>
      </c>
      <c r="AL269" s="34">
        <v>28.6</v>
      </c>
      <c r="AM269" s="52" t="str">
        <f>+IF(AL269&gt;0,FIXED(Fuelbeds_english!AM269*2.54,1,0),AL269)</f>
        <v>7.6</v>
      </c>
      <c r="AN269" s="52" t="str">
        <f>+IF($AM269&gt;0,FIXED(Fuelbeds_english!AN269*2.242,1,0),$AM269)</f>
        <v>0.7</v>
      </c>
      <c r="AO269" s="52" t="str">
        <f>+IF($AM269&gt;0,FIXED(Fuelbeds_english!AO269*2.242,1,0),$AM269)</f>
        <v>2.7</v>
      </c>
      <c r="AP269" s="52" t="str">
        <f>+IF($AM269&gt;0,FIXED(Fuelbeds_english!AP269*2.242,1,0),$AM269)</f>
        <v>3.4</v>
      </c>
      <c r="AQ269" s="52" t="str">
        <f>+IF($AM269&gt;0,FIXED(Fuelbeds_english!AQ269*2.242,1,0),$AM269)</f>
        <v>3.1</v>
      </c>
      <c r="AR269" s="36">
        <v>27189</v>
      </c>
      <c r="AS269" s="45" t="s">
        <v>401</v>
      </c>
      <c r="AT269" s="45">
        <v>100</v>
      </c>
      <c r="AU269" s="44">
        <v>-1</v>
      </c>
      <c r="AV269" s="52">
        <f>+IF(AU269&gt;0,FIXED(Fuelbeds_english!AV269*2.54,1,0),AU269)</f>
        <v>-1</v>
      </c>
      <c r="AW269" s="52">
        <v>-1</v>
      </c>
      <c r="AX269" s="52">
        <v>-1</v>
      </c>
      <c r="AY269" s="52">
        <f>+IF(AX269&gt;0,FIXED(Fuelbeds_english!AY269*2.54,1,0),AX269)</f>
        <v>-1</v>
      </c>
      <c r="AZ269" s="45">
        <v>1</v>
      </c>
      <c r="BA269" s="36">
        <v>35</v>
      </c>
      <c r="BB269" s="52" t="str">
        <f>+IF(BA269&gt;0,FIXED(Fuelbeds_english!BB269*2.54,1,0),BA269)</f>
        <v>4.6</v>
      </c>
      <c r="BC269" s="45">
        <v>-1</v>
      </c>
      <c r="BD269" s="45">
        <v>-1</v>
      </c>
      <c r="BE269" s="45">
        <v>-1</v>
      </c>
      <c r="BF269" s="45">
        <v>-1</v>
      </c>
      <c r="BG269" s="45">
        <v>100</v>
      </c>
      <c r="BH269" s="45">
        <v>-1</v>
      </c>
      <c r="BI269" s="45">
        <v>-1</v>
      </c>
      <c r="BJ269" s="28">
        <v>1</v>
      </c>
      <c r="BK269" s="36">
        <v>35</v>
      </c>
      <c r="BL269" s="52" t="str">
        <f>+IF(BK269&gt;0,FIXED(Fuelbeds_english!BL269*2.54,1,0),BK269)</f>
        <v>5.1</v>
      </c>
      <c r="BM269" s="45">
        <v>3</v>
      </c>
      <c r="BN269" s="36">
        <v>35</v>
      </c>
      <c r="BO269" s="52" t="str">
        <f>+IF(BN269&gt;0,FIXED(Fuelbeds_english!BO269*2.54,1,0),BN269)</f>
        <v>5.1</v>
      </c>
    </row>
    <row r="270" spans="1:67" s="50" customFormat="1" x14ac:dyDescent="0.25">
      <c r="A270" s="50">
        <v>269</v>
      </c>
      <c r="B270" s="52" t="s">
        <v>306</v>
      </c>
      <c r="C270" s="68">
        <v>918061</v>
      </c>
      <c r="D270" s="36" t="s">
        <v>3</v>
      </c>
      <c r="E270" s="11" t="s">
        <v>16</v>
      </c>
      <c r="F270" s="39">
        <v>18.7</v>
      </c>
      <c r="G270" s="56">
        <v>18.7</v>
      </c>
      <c r="H270" s="45">
        <f>+IF(F270&gt;0,INT(Fuelbeds_english!H270*2.471),F270)</f>
        <v>36</v>
      </c>
      <c r="I270" s="36">
        <f>+IF(F270&gt;0,INT(Fuelbeds_english!I270*0.3048),F270)</f>
        <v>15</v>
      </c>
      <c r="J270" s="45">
        <f>+IF(F270&gt;0,INT(Fuelbeds_english!J270*0.3048),F270)</f>
        <v>8</v>
      </c>
      <c r="K270" s="45">
        <f>+IF(F270&gt;0,INT(Fuelbeds_english!K270*2.54),F270)</f>
        <v>29</v>
      </c>
      <c r="L270" s="36">
        <v>19478</v>
      </c>
      <c r="M270" s="36" t="s">
        <v>352</v>
      </c>
      <c r="N270" s="36">
        <v>100</v>
      </c>
      <c r="O270" s="43">
        <v>10.648448275862069</v>
      </c>
      <c r="P270" s="45">
        <f>+IF(O270&gt;0,INT(Fuelbeds_english!P270*2.471),O270)</f>
        <v>54</v>
      </c>
      <c r="Q270" s="36">
        <f>+IF(O270&gt;0,INT(Fuelbeds_english!Q270*0.3048),O270)</f>
        <v>9</v>
      </c>
      <c r="R270" s="45">
        <f>+IF(O270&gt;0,INT(Fuelbeds_english!R270*0.3048),O270)</f>
        <v>5</v>
      </c>
      <c r="S270" s="45">
        <f>+IF(O270&gt;0,INT(Fuelbeds_english!S270*2.54),O270)</f>
        <v>15</v>
      </c>
      <c r="T270" s="36">
        <v>19478</v>
      </c>
      <c r="U270" s="36" t="s">
        <v>352</v>
      </c>
      <c r="V270" s="36">
        <v>100</v>
      </c>
      <c r="W270" s="36">
        <v>1</v>
      </c>
      <c r="X270" s="98">
        <v>2</v>
      </c>
      <c r="Y270" s="29">
        <v>43.491786597938145</v>
      </c>
      <c r="Z270" s="88" t="str">
        <f>+IF(Y270&gt;0,FIXED(Fuelbeds_english!Z270*0.3048,1,0),Y270)</f>
        <v>2.0</v>
      </c>
      <c r="AA270" s="46">
        <v>85</v>
      </c>
      <c r="AB270" s="50">
        <v>23571</v>
      </c>
      <c r="AC270" s="50" t="s">
        <v>161</v>
      </c>
      <c r="AD270" s="50">
        <v>100</v>
      </c>
      <c r="AE270" s="42">
        <v>34</v>
      </c>
      <c r="AF270" s="52" t="str">
        <f>+IF(AE270&gt;0,FIXED(Fuelbeds_english!AF270*0.3048,1,0),AE270)</f>
        <v>0.5</v>
      </c>
      <c r="AG270" s="45">
        <v>75</v>
      </c>
      <c r="AH270" s="52" t="str">
        <f>+IF(AE270&gt;0,FIXED(Fuelbeds_english!AH270*2.242,1,0),AE270)</f>
        <v>0.7</v>
      </c>
      <c r="AI270" s="45">
        <v>39369</v>
      </c>
      <c r="AJ270" s="45" t="s">
        <v>391</v>
      </c>
      <c r="AK270" s="45">
        <v>100</v>
      </c>
      <c r="AL270" s="34">
        <v>4</v>
      </c>
      <c r="AM270" s="52" t="str">
        <f>+IF(AL270&gt;0,FIXED(Fuelbeds_english!AM270*2.54,1,0),AL270)</f>
        <v>2.0</v>
      </c>
      <c r="AN270" s="52" t="str">
        <f>+IF($AM270&gt;0,FIXED(Fuelbeds_english!AN270*2.242,1,0),$AM270)</f>
        <v>0.2</v>
      </c>
      <c r="AO270" s="52" t="str">
        <f>+IF($AM270&gt;0,FIXED(Fuelbeds_english!AO270*2.242,1,0),$AM270)</f>
        <v>0.4</v>
      </c>
      <c r="AP270" s="52" t="str">
        <f>+IF($AM270&gt;0,FIXED(Fuelbeds_english!AP270*2.242,1,0),$AM270)</f>
        <v>0.7</v>
      </c>
      <c r="AQ270" s="52" t="str">
        <f>+IF($AM270&gt;0,FIXED(Fuelbeds_english!AQ270*2.242,1,0),$AM270)</f>
        <v>0.9</v>
      </c>
      <c r="AR270" s="36">
        <v>19478</v>
      </c>
      <c r="AS270" s="45" t="s">
        <v>352</v>
      </c>
      <c r="AT270" s="45">
        <v>100</v>
      </c>
      <c r="AU270" s="44">
        <v>-1</v>
      </c>
      <c r="AV270" s="52">
        <f>+IF(AU270&gt;0,FIXED(Fuelbeds_english!AV270*2.54,1,0),AU270)</f>
        <v>-1</v>
      </c>
      <c r="AW270" s="52">
        <v>-1</v>
      </c>
      <c r="AX270" s="52">
        <v>-1</v>
      </c>
      <c r="AY270" s="52">
        <f>+IF(AX270&gt;0,FIXED(Fuelbeds_english!AY270*2.54,1,0),AX270)</f>
        <v>-1</v>
      </c>
      <c r="AZ270" s="45">
        <v>1</v>
      </c>
      <c r="BA270" s="36">
        <v>20</v>
      </c>
      <c r="BB270" s="52" t="str">
        <f>+IF(BA270&gt;0,FIXED(Fuelbeds_english!BB270*2.54,1,0),BA270)</f>
        <v>3.0</v>
      </c>
      <c r="BC270" s="45">
        <v>-1</v>
      </c>
      <c r="BD270" s="45">
        <v>-1</v>
      </c>
      <c r="BE270" s="45">
        <v>-1</v>
      </c>
      <c r="BF270" s="45">
        <v>100</v>
      </c>
      <c r="BG270" s="45">
        <v>-1</v>
      </c>
      <c r="BH270" s="45">
        <v>-1</v>
      </c>
      <c r="BI270" s="45">
        <v>-1</v>
      </c>
      <c r="BJ270" s="28">
        <v>1</v>
      </c>
      <c r="BK270" s="67">
        <v>16.83277676950998</v>
      </c>
      <c r="BL270" s="52" t="str">
        <f>+IF(BK270&gt;0,FIXED(Fuelbeds_english!BL270*2.54,1,0),BK270)</f>
        <v>1.5</v>
      </c>
      <c r="BM270" s="45">
        <v>3</v>
      </c>
      <c r="BN270" s="67">
        <v>13.463629764065335</v>
      </c>
      <c r="BO270" s="52" t="str">
        <f>+IF(BN270&gt;0,FIXED(Fuelbeds_english!BO270*2.54,1,0),BN270)</f>
        <v>0.8</v>
      </c>
    </row>
    <row r="271" spans="1:67" s="50" customFormat="1" x14ac:dyDescent="0.25">
      <c r="A271" s="50">
        <v>270</v>
      </c>
      <c r="B271" s="52" t="s">
        <v>307</v>
      </c>
      <c r="C271" s="68">
        <v>928061</v>
      </c>
      <c r="D271" s="36" t="s">
        <v>3</v>
      </c>
      <c r="E271" s="11" t="s">
        <v>16</v>
      </c>
      <c r="F271" s="39">
        <v>53</v>
      </c>
      <c r="G271" s="56">
        <v>53</v>
      </c>
      <c r="H271" s="45">
        <f>+IF(F271&gt;0,INT(Fuelbeds_english!H271*2.471),F271)</f>
        <v>102</v>
      </c>
      <c r="I271" s="36">
        <f>+IF(F271&gt;0,INT(Fuelbeds_english!I271*0.3048),F271)</f>
        <v>19</v>
      </c>
      <c r="J271" s="45">
        <f>+IF(F271&gt;0,INT(Fuelbeds_english!J271*0.3048),F271)</f>
        <v>11</v>
      </c>
      <c r="K271" s="45">
        <f>+IF(F271&gt;0,INT(Fuelbeds_english!K271*2.54),F271)</f>
        <v>38</v>
      </c>
      <c r="L271" s="36">
        <v>19478</v>
      </c>
      <c r="M271" s="36" t="s">
        <v>352</v>
      </c>
      <c r="N271" s="36">
        <v>100</v>
      </c>
      <c r="O271" s="43">
        <v>30.180094043887149</v>
      </c>
      <c r="P271" s="45">
        <f>+IF(O271&gt;0,INT(Fuelbeds_english!P271*2.471),O271)</f>
        <v>154</v>
      </c>
      <c r="Q271" s="36">
        <f>+IF(O271&gt;0,INT(Fuelbeds_english!Q271*0.3048),O271)</f>
        <v>12</v>
      </c>
      <c r="R271" s="45">
        <f>+IF(O271&gt;0,INT(Fuelbeds_english!R271*0.3048),O271)</f>
        <v>7</v>
      </c>
      <c r="S271" s="45">
        <f>+IF(O271&gt;0,INT(Fuelbeds_english!S271*2.54),O271)</f>
        <v>20</v>
      </c>
      <c r="T271" s="36">
        <v>19478</v>
      </c>
      <c r="U271" s="36" t="s">
        <v>352</v>
      </c>
      <c r="V271" s="36">
        <v>100</v>
      </c>
      <c r="W271" s="36">
        <v>1</v>
      </c>
      <c r="X271" s="98">
        <v>2</v>
      </c>
      <c r="Y271" s="29">
        <v>26.407216494845361</v>
      </c>
      <c r="Z271" s="88" t="str">
        <f>+IF(Y271&gt;0,FIXED(Fuelbeds_english!Z271*0.3048,1,0),Y271)</f>
        <v>2.0</v>
      </c>
      <c r="AA271" s="46">
        <v>85</v>
      </c>
      <c r="AB271" s="50">
        <v>23571</v>
      </c>
      <c r="AC271" s="50" t="s">
        <v>161</v>
      </c>
      <c r="AD271" s="50">
        <v>100</v>
      </c>
      <c r="AE271" s="42">
        <v>21</v>
      </c>
      <c r="AF271" s="52" t="str">
        <f>+IF(AE271&gt;0,FIXED(Fuelbeds_english!AF271*0.3048,1,0),AE271)</f>
        <v>0.5</v>
      </c>
      <c r="AG271" s="45">
        <v>75</v>
      </c>
      <c r="AH271" s="52" t="str">
        <f>+IF(AE271&gt;0,FIXED(Fuelbeds_english!AH271*2.242,1,0),AE271)</f>
        <v>0.4</v>
      </c>
      <c r="AI271" s="45">
        <v>39369</v>
      </c>
      <c r="AJ271" s="45" t="s">
        <v>391</v>
      </c>
      <c r="AK271" s="45">
        <v>100</v>
      </c>
      <c r="AL271" s="34">
        <v>11</v>
      </c>
      <c r="AM271" s="52" t="str">
        <f>+IF(AL271&gt;0,FIXED(Fuelbeds_english!AM271*2.54,1,0),AL271)</f>
        <v>2.0</v>
      </c>
      <c r="AN271" s="52" t="str">
        <f>+IF($AM271&gt;0,FIXED(Fuelbeds_english!AN271*2.242,1,0),$AM271)</f>
        <v>0.6</v>
      </c>
      <c r="AO271" s="52" t="str">
        <f>+IF($AM271&gt;0,FIXED(Fuelbeds_english!AO271*2.242,1,0),$AM271)</f>
        <v>1.1</v>
      </c>
      <c r="AP271" s="52" t="str">
        <f>+IF($AM271&gt;0,FIXED(Fuelbeds_english!AP271*2.242,1,0),$AM271)</f>
        <v>2.1</v>
      </c>
      <c r="AQ271" s="52" t="str">
        <f>+IF($AM271&gt;0,FIXED(Fuelbeds_english!AQ271*2.242,1,0),$AM271)</f>
        <v>2.5</v>
      </c>
      <c r="AR271" s="36">
        <v>19478</v>
      </c>
      <c r="AS271" s="45" t="s">
        <v>352</v>
      </c>
      <c r="AT271" s="45">
        <v>100</v>
      </c>
      <c r="AU271" s="44">
        <v>-1</v>
      </c>
      <c r="AV271" s="52">
        <f>+IF(AU271&gt;0,FIXED(Fuelbeds_english!AV271*2.54,1,0),AU271)</f>
        <v>-1</v>
      </c>
      <c r="AW271" s="52">
        <v>-1</v>
      </c>
      <c r="AX271" s="52">
        <v>-1</v>
      </c>
      <c r="AY271" s="52">
        <f>+IF(AX271&gt;0,FIXED(Fuelbeds_english!AY271*2.54,1,0),AX271)</f>
        <v>-1</v>
      </c>
      <c r="AZ271" s="45">
        <v>1</v>
      </c>
      <c r="BA271" s="36">
        <v>57</v>
      </c>
      <c r="BB271" s="52" t="str">
        <f>+IF(BA271&gt;0,FIXED(Fuelbeds_english!BB271*2.54,1,0),BA271)</f>
        <v>3.0</v>
      </c>
      <c r="BC271" s="45">
        <v>-1</v>
      </c>
      <c r="BD271" s="45">
        <v>-1</v>
      </c>
      <c r="BE271" s="45">
        <v>-1</v>
      </c>
      <c r="BF271" s="45">
        <v>100</v>
      </c>
      <c r="BG271" s="45">
        <v>-1</v>
      </c>
      <c r="BH271" s="45">
        <v>-1</v>
      </c>
      <c r="BI271" s="45">
        <v>-1</v>
      </c>
      <c r="BJ271" s="28">
        <v>1</v>
      </c>
      <c r="BK271" s="67">
        <v>47.707869988450746</v>
      </c>
      <c r="BL271" s="52" t="str">
        <f>+IF(BK271&gt;0,FIXED(Fuelbeds_english!BL271*2.54,1,0),BK271)</f>
        <v>1.5</v>
      </c>
      <c r="BM271" s="45">
        <v>3</v>
      </c>
      <c r="BN271" s="67">
        <v>38.158950668206565</v>
      </c>
      <c r="BO271" s="52" t="str">
        <f>+IF(BN271&gt;0,FIXED(Fuelbeds_english!BO271*2.54,1,0),BN271)</f>
        <v>0.8</v>
      </c>
    </row>
    <row r="272" spans="1:67" s="50" customFormat="1" x14ac:dyDescent="0.25">
      <c r="A272" s="50">
        <v>271</v>
      </c>
      <c r="B272" s="52" t="s">
        <v>308</v>
      </c>
      <c r="C272" s="68">
        <v>918091</v>
      </c>
      <c r="D272" s="36" t="s">
        <v>3</v>
      </c>
      <c r="E272" s="24" t="s">
        <v>353</v>
      </c>
      <c r="F272" s="39">
        <v>17</v>
      </c>
      <c r="G272" s="36">
        <v>17</v>
      </c>
      <c r="H272" s="45">
        <f>+IF(F272&gt;0,INT(Fuelbeds_english!H272*2.471),F272)</f>
        <v>56</v>
      </c>
      <c r="I272" s="36">
        <f>+IF(F272&gt;0,INT(Fuelbeds_english!I272*0.3048),F272)</f>
        <v>16</v>
      </c>
      <c r="J272" s="45">
        <f>+IF(F272&gt;0,INT(Fuelbeds_english!J272*0.3048),F272)</f>
        <v>6</v>
      </c>
      <c r="K272" s="45">
        <f>+IF(F272&gt;0,INT(Fuelbeds_english!K272*2.54),F272)</f>
        <v>30</v>
      </c>
      <c r="L272" s="36" t="s">
        <v>387</v>
      </c>
      <c r="M272" s="36" t="s">
        <v>386</v>
      </c>
      <c r="N272" s="36" t="s">
        <v>156</v>
      </c>
      <c r="O272" s="36">
        <v>9.6</v>
      </c>
      <c r="P272" s="45">
        <f>+IF(O272&gt;0,INT(Fuelbeds_english!P272*2.471),O272)</f>
        <v>133</v>
      </c>
      <c r="Q272" s="36">
        <f>+IF(O272&gt;0,INT(Fuelbeds_english!Q272*0.3048),O272)</f>
        <v>8</v>
      </c>
      <c r="R272" s="45">
        <f>+IF(O272&gt;0,INT(Fuelbeds_english!R272*0.3048),O272)</f>
        <v>3</v>
      </c>
      <c r="S272" s="45">
        <f>+IF(O272&gt;0,INT(Fuelbeds_english!S272*2.54),O272)</f>
        <v>16</v>
      </c>
      <c r="T272" s="36" t="s">
        <v>387</v>
      </c>
      <c r="U272" s="36" t="s">
        <v>386</v>
      </c>
      <c r="V272" s="36" t="s">
        <v>156</v>
      </c>
      <c r="W272" s="36">
        <v>1</v>
      </c>
      <c r="X272" s="98">
        <v>2</v>
      </c>
      <c r="Y272" s="29">
        <v>38</v>
      </c>
      <c r="Z272" s="88" t="str">
        <f>+IF(Y272&gt;0,FIXED(Fuelbeds_english!Z272*0.3048,1,0),Y272)</f>
        <v>1.2</v>
      </c>
      <c r="AA272" s="46">
        <v>85</v>
      </c>
      <c r="AB272" s="50">
        <v>23571</v>
      </c>
      <c r="AC272" s="50" t="s">
        <v>161</v>
      </c>
      <c r="AD272" s="50">
        <v>100</v>
      </c>
      <c r="AE272" s="42">
        <v>30</v>
      </c>
      <c r="AF272" s="52" t="str">
        <f>+IF(AE272&gt;0,FIXED(Fuelbeds_english!AF272*0.3048,1,0),AE272)</f>
        <v>0.4</v>
      </c>
      <c r="AG272" s="45">
        <v>80</v>
      </c>
      <c r="AH272" s="52" t="str">
        <f>+IF(AE272&gt;0,FIXED(Fuelbeds_english!AH272*2.242,1,0),AE272)</f>
        <v>0.6</v>
      </c>
      <c r="AI272" s="45" t="s">
        <v>395</v>
      </c>
      <c r="AJ272" s="45" t="s">
        <v>394</v>
      </c>
      <c r="AK272" s="45" t="s">
        <v>156</v>
      </c>
      <c r="AL272" s="34">
        <v>12.596527777777778</v>
      </c>
      <c r="AM272" s="52" t="str">
        <f>+IF(AL272&gt;0,FIXED(Fuelbeds_english!AM272*2.54,1,0),AL272)</f>
        <v>7.1</v>
      </c>
      <c r="AN272" s="52" t="str">
        <f>+IF($AM272&gt;0,FIXED(Fuelbeds_english!AN272*2.242,1,0),$AM272)</f>
        <v>0.3</v>
      </c>
      <c r="AO272" s="52" t="str">
        <f>+IF($AM272&gt;0,FIXED(Fuelbeds_english!AO272*2.242,1,0),$AM272)</f>
        <v>0.7</v>
      </c>
      <c r="AP272" s="52" t="str">
        <f>+IF($AM272&gt;0,FIXED(Fuelbeds_english!AP272*2.242,1,0),$AM272)</f>
        <v>1.1</v>
      </c>
      <c r="AQ272" s="52" t="str">
        <f>+IF($AM272&gt;0,FIXED(Fuelbeds_english!AQ272*2.242,1,0),$AM272)</f>
        <v>2.2</v>
      </c>
      <c r="AR272" s="36" t="s">
        <v>387</v>
      </c>
      <c r="AS272" s="45" t="s">
        <v>386</v>
      </c>
      <c r="AT272" s="45" t="s">
        <v>156</v>
      </c>
      <c r="AU272" s="44">
        <v>3</v>
      </c>
      <c r="AV272" s="52" t="str">
        <f>+IF(AU272&gt;0,FIXED(Fuelbeds_english!AV272*2.54,1,0),AU272)</f>
        <v>0.5</v>
      </c>
      <c r="AW272" s="88">
        <v>2</v>
      </c>
      <c r="AX272" s="88">
        <v>13</v>
      </c>
      <c r="AY272" s="52" t="str">
        <f>+IF(AX272&gt;0,FIXED(Fuelbeds_english!AY272*2.54,1,0),AX272)</f>
        <v>1.5</v>
      </c>
      <c r="AZ272" s="45">
        <v>1</v>
      </c>
      <c r="BA272" s="36">
        <v>20</v>
      </c>
      <c r="BB272" s="52" t="str">
        <f>+IF(BA272&gt;0,FIXED(Fuelbeds_english!BB272*2.54,1,0),BA272)</f>
        <v>2.0</v>
      </c>
      <c r="BC272" s="45">
        <v>50</v>
      </c>
      <c r="BD272" s="45">
        <v>-1</v>
      </c>
      <c r="BE272" s="45">
        <v>50</v>
      </c>
      <c r="BF272" s="45">
        <v>-1</v>
      </c>
      <c r="BG272" s="45">
        <v>-1</v>
      </c>
      <c r="BH272" s="45">
        <v>-1</v>
      </c>
      <c r="BI272" s="45">
        <v>-1</v>
      </c>
      <c r="BJ272" s="28">
        <v>1</v>
      </c>
      <c r="BK272" s="36">
        <v>22</v>
      </c>
      <c r="BL272" s="52" t="str">
        <f>+IF(BK272&gt;0,FIXED(Fuelbeds_english!BL272*2.54,1,0),BK272)</f>
        <v>1.8</v>
      </c>
      <c r="BM272" s="45">
        <v>3</v>
      </c>
      <c r="BN272" s="36">
        <v>21</v>
      </c>
      <c r="BO272" s="52" t="str">
        <f>+IF(BN272&gt;0,FIXED(Fuelbeds_english!BO272*2.54,1,0),BN272)</f>
        <v>2.0</v>
      </c>
    </row>
    <row r="273" spans="1:67" s="50" customFormat="1" x14ac:dyDescent="0.25">
      <c r="A273" s="50">
        <v>272</v>
      </c>
      <c r="B273" s="52" t="s">
        <v>309</v>
      </c>
      <c r="C273" s="68">
        <v>928091</v>
      </c>
      <c r="D273" s="36" t="s">
        <v>3</v>
      </c>
      <c r="E273" s="24" t="s">
        <v>353</v>
      </c>
      <c r="F273" s="39">
        <v>57</v>
      </c>
      <c r="G273" s="36">
        <v>57</v>
      </c>
      <c r="H273" s="45">
        <f>+IF(F273&gt;0,INT(Fuelbeds_english!H273*2.471),F273)</f>
        <v>190</v>
      </c>
      <c r="I273" s="36">
        <f>+IF(F273&gt;0,INT(Fuelbeds_english!I273*0.3048),F273)</f>
        <v>21</v>
      </c>
      <c r="J273" s="45">
        <f>+IF(F273&gt;0,INT(Fuelbeds_english!J273*0.3048),F273)</f>
        <v>8</v>
      </c>
      <c r="K273" s="45">
        <f>+IF(F273&gt;0,INT(Fuelbeds_english!K273*2.54),F273)</f>
        <v>30</v>
      </c>
      <c r="L273" s="36" t="s">
        <v>387</v>
      </c>
      <c r="M273" s="36" t="s">
        <v>386</v>
      </c>
      <c r="N273" s="36" t="s">
        <v>156</v>
      </c>
      <c r="O273" s="36">
        <v>32.188235294117646</v>
      </c>
      <c r="P273" s="45">
        <f>+IF(O273&gt;0,INT(Fuelbeds_english!P273*2.471),O273)</f>
        <v>446</v>
      </c>
      <c r="Q273" s="36">
        <f>+IF(O273&gt;0,INT(Fuelbeds_english!Q273*0.3048),O273)</f>
        <v>11</v>
      </c>
      <c r="R273" s="45">
        <f>+IF(O273&gt;0,INT(Fuelbeds_english!R273*0.3048),O273)</f>
        <v>4</v>
      </c>
      <c r="S273" s="45">
        <f>+IF(O273&gt;0,INT(Fuelbeds_english!S273*2.54),O273)</f>
        <v>21</v>
      </c>
      <c r="T273" s="36" t="s">
        <v>387</v>
      </c>
      <c r="U273" s="36" t="s">
        <v>386</v>
      </c>
      <c r="V273" s="36" t="s">
        <v>156</v>
      </c>
      <c r="W273" s="36">
        <v>1</v>
      </c>
      <c r="X273" s="98">
        <v>2</v>
      </c>
      <c r="Y273" s="29">
        <v>22</v>
      </c>
      <c r="Z273" s="88" t="str">
        <f>+IF(Y273&gt;0,FIXED(Fuelbeds_english!Z273*0.3048,1,0),Y273)</f>
        <v>1.2</v>
      </c>
      <c r="AA273" s="46">
        <v>85</v>
      </c>
      <c r="AB273" s="50">
        <v>23571</v>
      </c>
      <c r="AC273" s="50" t="s">
        <v>161</v>
      </c>
      <c r="AD273" s="50">
        <v>100</v>
      </c>
      <c r="AE273" s="42">
        <v>17</v>
      </c>
      <c r="AF273" s="52" t="str">
        <f>+IF(AE273&gt;0,FIXED(Fuelbeds_english!AF273*0.3048,1,0),AE273)</f>
        <v>0.4</v>
      </c>
      <c r="AG273" s="45">
        <v>80</v>
      </c>
      <c r="AH273" s="52" t="str">
        <f>+IF(AE273&gt;0,FIXED(Fuelbeds_english!AH273*2.242,1,0),AE273)</f>
        <v>0.4</v>
      </c>
      <c r="AI273" s="45" t="s">
        <v>395</v>
      </c>
      <c r="AJ273" s="45" t="s">
        <v>394</v>
      </c>
      <c r="AK273" s="45" t="s">
        <v>156</v>
      </c>
      <c r="AL273" s="34">
        <v>42.235416666666666</v>
      </c>
      <c r="AM273" s="52" t="str">
        <f>+IF(AL273&gt;0,FIXED(Fuelbeds_english!AM273*2.54,1,0),AL273)</f>
        <v>7.1</v>
      </c>
      <c r="AN273" s="52" t="str">
        <f>+IF($AM273&gt;0,FIXED(Fuelbeds_english!AN273*2.242,1,0),$AM273)</f>
        <v>0.9</v>
      </c>
      <c r="AO273" s="52" t="str">
        <f>+IF($AM273&gt;0,FIXED(Fuelbeds_english!AO273*2.242,1,0),$AM273)</f>
        <v>2.4</v>
      </c>
      <c r="AP273" s="52" t="str">
        <f>+IF($AM273&gt;0,FIXED(Fuelbeds_english!AP273*2.242,1,0),$AM273)</f>
        <v>3.8</v>
      </c>
      <c r="AQ273" s="52" t="str">
        <f>+IF($AM273&gt;0,FIXED(Fuelbeds_english!AQ273*2.242,1,0),$AM273)</f>
        <v>7.4</v>
      </c>
      <c r="AR273" s="36" t="s">
        <v>387</v>
      </c>
      <c r="AS273" s="45" t="s">
        <v>386</v>
      </c>
      <c r="AT273" s="45" t="s">
        <v>156</v>
      </c>
      <c r="AU273" s="44">
        <v>3</v>
      </c>
      <c r="AV273" s="52" t="str">
        <f>+IF(AU273&gt;0,FIXED(Fuelbeds_english!AV273*2.54,1,0),AU273)</f>
        <v>0.5</v>
      </c>
      <c r="AW273" s="88">
        <v>2</v>
      </c>
      <c r="AX273" s="88">
        <v>13</v>
      </c>
      <c r="AY273" s="52" t="str">
        <f>+IF(AX273&gt;0,FIXED(Fuelbeds_english!AY273*2.54,1,0),AX273)</f>
        <v>1.5</v>
      </c>
      <c r="AZ273" s="45">
        <v>1</v>
      </c>
      <c r="BA273" s="36">
        <v>66</v>
      </c>
      <c r="BB273" s="52" t="str">
        <f>+IF(BA273&gt;0,FIXED(Fuelbeds_english!BB273*2.54,1,0),BA273)</f>
        <v>2.0</v>
      </c>
      <c r="BC273" s="45">
        <v>50</v>
      </c>
      <c r="BD273" s="45">
        <v>-1</v>
      </c>
      <c r="BE273" s="45">
        <v>50</v>
      </c>
      <c r="BF273" s="45">
        <v>-1</v>
      </c>
      <c r="BG273" s="45">
        <v>-1</v>
      </c>
      <c r="BH273" s="45">
        <v>-1</v>
      </c>
      <c r="BI273" s="45">
        <v>-1</v>
      </c>
      <c r="BJ273" s="28">
        <v>1</v>
      </c>
      <c r="BK273" s="36">
        <v>72</v>
      </c>
      <c r="BL273" s="52" t="str">
        <f>+IF(BK273&gt;0,FIXED(Fuelbeds_english!BL273*2.54,1,0),BK273)</f>
        <v>1.8</v>
      </c>
      <c r="BM273" s="45">
        <v>3</v>
      </c>
      <c r="BN273" s="36">
        <v>69</v>
      </c>
      <c r="BO273" s="52" t="str">
        <f>+IF(BN273&gt;0,FIXED(Fuelbeds_english!BO273*2.54,1,0),BN273)</f>
        <v>2.0</v>
      </c>
    </row>
    <row r="274" spans="1:67" s="50" customFormat="1" x14ac:dyDescent="0.25">
      <c r="A274" s="50">
        <v>273</v>
      </c>
      <c r="B274" s="52" t="s">
        <v>310</v>
      </c>
      <c r="C274" s="72">
        <v>918092</v>
      </c>
      <c r="D274" s="36" t="s">
        <v>3</v>
      </c>
      <c r="E274" s="76" t="s">
        <v>354</v>
      </c>
      <c r="F274" s="39">
        <v>23</v>
      </c>
      <c r="G274" s="36">
        <v>23</v>
      </c>
      <c r="H274" s="45">
        <f>+IF(F274&gt;0,INT(Fuelbeds_english!H274*2.471),F274)</f>
        <v>198</v>
      </c>
      <c r="I274" s="36">
        <f>+IF(F274&gt;0,INT(Fuelbeds_english!I274*0.3048),F274)</f>
        <v>17</v>
      </c>
      <c r="J274" s="45">
        <f>+IF(F274&gt;0,INT(Fuelbeds_english!J274*0.3048),F274)</f>
        <v>6</v>
      </c>
      <c r="K274" s="45">
        <f>+IF(F274&gt;0,INT(Fuelbeds_english!K274*2.54),F274)</f>
        <v>22</v>
      </c>
      <c r="L274" s="36">
        <v>183412</v>
      </c>
      <c r="M274" s="36" t="s">
        <v>398</v>
      </c>
      <c r="N274" s="36">
        <v>100</v>
      </c>
      <c r="O274" s="36">
        <v>6.0374999999999996</v>
      </c>
      <c r="P274" s="45">
        <f>+IF(O274&gt;0,INT(Fuelbeds_english!P274*2.471),O274)</f>
        <v>340</v>
      </c>
      <c r="Q274" s="36">
        <f>+IF(O274&gt;0,INT(Fuelbeds_english!Q274*0.3048),O274)</f>
        <v>10</v>
      </c>
      <c r="R274" s="45">
        <f>+IF(O274&gt;0,INT(Fuelbeds_english!R274*0.3048),O274)</f>
        <v>2</v>
      </c>
      <c r="S274" s="45">
        <f>+IF(O274&gt;0,INT(Fuelbeds_english!S274*2.54),O274)</f>
        <v>6</v>
      </c>
      <c r="T274" s="36">
        <v>183412</v>
      </c>
      <c r="U274" s="36" t="s">
        <v>398</v>
      </c>
      <c r="V274" s="36">
        <v>100</v>
      </c>
      <c r="W274" s="36">
        <v>1</v>
      </c>
      <c r="X274" s="98">
        <v>2</v>
      </c>
      <c r="Y274" s="29">
        <v>42</v>
      </c>
      <c r="Z274" s="88" t="str">
        <f>+IF(Y274&gt;0,FIXED(Fuelbeds_english!Z274*0.3048,1,0),Y274)</f>
        <v>2.3</v>
      </c>
      <c r="AA274" s="46">
        <v>90</v>
      </c>
      <c r="AB274" s="50">
        <v>22476</v>
      </c>
      <c r="AC274" s="50" t="s">
        <v>157</v>
      </c>
      <c r="AD274" s="50">
        <v>100</v>
      </c>
      <c r="AE274" s="42">
        <v>16.714285714285715</v>
      </c>
      <c r="AF274" s="52" t="str">
        <f>+IF(AE274&gt;0,FIXED(Fuelbeds_english!AF274*0.3048,1,0),AE274)</f>
        <v>0.4</v>
      </c>
      <c r="AG274" s="45">
        <v>80</v>
      </c>
      <c r="AH274" s="52" t="str">
        <f>+IF(AE274&gt;0,FIXED(Fuelbeds_english!AH274*2.242,1,0),AE274)</f>
        <v>1.0</v>
      </c>
      <c r="AI274" s="45">
        <v>40529</v>
      </c>
      <c r="AJ274" s="45" t="s">
        <v>356</v>
      </c>
      <c r="AK274" s="45">
        <v>100</v>
      </c>
      <c r="AL274" s="34">
        <v>13.225</v>
      </c>
      <c r="AM274" s="52" t="str">
        <f>+IF(AL274&gt;0,FIXED(Fuelbeds_english!AM274*2.54,1,0),AL274)</f>
        <v>2.5</v>
      </c>
      <c r="AN274" s="52" t="str">
        <f>+IF($AM274&gt;0,FIXED(Fuelbeds_english!AN274*2.242,1,0),$AM274)</f>
        <v>0.4</v>
      </c>
      <c r="AO274" s="52" t="str">
        <f>+IF($AM274&gt;0,FIXED(Fuelbeds_english!AO274*2.242,1,0),$AM274)</f>
        <v>1.1</v>
      </c>
      <c r="AP274" s="52" t="str">
        <f>+IF($AM274&gt;0,FIXED(Fuelbeds_english!AP274*2.242,1,0),$AM274)</f>
        <v>2.2</v>
      </c>
      <c r="AQ274" s="52" t="str">
        <f>+IF($AM274&gt;0,FIXED(Fuelbeds_english!AQ274*2.242,1,0),$AM274)</f>
        <v>6.7</v>
      </c>
      <c r="AR274" s="36">
        <v>183412</v>
      </c>
      <c r="AS274" s="45" t="s">
        <v>398</v>
      </c>
      <c r="AT274" s="45">
        <v>100</v>
      </c>
      <c r="AU274" s="44">
        <v>-1</v>
      </c>
      <c r="AV274" s="52">
        <f>+IF(AU274&gt;0,FIXED(Fuelbeds_english!AV274*2.54,1,0),AU274)</f>
        <v>-1</v>
      </c>
      <c r="AW274" s="88">
        <v>1</v>
      </c>
      <c r="AX274" s="88">
        <v>63</v>
      </c>
      <c r="AY274" s="52" t="str">
        <f>+IF(AX274&gt;0,FIXED(Fuelbeds_english!AY274*2.54,1,0),AX274)</f>
        <v>5.8</v>
      </c>
      <c r="AZ274" s="45">
        <v>1</v>
      </c>
      <c r="BA274" s="36">
        <v>23</v>
      </c>
      <c r="BB274" s="52" t="str">
        <f>+IF(BA274&gt;0,FIXED(Fuelbeds_english!BB274*2.54,1,0),BA274)</f>
        <v>1.8</v>
      </c>
      <c r="BC274" s="45">
        <v>-1</v>
      </c>
      <c r="BD274" s="45">
        <v>-1</v>
      </c>
      <c r="BE274" s="45">
        <v>100</v>
      </c>
      <c r="BF274" s="45">
        <v>-1</v>
      </c>
      <c r="BG274" s="45">
        <v>-1</v>
      </c>
      <c r="BH274" s="45">
        <v>-1</v>
      </c>
      <c r="BI274" s="45">
        <v>-1</v>
      </c>
      <c r="BJ274" s="28">
        <v>2</v>
      </c>
      <c r="BK274" s="36">
        <v>28.749999999999996</v>
      </c>
      <c r="BL274" s="52" t="str">
        <f>+IF(BK274&gt;0,FIXED(Fuelbeds_english!BL274*2.54,1,0),BK274)</f>
        <v>12.7</v>
      </c>
      <c r="BM274" s="45">
        <v>4</v>
      </c>
      <c r="BN274" s="36">
        <v>28.749999999999996</v>
      </c>
      <c r="BO274" s="52" t="str">
        <f>+IF(BN274&gt;0,FIXED(Fuelbeds_english!BO274*2.54,1,0),BN274)</f>
        <v>12.7</v>
      </c>
    </row>
    <row r="275" spans="1:67" s="50" customFormat="1" x14ac:dyDescent="0.25">
      <c r="A275" s="50">
        <v>274</v>
      </c>
      <c r="B275" s="52" t="s">
        <v>311</v>
      </c>
      <c r="C275" s="72">
        <v>928092</v>
      </c>
      <c r="D275" s="36" t="s">
        <v>3</v>
      </c>
      <c r="E275" s="76" t="s">
        <v>354</v>
      </c>
      <c r="F275" s="39">
        <v>55.6</v>
      </c>
      <c r="G275" s="36">
        <v>55.6</v>
      </c>
      <c r="H275" s="45">
        <f>+IF(F275&gt;0,INT(Fuelbeds_english!H275*2.471),F275)</f>
        <v>480</v>
      </c>
      <c r="I275" s="36">
        <f>+IF(F275&gt;0,INT(Fuelbeds_english!I275*0.3048),F275)</f>
        <v>20</v>
      </c>
      <c r="J275" s="45">
        <f>+IF(F275&gt;0,INT(Fuelbeds_english!J275*0.3048),F275)</f>
        <v>7</v>
      </c>
      <c r="K275" s="45">
        <f>+IF(F275&gt;0,INT(Fuelbeds_english!K275*2.54),F275)</f>
        <v>25</v>
      </c>
      <c r="L275" s="36">
        <v>183412</v>
      </c>
      <c r="M275" s="36" t="s">
        <v>398</v>
      </c>
      <c r="N275" s="36">
        <v>100</v>
      </c>
      <c r="O275" s="36">
        <v>14.594999999999999</v>
      </c>
      <c r="P275" s="45">
        <f>+IF(O275&gt;0,INT(Fuelbeds_english!P275*2.471),O275)</f>
        <v>824</v>
      </c>
      <c r="Q275" s="36">
        <f>+IF(O275&gt;0,INT(Fuelbeds_english!Q275*0.3048),O275)</f>
        <v>11</v>
      </c>
      <c r="R275" s="45">
        <f>+IF(O275&gt;0,INT(Fuelbeds_english!R275*0.3048),O275)</f>
        <v>2</v>
      </c>
      <c r="S275" s="45">
        <f>+IF(O275&gt;0,INT(Fuelbeds_english!S275*2.54),O275)</f>
        <v>7</v>
      </c>
      <c r="T275" s="36">
        <v>183412</v>
      </c>
      <c r="U275" s="36" t="s">
        <v>398</v>
      </c>
      <c r="V275" s="36">
        <v>100</v>
      </c>
      <c r="W275" s="36">
        <v>1</v>
      </c>
      <c r="X275" s="98">
        <v>2</v>
      </c>
      <c r="Y275" s="29">
        <v>29</v>
      </c>
      <c r="Z275" s="88" t="str">
        <f>+IF(Y275&gt;0,FIXED(Fuelbeds_english!Z275*0.3048,1,0),Y275)</f>
        <v>2.3</v>
      </c>
      <c r="AA275" s="46">
        <v>90</v>
      </c>
      <c r="AB275" s="50">
        <v>22476</v>
      </c>
      <c r="AC275" s="50" t="s">
        <v>157</v>
      </c>
      <c r="AD275" s="50">
        <v>100</v>
      </c>
      <c r="AE275" s="42">
        <v>11.714285714285714</v>
      </c>
      <c r="AF275" s="52" t="str">
        <f>+IF(AE275&gt;0,FIXED(Fuelbeds_english!AF275*0.3048,1,0),AE275)</f>
        <v>0.4</v>
      </c>
      <c r="AG275" s="45">
        <v>80</v>
      </c>
      <c r="AH275" s="52" t="str">
        <f>+IF(AE275&gt;0,FIXED(Fuelbeds_english!AH275*2.242,1,0),AE275)</f>
        <v>0.7</v>
      </c>
      <c r="AI275" s="45">
        <v>40529</v>
      </c>
      <c r="AJ275" s="45" t="s">
        <v>356</v>
      </c>
      <c r="AK275" s="45">
        <v>100</v>
      </c>
      <c r="AL275" s="34">
        <v>31.97</v>
      </c>
      <c r="AM275" s="52" t="str">
        <f>+IF(AL275&gt;0,FIXED(Fuelbeds_english!AM275*2.54,1,0),AL275)</f>
        <v>2.5</v>
      </c>
      <c r="AN275" s="52" t="str">
        <f>+IF($AM275&gt;0,FIXED(Fuelbeds_english!AN275*2.242,1,0),$AM275)</f>
        <v>0.9</v>
      </c>
      <c r="AO275" s="52" t="str">
        <f>+IF($AM275&gt;0,FIXED(Fuelbeds_english!AO275*2.242,1,0),$AM275)</f>
        <v>2.6</v>
      </c>
      <c r="AP275" s="52" t="str">
        <f>+IF($AM275&gt;0,FIXED(Fuelbeds_english!AP275*2.242,1,0),$AM275)</f>
        <v>5.2</v>
      </c>
      <c r="AQ275" s="52" t="str">
        <f>+IF($AM275&gt;0,FIXED(Fuelbeds_english!AQ275*2.242,1,0),$AM275)</f>
        <v>16.4</v>
      </c>
      <c r="AR275" s="36">
        <v>183412</v>
      </c>
      <c r="AS275" s="45" t="s">
        <v>398</v>
      </c>
      <c r="AT275" s="45">
        <v>100</v>
      </c>
      <c r="AU275" s="44">
        <v>-1</v>
      </c>
      <c r="AV275" s="52">
        <f>+IF(AU275&gt;0,FIXED(Fuelbeds_english!AV275*2.54,1,0),AU275)</f>
        <v>-1</v>
      </c>
      <c r="AW275" s="88">
        <v>1</v>
      </c>
      <c r="AX275" s="88">
        <v>63</v>
      </c>
      <c r="AY275" s="52" t="str">
        <f>+IF(AX275&gt;0,FIXED(Fuelbeds_english!AY275*2.54,1,0),AX275)</f>
        <v>5.8</v>
      </c>
      <c r="AZ275" s="45">
        <v>1</v>
      </c>
      <c r="BA275" s="36">
        <v>55.6</v>
      </c>
      <c r="BB275" s="52" t="str">
        <f>+IF(BA275&gt;0,FIXED(Fuelbeds_english!BB275*2.54,1,0),BA275)</f>
        <v>1.8</v>
      </c>
      <c r="BC275" s="45">
        <v>-1</v>
      </c>
      <c r="BD275" s="45">
        <v>-1</v>
      </c>
      <c r="BE275" s="45">
        <v>100</v>
      </c>
      <c r="BF275" s="45">
        <v>-1</v>
      </c>
      <c r="BG275" s="45">
        <v>-1</v>
      </c>
      <c r="BH275" s="45">
        <v>-1</v>
      </c>
      <c r="BI275" s="45">
        <v>-1</v>
      </c>
      <c r="BJ275" s="28">
        <v>2</v>
      </c>
      <c r="BK275" s="36">
        <v>100</v>
      </c>
      <c r="BL275" s="52" t="str">
        <f>+IF(BK275&gt;0,FIXED(Fuelbeds_english!BL275*2.54,1,0),BK275)</f>
        <v>12.7</v>
      </c>
      <c r="BM275" s="45">
        <v>4</v>
      </c>
      <c r="BN275" s="36">
        <v>69.499999999999986</v>
      </c>
      <c r="BO275" s="52" t="str">
        <f>+IF(BN275&gt;0,FIXED(Fuelbeds_english!BO275*2.54,1,0),BN275)</f>
        <v>12.7</v>
      </c>
    </row>
    <row r="276" spans="1:67" s="50" customFormat="1" x14ac:dyDescent="0.25">
      <c r="A276" s="50">
        <v>275</v>
      </c>
      <c r="B276" s="52" t="s">
        <v>312</v>
      </c>
      <c r="C276" s="68">
        <v>918100</v>
      </c>
      <c r="D276" s="36" t="s">
        <v>3</v>
      </c>
      <c r="E276" s="17" t="s">
        <v>134</v>
      </c>
      <c r="F276" s="39">
        <v>19</v>
      </c>
      <c r="G276" s="36">
        <v>19</v>
      </c>
      <c r="H276" s="45">
        <f>+IF(F276&gt;0,INT(Fuelbeds_english!H276*2.471),F276)</f>
        <v>37</v>
      </c>
      <c r="I276" s="36">
        <f>+IF(F276&gt;0,INT(Fuelbeds_english!I276*0.3048),F276)</f>
        <v>14</v>
      </c>
      <c r="J276" s="45">
        <f>+IF(F276&gt;0,INT(Fuelbeds_english!J276*0.3048),F276)</f>
        <v>7</v>
      </c>
      <c r="K276" s="45">
        <f>+IF(F276&gt;0,INT(Fuelbeds_english!K276*2.54),F276)</f>
        <v>29</v>
      </c>
      <c r="L276" s="55" t="s">
        <v>397</v>
      </c>
      <c r="M276" s="36" t="s">
        <v>396</v>
      </c>
      <c r="N276" s="55" t="s">
        <v>156</v>
      </c>
      <c r="O276" s="36">
        <v>10.426829268292684</v>
      </c>
      <c r="P276" s="45">
        <f>+IF(O276&gt;0,INT(Fuelbeds_english!P276*2.471),O276)</f>
        <v>103</v>
      </c>
      <c r="Q276" s="36">
        <f>+IF(O276&gt;0,INT(Fuelbeds_english!Q276*0.3048),O276)</f>
        <v>9</v>
      </c>
      <c r="R276" s="45">
        <f>+IF(O276&gt;0,INT(Fuelbeds_english!R276*0.3048),O276)</f>
        <v>4</v>
      </c>
      <c r="S276" s="45">
        <f>+IF(O276&gt;0,INT(Fuelbeds_english!S276*2.54),O276)</f>
        <v>17</v>
      </c>
      <c r="T276" s="36" t="s">
        <v>397</v>
      </c>
      <c r="U276" s="36" t="s">
        <v>396</v>
      </c>
      <c r="V276" s="36" t="s">
        <v>156</v>
      </c>
      <c r="W276" s="36">
        <v>-1</v>
      </c>
      <c r="X276" s="98">
        <v>-1</v>
      </c>
      <c r="Y276" s="29">
        <v>44.339696389093582</v>
      </c>
      <c r="Z276" s="88" t="str">
        <f>+IF(Y276&gt;0,FIXED(Fuelbeds_english!Z276*0.3048,1,0),Y276)</f>
        <v>2.0</v>
      </c>
      <c r="AA276" s="46">
        <v>85</v>
      </c>
      <c r="AB276" s="50">
        <v>23700</v>
      </c>
      <c r="AC276" s="50" t="s">
        <v>393</v>
      </c>
      <c r="AD276" s="50">
        <v>100</v>
      </c>
      <c r="AE276" s="42">
        <v>20</v>
      </c>
      <c r="AF276" s="52" t="str">
        <f>+IF(AE276&gt;0,FIXED(Fuelbeds_english!AF276*0.3048,1,0),AE276)</f>
        <v>0.5</v>
      </c>
      <c r="AG276" s="45">
        <v>80</v>
      </c>
      <c r="AH276" s="52" t="str">
        <f>+IF(AE276&gt;0,FIXED(Fuelbeds_english!AH276*2.242,1,0),AE276)</f>
        <v>0.4</v>
      </c>
      <c r="AI276" s="45" t="s">
        <v>395</v>
      </c>
      <c r="AJ276" s="45" t="s">
        <v>394</v>
      </c>
      <c r="AK276" s="45" t="s">
        <v>156</v>
      </c>
      <c r="AL276" s="34">
        <v>7.1829268292682933</v>
      </c>
      <c r="AM276" s="52" t="str">
        <f>+IF(AL276&gt;0,FIXED(Fuelbeds_english!AM276*2.54,1,0),AL276)</f>
        <v>5.6</v>
      </c>
      <c r="AN276" s="52" t="str">
        <f>+IF($AM276&gt;0,FIXED(Fuelbeds_english!AN276*2.242,1,0),$AM276)</f>
        <v>0.3</v>
      </c>
      <c r="AO276" s="52" t="str">
        <f>+IF($AM276&gt;0,FIXED(Fuelbeds_english!AO276*2.242,1,0),$AM276)</f>
        <v>0.6</v>
      </c>
      <c r="AP276" s="52" t="str">
        <f>+IF($AM276&gt;0,FIXED(Fuelbeds_english!AP276*2.242,1,0),$AM276)</f>
        <v>0.9</v>
      </c>
      <c r="AQ276" s="52" t="str">
        <f>+IF($AM276&gt;0,FIXED(Fuelbeds_english!AQ276*2.242,1,0),$AM276)</f>
        <v>1.1</v>
      </c>
      <c r="AR276" s="36" t="s">
        <v>397</v>
      </c>
      <c r="AS276" s="45" t="s">
        <v>396</v>
      </c>
      <c r="AT276" s="45" t="s">
        <v>156</v>
      </c>
      <c r="AU276" s="44">
        <v>1.7</v>
      </c>
      <c r="AV276" s="52" t="str">
        <f>+IF(AU276&gt;0,FIXED(Fuelbeds_english!AV276*2.54,1,0),AU276)</f>
        <v>0.5</v>
      </c>
      <c r="AW276" s="88">
        <v>2</v>
      </c>
      <c r="AX276" s="88">
        <v>2.5</v>
      </c>
      <c r="AY276" s="52" t="str">
        <f>+IF(AX276&gt;0,FIXED(Fuelbeds_english!AY276*2.54,1,0),AX276)</f>
        <v>1.5</v>
      </c>
      <c r="AZ276" s="45">
        <v>1</v>
      </c>
      <c r="BA276" s="36">
        <v>22</v>
      </c>
      <c r="BB276" s="52" t="str">
        <f>+IF(BA276&gt;0,FIXED(Fuelbeds_english!BB276*2.54,1,0),BA276)</f>
        <v>3.8</v>
      </c>
      <c r="BC276" s="45">
        <v>50</v>
      </c>
      <c r="BD276" s="45">
        <v>-1</v>
      </c>
      <c r="BE276" s="45">
        <v>-1</v>
      </c>
      <c r="BF276" s="45">
        <v>50</v>
      </c>
      <c r="BG276" s="45">
        <v>-1</v>
      </c>
      <c r="BH276" s="45">
        <v>-1</v>
      </c>
      <c r="BI276" s="45">
        <v>-1</v>
      </c>
      <c r="BJ276" s="28">
        <v>1</v>
      </c>
      <c r="BK276" s="36">
        <v>22</v>
      </c>
      <c r="BL276" s="52" t="str">
        <f>+IF(BK276&gt;0,FIXED(Fuelbeds_english!BL276*2.54,1,0),BK276)</f>
        <v>1.8</v>
      </c>
      <c r="BM276" s="45">
        <v>3</v>
      </c>
      <c r="BN276" s="36">
        <v>19</v>
      </c>
      <c r="BO276" s="52" t="str">
        <f>+IF(BN276&gt;0,FIXED(Fuelbeds_english!BO276*2.54,1,0),BN276)</f>
        <v>1.8</v>
      </c>
    </row>
    <row r="277" spans="1:67" s="50" customFormat="1" x14ac:dyDescent="0.25">
      <c r="A277" s="50">
        <v>276</v>
      </c>
      <c r="B277" s="52" t="s">
        <v>313</v>
      </c>
      <c r="C277" s="68">
        <v>928100</v>
      </c>
      <c r="D277" s="36" t="s">
        <v>3</v>
      </c>
      <c r="E277" s="17" t="s">
        <v>134</v>
      </c>
      <c r="F277" s="39">
        <v>56</v>
      </c>
      <c r="G277" s="36">
        <v>56</v>
      </c>
      <c r="H277" s="45">
        <f>+IF(F277&gt;0,INT(Fuelbeds_english!H277*2.471),F277)</f>
        <v>110</v>
      </c>
      <c r="I277" s="36">
        <f>+IF(F277&gt;0,INT(Fuelbeds_english!I277*0.3048),F277)</f>
        <v>19</v>
      </c>
      <c r="J277" s="45">
        <f>+IF(F277&gt;0,INT(Fuelbeds_english!J277*0.3048),F277)</f>
        <v>9</v>
      </c>
      <c r="K277" s="45">
        <f>+IF(F277&gt;0,INT(Fuelbeds_english!K277*2.54),F277)</f>
        <v>38</v>
      </c>
      <c r="L277" s="55" t="s">
        <v>397</v>
      </c>
      <c r="M277" s="36" t="s">
        <v>396</v>
      </c>
      <c r="N277" s="55" t="s">
        <v>156</v>
      </c>
      <c r="O277" s="36">
        <v>30.731707317073173</v>
      </c>
      <c r="P277" s="45">
        <f>+IF(O277&gt;0,INT(Fuelbeds_english!P277*2.471),O277)</f>
        <v>303</v>
      </c>
      <c r="Q277" s="36">
        <f>+IF(O277&gt;0,INT(Fuelbeds_english!Q277*0.3048),O277)</f>
        <v>12</v>
      </c>
      <c r="R277" s="45">
        <f>+IF(O277&gt;0,INT(Fuelbeds_english!R277*0.3048),O277)</f>
        <v>5</v>
      </c>
      <c r="S277" s="45">
        <f>+IF(O277&gt;0,INT(Fuelbeds_english!S277*2.54),O277)</f>
        <v>23</v>
      </c>
      <c r="T277" s="36" t="s">
        <v>397</v>
      </c>
      <c r="U277" s="36" t="s">
        <v>396</v>
      </c>
      <c r="V277" s="36" t="s">
        <v>156</v>
      </c>
      <c r="W277" s="36">
        <v>-1</v>
      </c>
      <c r="X277" s="98">
        <v>-1</v>
      </c>
      <c r="Y277" s="29">
        <v>27.404633750921146</v>
      </c>
      <c r="Z277" s="88" t="str">
        <f>+IF(Y277&gt;0,FIXED(Fuelbeds_english!Z277*0.3048,1,0),Y277)</f>
        <v>2.0</v>
      </c>
      <c r="AA277" s="46">
        <v>85</v>
      </c>
      <c r="AB277" s="50">
        <v>23700</v>
      </c>
      <c r="AC277" s="50" t="s">
        <v>393</v>
      </c>
      <c r="AD277" s="50">
        <v>100</v>
      </c>
      <c r="AE277" s="42">
        <v>13</v>
      </c>
      <c r="AF277" s="52" t="str">
        <f>+IF(AE277&gt;0,FIXED(Fuelbeds_english!AF277*0.3048,1,0),AE277)</f>
        <v>0.5</v>
      </c>
      <c r="AG277" s="45">
        <v>80</v>
      </c>
      <c r="AH277" s="52" t="str">
        <f>+IF(AE277&gt;0,FIXED(Fuelbeds_english!AH277*2.242,1,0),AE277)</f>
        <v>0.2</v>
      </c>
      <c r="AI277" s="45" t="s">
        <v>395</v>
      </c>
      <c r="AJ277" s="45" t="s">
        <v>394</v>
      </c>
      <c r="AK277" s="45" t="s">
        <v>156</v>
      </c>
      <c r="AL277" s="34">
        <v>21.170731707317071</v>
      </c>
      <c r="AM277" s="52" t="str">
        <f>+IF(AL277&gt;0,FIXED(Fuelbeds_english!AM277*2.54,1,0),AL277)</f>
        <v>5.6</v>
      </c>
      <c r="AN277" s="52" t="str">
        <f>+IF($AM277&gt;0,FIXED(Fuelbeds_english!AN277*2.242,1,0),$AM277)</f>
        <v>1.0</v>
      </c>
      <c r="AO277" s="52" t="str">
        <f>+IF($AM277&gt;0,FIXED(Fuelbeds_english!AO277*2.242,1,0),$AM277)</f>
        <v>1.7</v>
      </c>
      <c r="AP277" s="52" t="str">
        <f>+IF($AM277&gt;0,FIXED(Fuelbeds_english!AP277*2.242,1,0),$AM277)</f>
        <v>2.6</v>
      </c>
      <c r="AQ277" s="52" t="str">
        <f>+IF($AM277&gt;0,FIXED(Fuelbeds_english!AQ277*2.242,1,0),$AM277)</f>
        <v>3.4</v>
      </c>
      <c r="AR277" s="36" t="s">
        <v>397</v>
      </c>
      <c r="AS277" s="45" t="s">
        <v>396</v>
      </c>
      <c r="AT277" s="45" t="s">
        <v>156</v>
      </c>
      <c r="AU277" s="44">
        <v>1.7</v>
      </c>
      <c r="AV277" s="52" t="str">
        <f>+IF(AU277&gt;0,FIXED(Fuelbeds_english!AV277*2.54,1,0),AU277)</f>
        <v>0.5</v>
      </c>
      <c r="AW277" s="88">
        <v>2</v>
      </c>
      <c r="AX277" s="88">
        <v>2.5</v>
      </c>
      <c r="AY277" s="52" t="str">
        <f>+IF(AX277&gt;0,FIXED(Fuelbeds_english!AY277*2.54,1,0),AX277)</f>
        <v>1.5</v>
      </c>
      <c r="AZ277" s="45">
        <v>1</v>
      </c>
      <c r="BA277" s="36">
        <v>63</v>
      </c>
      <c r="BB277" s="52" t="str">
        <f>+IF(BA277&gt;0,FIXED(Fuelbeds_english!BB277*2.54,1,0),BA277)</f>
        <v>3.8</v>
      </c>
      <c r="BC277" s="45">
        <v>50</v>
      </c>
      <c r="BD277" s="45">
        <v>-1</v>
      </c>
      <c r="BE277" s="45">
        <v>-1</v>
      </c>
      <c r="BF277" s="45">
        <v>50</v>
      </c>
      <c r="BG277" s="45">
        <v>-1</v>
      </c>
      <c r="BH277" s="45">
        <v>-1</v>
      </c>
      <c r="BI277" s="45">
        <v>-1</v>
      </c>
      <c r="BJ277" s="28">
        <v>1</v>
      </c>
      <c r="BK277" s="36">
        <v>65</v>
      </c>
      <c r="BL277" s="52" t="str">
        <f>+IF(BK277&gt;0,FIXED(Fuelbeds_english!BL277*2.54,1,0),BK277)</f>
        <v>1.8</v>
      </c>
      <c r="BM277" s="45">
        <v>3</v>
      </c>
      <c r="BN277" s="36">
        <v>56</v>
      </c>
      <c r="BO277" s="52" t="str">
        <f>+IF(BN277&gt;0,FIXED(Fuelbeds_english!BO277*2.54,1,0),BN277)</f>
        <v>1.8</v>
      </c>
    </row>
    <row r="278" spans="1:67" s="50" customFormat="1" x14ac:dyDescent="0.25">
      <c r="A278" s="50">
        <v>277</v>
      </c>
      <c r="B278" s="52" t="s">
        <v>314</v>
      </c>
      <c r="C278" s="68">
        <v>918110</v>
      </c>
      <c r="D278" s="36" t="s">
        <v>3</v>
      </c>
      <c r="E278" s="12" t="s">
        <v>9</v>
      </c>
      <c r="F278" s="39">
        <v>5</v>
      </c>
      <c r="G278" s="36">
        <v>5</v>
      </c>
      <c r="H278" s="45">
        <f>+IF(F278&gt;0,INT(Fuelbeds_english!H278*2.471),F278)</f>
        <v>9</v>
      </c>
      <c r="I278" s="36">
        <f>+IF(F278&gt;0,INT(Fuelbeds_english!I278*0.3048),F278)</f>
        <v>9</v>
      </c>
      <c r="J278" s="45">
        <f>+IF(F278&gt;0,INT(Fuelbeds_english!J278*0.3048),F278)</f>
        <v>4</v>
      </c>
      <c r="K278" s="45">
        <f>+IF(F278&gt;0,INT(Fuelbeds_english!K278*2.54),F278)</f>
        <v>22</v>
      </c>
      <c r="L278" s="55">
        <v>19276</v>
      </c>
      <c r="M278" s="36" t="s">
        <v>158</v>
      </c>
      <c r="N278" s="55">
        <v>100</v>
      </c>
      <c r="O278" s="36">
        <v>3</v>
      </c>
      <c r="P278" s="45">
        <f>+IF(O278&gt;0,INT(Fuelbeds_english!P278*2.471),O278)</f>
        <v>14</v>
      </c>
      <c r="Q278" s="36">
        <f>+IF(O278&gt;0,INT(Fuelbeds_english!Q278*0.3048),O278)</f>
        <v>6</v>
      </c>
      <c r="R278" s="45">
        <f>+IF(O278&gt;0,INT(Fuelbeds_english!R278*0.3048),O278)</f>
        <v>3</v>
      </c>
      <c r="S278" s="45">
        <f>+IF(O278&gt;0,INT(Fuelbeds_english!S278*2.54),O278)</f>
        <v>10</v>
      </c>
      <c r="T278" s="36">
        <v>19276</v>
      </c>
      <c r="U278" s="36" t="s">
        <v>158</v>
      </c>
      <c r="V278" s="36">
        <v>100</v>
      </c>
      <c r="W278" s="36">
        <v>-1</v>
      </c>
      <c r="X278" s="98">
        <v>-1</v>
      </c>
      <c r="Y278" s="29">
        <v>34</v>
      </c>
      <c r="Z278" s="88" t="str">
        <f>+IF(Y278&gt;0,FIXED(Fuelbeds_english!Z278*0.3048,1,0),Y278)</f>
        <v>1.8</v>
      </c>
      <c r="AA278" s="46">
        <v>85</v>
      </c>
      <c r="AB278" s="50">
        <v>19276</v>
      </c>
      <c r="AC278" s="50" t="s">
        <v>158</v>
      </c>
      <c r="AD278" s="50">
        <v>100</v>
      </c>
      <c r="AE278" s="42">
        <v>30</v>
      </c>
      <c r="AF278" s="52" t="str">
        <f>+IF(AE278&gt;0,FIXED(Fuelbeds_english!AF278*0.3048,1,0),AE278)</f>
        <v>0.5</v>
      </c>
      <c r="AG278" s="45">
        <v>75</v>
      </c>
      <c r="AH278" s="52" t="str">
        <f>+IF(AE278&gt;0,FIXED(Fuelbeds_english!AH278*2.242,1,0),AE278)</f>
        <v>0.5</v>
      </c>
      <c r="AI278" s="45">
        <v>39369</v>
      </c>
      <c r="AJ278" s="45" t="s">
        <v>391</v>
      </c>
      <c r="AK278" s="45">
        <v>100</v>
      </c>
      <c r="AL278" s="34">
        <v>1.1000000000000001</v>
      </c>
      <c r="AM278" s="52" t="str">
        <f>+IF(AL278&gt;0,FIXED(Fuelbeds_english!AM278*2.54,1,0),AL278)</f>
        <v>2.5</v>
      </c>
      <c r="AN278" s="52" t="str">
        <f>+IF($AM278&gt;0,FIXED(Fuelbeds_english!AN278*2.242,1,0),$AM278)</f>
        <v>0.0</v>
      </c>
      <c r="AO278" s="52" t="str">
        <f>+IF($AM278&gt;0,FIXED(Fuelbeds_english!AO278*2.242,1,0),$AM278)</f>
        <v>0.0</v>
      </c>
      <c r="AP278" s="52" t="str">
        <f>+IF($AM278&gt;0,FIXED(Fuelbeds_english!AP278*2.242,1,0),$AM278)</f>
        <v>0.2</v>
      </c>
      <c r="AQ278" s="52" t="str">
        <f>+IF($AM278&gt;0,FIXED(Fuelbeds_english!AQ278*2.242,1,0),$AM278)</f>
        <v>0.2</v>
      </c>
      <c r="AR278" s="36">
        <v>19276</v>
      </c>
      <c r="AS278" s="45" t="s">
        <v>158</v>
      </c>
      <c r="AT278" s="45">
        <v>100</v>
      </c>
      <c r="AU278" s="44">
        <v>-1</v>
      </c>
      <c r="AV278" s="52">
        <f>+IF(AU278&gt;0,FIXED(Fuelbeds_english!AV278*2.54,1,0),AU278)</f>
        <v>-1</v>
      </c>
      <c r="AW278" s="52">
        <v>-1</v>
      </c>
      <c r="AX278" s="52">
        <v>-1</v>
      </c>
      <c r="AY278" s="52">
        <f>+IF(AX278&gt;0,FIXED(Fuelbeds_english!AY278*2.54,1,0),AX278)</f>
        <v>-1</v>
      </c>
      <c r="AZ278" s="45">
        <v>1</v>
      </c>
      <c r="BA278" s="36">
        <v>6</v>
      </c>
      <c r="BB278" s="52" t="str">
        <f>+IF(BA278&gt;0,FIXED(Fuelbeds_english!BB278*2.54,1,0),BA278)</f>
        <v>3.3</v>
      </c>
      <c r="BC278" s="45">
        <v>-1</v>
      </c>
      <c r="BD278" s="45">
        <v>-1</v>
      </c>
      <c r="BE278" s="45">
        <v>-1</v>
      </c>
      <c r="BF278" s="45">
        <v>70</v>
      </c>
      <c r="BG278" s="45">
        <v>-1</v>
      </c>
      <c r="BH278" s="45">
        <v>-1</v>
      </c>
      <c r="BI278" s="45">
        <v>30</v>
      </c>
      <c r="BJ278" s="28">
        <v>1</v>
      </c>
      <c r="BK278" s="36">
        <v>4.8</v>
      </c>
      <c r="BL278" s="52" t="str">
        <f>+IF(BK278&gt;0,FIXED(Fuelbeds_english!BL278*2.54,1,0),BK278)</f>
        <v>1.5</v>
      </c>
      <c r="BM278" s="45">
        <v>3</v>
      </c>
      <c r="BN278" s="36">
        <v>3.4</v>
      </c>
      <c r="BO278" s="52" t="str">
        <f>+IF(BN278&gt;0,FIXED(Fuelbeds_english!BO278*2.54,1,0),BN278)</f>
        <v>1.0</v>
      </c>
    </row>
    <row r="279" spans="1:67" s="50" customFormat="1" x14ac:dyDescent="0.25">
      <c r="A279" s="50">
        <v>278</v>
      </c>
      <c r="B279" s="52" t="s">
        <v>315</v>
      </c>
      <c r="C279" s="68">
        <v>928110</v>
      </c>
      <c r="D279" s="36" t="s">
        <v>3</v>
      </c>
      <c r="E279" s="12" t="s">
        <v>9</v>
      </c>
      <c r="F279" s="39">
        <v>51</v>
      </c>
      <c r="G279" s="36">
        <v>51</v>
      </c>
      <c r="H279" s="45">
        <f>+IF(F279&gt;0,INT(Fuelbeds_english!H279*2.471),F279)</f>
        <v>100</v>
      </c>
      <c r="I279" s="36">
        <f>+IF(F279&gt;0,INT(Fuelbeds_english!I279*0.3048),F279)</f>
        <v>18</v>
      </c>
      <c r="J279" s="45">
        <f>+IF(F279&gt;0,INT(Fuelbeds_english!J279*0.3048),F279)</f>
        <v>9</v>
      </c>
      <c r="K279" s="45">
        <f>+IF(F279&gt;0,INT(Fuelbeds_english!K279*2.54),F279)</f>
        <v>36</v>
      </c>
      <c r="L279" s="36" t="s">
        <v>397</v>
      </c>
      <c r="M279" s="36" t="s">
        <v>396</v>
      </c>
      <c r="N279" s="36" t="s">
        <v>156</v>
      </c>
      <c r="O279" s="36">
        <v>27.987804878048781</v>
      </c>
      <c r="P279" s="45">
        <f>+IF(O279&gt;0,INT(Fuelbeds_english!P279*2.471),O279)</f>
        <v>276</v>
      </c>
      <c r="Q279" s="36">
        <f>+IF(O279&gt;0,INT(Fuelbeds_english!Q279*0.3048),O279)</f>
        <v>11</v>
      </c>
      <c r="R279" s="45">
        <f>+IF(O279&gt;0,INT(Fuelbeds_english!R279*0.3048),O279)</f>
        <v>4</v>
      </c>
      <c r="S279" s="45">
        <f>+IF(O279&gt;0,INT(Fuelbeds_english!S279*2.54),O279)</f>
        <v>22</v>
      </c>
      <c r="T279" s="36" t="s">
        <v>397</v>
      </c>
      <c r="U279" s="36" t="s">
        <v>396</v>
      </c>
      <c r="V279" s="36" t="s">
        <v>156</v>
      </c>
      <c r="W279" s="36">
        <v>-1</v>
      </c>
      <c r="X279" s="98">
        <v>-1</v>
      </c>
      <c r="Y279" s="29">
        <v>19</v>
      </c>
      <c r="Z279" s="88" t="str">
        <f>+IF(Y279&gt;0,FIXED(Fuelbeds_english!Z279*0.3048,1,0),Y279)</f>
        <v>2.0</v>
      </c>
      <c r="AA279" s="46">
        <v>85</v>
      </c>
      <c r="AB279" s="50">
        <v>23700</v>
      </c>
      <c r="AC279" s="50" t="s">
        <v>393</v>
      </c>
      <c r="AD279" s="50">
        <v>100</v>
      </c>
      <c r="AE279" s="42">
        <v>30</v>
      </c>
      <c r="AF279" s="52" t="str">
        <f>+IF(AE279&gt;0,FIXED(Fuelbeds_english!AF279*0.3048,1,0),AE279)</f>
        <v>0.5</v>
      </c>
      <c r="AG279" s="45">
        <v>80</v>
      </c>
      <c r="AH279" s="52" t="str">
        <f>+IF(AE279&gt;0,FIXED(Fuelbeds_english!AH279*2.242,1,0),AE279)</f>
        <v>0.6</v>
      </c>
      <c r="AI279" s="45" t="s">
        <v>395</v>
      </c>
      <c r="AJ279" s="45" t="s">
        <v>394</v>
      </c>
      <c r="AK279" s="45" t="s">
        <v>156</v>
      </c>
      <c r="AL279" s="34">
        <v>19.280487804878049</v>
      </c>
      <c r="AM279" s="52" t="str">
        <f>+IF(AL279&gt;0,FIXED(Fuelbeds_english!AM279*2.54,1,0),AL279)</f>
        <v>5.6</v>
      </c>
      <c r="AN279" s="52" t="str">
        <f>+IF($AM279&gt;0,FIXED(Fuelbeds_english!AN279*2.242,1,0),$AM279)</f>
        <v>0.9</v>
      </c>
      <c r="AO279" s="52" t="str">
        <f>+IF($AM279&gt;0,FIXED(Fuelbeds_english!AO279*2.242,1,0),$AM279)</f>
        <v>1.6</v>
      </c>
      <c r="AP279" s="52" t="str">
        <f>+IF($AM279&gt;0,FIXED(Fuelbeds_english!AP279*2.242,1,0),$AM279)</f>
        <v>2.3</v>
      </c>
      <c r="AQ279" s="52" t="str">
        <f>+IF($AM279&gt;0,FIXED(Fuelbeds_english!AQ279*2.242,1,0),$AM279)</f>
        <v>3.1</v>
      </c>
      <c r="AR279" s="36" t="s">
        <v>397</v>
      </c>
      <c r="AS279" s="45" t="s">
        <v>396</v>
      </c>
      <c r="AT279" s="45" t="s">
        <v>156</v>
      </c>
      <c r="AU279" s="44">
        <v>1.7</v>
      </c>
      <c r="AV279" s="52" t="str">
        <f>+IF(AU279&gt;0,FIXED(Fuelbeds_english!AV279*2.54,1,0),AU279)</f>
        <v>0.5</v>
      </c>
      <c r="AW279" s="88">
        <v>2</v>
      </c>
      <c r="AX279" s="88">
        <v>2.5</v>
      </c>
      <c r="AY279" s="52" t="str">
        <f>+IF(AX279&gt;0,FIXED(Fuelbeds_english!AY279*2.54,1,0),AX279)</f>
        <v>1.5</v>
      </c>
      <c r="AZ279" s="45">
        <v>1</v>
      </c>
      <c r="BA279" s="36">
        <v>58</v>
      </c>
      <c r="BB279" s="52" t="str">
        <f>+IF(BA279&gt;0,FIXED(Fuelbeds_english!BB279*2.54,1,0),BA279)</f>
        <v>3.8</v>
      </c>
      <c r="BC279" s="45">
        <v>35</v>
      </c>
      <c r="BD279" s="45">
        <v>-1</v>
      </c>
      <c r="BE279" s="45">
        <v>-1</v>
      </c>
      <c r="BF279" s="45">
        <v>35</v>
      </c>
      <c r="BG279" s="45">
        <v>-1</v>
      </c>
      <c r="BH279" s="45">
        <v>-1</v>
      </c>
      <c r="BI279" s="45">
        <v>30</v>
      </c>
      <c r="BJ279" s="28">
        <v>1</v>
      </c>
      <c r="BK279" s="36">
        <v>59</v>
      </c>
      <c r="BL279" s="52" t="str">
        <f>+IF(BK279&gt;0,FIXED(Fuelbeds_english!BL279*2.54,1,0),BK279)</f>
        <v>1.8</v>
      </c>
      <c r="BM279" s="45">
        <v>3</v>
      </c>
      <c r="BN279" s="36">
        <v>51</v>
      </c>
      <c r="BO279" s="52" t="str">
        <f>+IF(BN279&gt;0,FIXED(Fuelbeds_english!BO279*2.54,1,0),BN279)</f>
        <v>1.8</v>
      </c>
    </row>
    <row r="280" spans="1:67" s="50" customFormat="1" x14ac:dyDescent="0.25">
      <c r="A280" s="50">
        <v>279</v>
      </c>
      <c r="B280" s="36">
        <v>8112</v>
      </c>
      <c r="C280" s="70">
        <v>8112</v>
      </c>
      <c r="D280" s="36" t="s">
        <v>3</v>
      </c>
      <c r="E280" s="30" t="s">
        <v>407</v>
      </c>
      <c r="F280" s="39">
        <v>20.8</v>
      </c>
      <c r="G280" s="36">
        <v>20.8</v>
      </c>
      <c r="H280" s="45">
        <f>+IF(F280&gt;0,INT(Fuelbeds_english!H280*2.471),F280)</f>
        <v>179</v>
      </c>
      <c r="I280" s="36">
        <f>+IF(F280&gt;0,INT(Fuelbeds_english!I280*0.3048),F280)</f>
        <v>16</v>
      </c>
      <c r="J280" s="45">
        <f>+IF(F280&gt;0,INT(Fuelbeds_english!J280*0.3048),F280)</f>
        <v>5</v>
      </c>
      <c r="K280" s="45">
        <f>+IF(F280&gt;0,INT(Fuelbeds_english!K280*2.54),F280)</f>
        <v>20</v>
      </c>
      <c r="L280" s="36">
        <v>183412</v>
      </c>
      <c r="M280" s="36" t="s">
        <v>398</v>
      </c>
      <c r="N280" s="36">
        <v>100</v>
      </c>
      <c r="O280" s="36">
        <v>5.46</v>
      </c>
      <c r="P280" s="45">
        <f>+IF(O280&gt;0,INT(Fuelbeds_english!P280*2.471),O280)</f>
        <v>308</v>
      </c>
      <c r="Q280" s="36">
        <f>+IF(O280&gt;0,INT(Fuelbeds_english!Q280*0.3048),O280)</f>
        <v>9</v>
      </c>
      <c r="R280" s="45">
        <f>+IF(O280&gt;0,INT(Fuelbeds_english!R280*0.3048),O280)</f>
        <v>2</v>
      </c>
      <c r="S280" s="45">
        <f>+IF(O280&gt;0,INT(Fuelbeds_english!S280*2.54),O280)</f>
        <v>6</v>
      </c>
      <c r="T280" s="36">
        <v>183412</v>
      </c>
      <c r="U280" s="36" t="s">
        <v>398</v>
      </c>
      <c r="V280" s="36">
        <v>100</v>
      </c>
      <c r="W280" s="36">
        <v>1</v>
      </c>
      <c r="X280" s="98">
        <v>2</v>
      </c>
      <c r="Y280" s="29">
        <v>41</v>
      </c>
      <c r="Z280" s="88" t="str">
        <f>+IF(Y280&gt;0,FIXED(Fuelbeds_english!Z280*0.3048,1,0),Y280)</f>
        <v>2.3</v>
      </c>
      <c r="AA280" s="46">
        <v>90</v>
      </c>
      <c r="AB280" s="50">
        <v>22476</v>
      </c>
      <c r="AC280" s="50" t="s">
        <v>157</v>
      </c>
      <c r="AD280" s="50">
        <v>100</v>
      </c>
      <c r="AE280" s="42">
        <v>30</v>
      </c>
      <c r="AF280" s="52" t="str">
        <f>+IF(AE280&gt;0,FIXED(Fuelbeds_english!AF280*0.3048,1,0),AE280)</f>
        <v>0.4</v>
      </c>
      <c r="AG280" s="45">
        <v>80</v>
      </c>
      <c r="AH280" s="52" t="str">
        <f>+IF(AE280&gt;0,FIXED(Fuelbeds_english!AH280*2.242,1,0),AE280)</f>
        <v>1.0</v>
      </c>
      <c r="AI280" s="45">
        <v>40529</v>
      </c>
      <c r="AJ280" s="45" t="s">
        <v>356</v>
      </c>
      <c r="AK280" s="45">
        <v>100</v>
      </c>
      <c r="AL280" s="34">
        <v>11.959999999999999</v>
      </c>
      <c r="AM280" s="52" t="str">
        <f>+IF(AL280&gt;0,FIXED(Fuelbeds_english!AM280*2.54,1,0),AL280)</f>
        <v>2.5</v>
      </c>
      <c r="AN280" s="52" t="str">
        <f>+IF($AM280&gt;0,FIXED(Fuelbeds_english!AN280*2.242,1,0),$AM280)</f>
        <v>0.3</v>
      </c>
      <c r="AO280" s="52" t="str">
        <f>+IF($AM280&gt;0,FIXED(Fuelbeds_english!AO280*2.242,1,0),$AM280)</f>
        <v>1.0</v>
      </c>
      <c r="AP280" s="52" t="str">
        <f>+IF($AM280&gt;0,FIXED(Fuelbeds_english!AP280*2.242,1,0),$AM280)</f>
        <v>2.0</v>
      </c>
      <c r="AQ280" s="52" t="str">
        <f>+IF($AM280&gt;0,FIXED(Fuelbeds_english!AQ280*2.242,1,0),$AM280)</f>
        <v>6.1</v>
      </c>
      <c r="AR280" s="36">
        <v>183412</v>
      </c>
      <c r="AS280" s="45" t="s">
        <v>398</v>
      </c>
      <c r="AT280" s="45">
        <v>100</v>
      </c>
      <c r="AU280" s="44">
        <v>-1</v>
      </c>
      <c r="AV280" s="52">
        <f>+IF(AU280&gt;0,FIXED(Fuelbeds_english!AV280*2.54,1,0),AU280)</f>
        <v>-1</v>
      </c>
      <c r="AW280" s="88">
        <v>1</v>
      </c>
      <c r="AX280" s="88">
        <v>63</v>
      </c>
      <c r="AY280" s="52" t="str">
        <f>+IF(AX280&gt;0,FIXED(Fuelbeds_english!AY280*2.54,1,0),AX280)</f>
        <v>5.8</v>
      </c>
      <c r="AZ280" s="45">
        <v>1</v>
      </c>
      <c r="BA280" s="36">
        <v>20.8</v>
      </c>
      <c r="BB280" s="52" t="str">
        <f>+IF(BA280&gt;0,FIXED(Fuelbeds_english!BB280*2.54,1,0),BA280)</f>
        <v>1.8</v>
      </c>
      <c r="BC280" s="45">
        <v>-1</v>
      </c>
      <c r="BD280" s="45">
        <v>-1</v>
      </c>
      <c r="BE280" s="45">
        <v>100</v>
      </c>
      <c r="BF280" s="45">
        <v>-1</v>
      </c>
      <c r="BG280" s="45">
        <v>-1</v>
      </c>
      <c r="BH280" s="45">
        <v>-1</v>
      </c>
      <c r="BI280" s="45">
        <v>-1</v>
      </c>
      <c r="BJ280" s="28">
        <v>2</v>
      </c>
      <c r="BK280" s="36">
        <v>25.999999999999996</v>
      </c>
      <c r="BL280" s="52" t="str">
        <f>+IF(BK280&gt;0,FIXED(Fuelbeds_english!BL280*2.54,1,0),BK280)</f>
        <v>12.7</v>
      </c>
      <c r="BM280" s="45">
        <v>4</v>
      </c>
      <c r="BN280" s="36">
        <v>25.999999999999996</v>
      </c>
      <c r="BO280" s="52" t="str">
        <f>+IF(BN280&gt;0,FIXED(Fuelbeds_english!BO280*2.54,1,0),BN280)</f>
        <v>12.7</v>
      </c>
    </row>
    <row r="281" spans="1:67" s="50" customFormat="1" x14ac:dyDescent="0.25">
      <c r="A281" s="50">
        <v>280</v>
      </c>
      <c r="B281" s="36">
        <v>8113</v>
      </c>
      <c r="C281" s="71">
        <v>8113</v>
      </c>
      <c r="D281" s="36" t="s">
        <v>3</v>
      </c>
      <c r="E281" s="34" t="s">
        <v>408</v>
      </c>
      <c r="F281" s="39">
        <v>7</v>
      </c>
      <c r="G281" s="36">
        <v>7</v>
      </c>
      <c r="H281" s="45">
        <f>+IF(F281&gt;0,INT(Fuelbeds_english!H281*2.471),F281)</f>
        <v>2</v>
      </c>
      <c r="I281" s="36">
        <f>+IF(F281&gt;0,INT(Fuelbeds_english!I281*0.3048),F281)</f>
        <v>8</v>
      </c>
      <c r="J281" s="45">
        <f>+IF(F281&gt;0,INT(Fuelbeds_english!J281*0.3048),F281)</f>
        <v>5</v>
      </c>
      <c r="K281" s="45">
        <f>+IF(F281&gt;0,INT(Fuelbeds_english!K281*2.54),F281)</f>
        <v>25</v>
      </c>
      <c r="L281" s="36">
        <v>27189</v>
      </c>
      <c r="M281" s="36" t="s">
        <v>401</v>
      </c>
      <c r="N281" s="36">
        <v>100</v>
      </c>
      <c r="O281" s="36">
        <v>3</v>
      </c>
      <c r="P281" s="45">
        <f>+IF(O281&gt;0,INT(Fuelbeds_english!P281*2.471),O281)</f>
        <v>19</v>
      </c>
      <c r="Q281" s="36">
        <f>+IF(O281&gt;0,INT(Fuelbeds_english!Q281*0.3048),O281)</f>
        <v>4</v>
      </c>
      <c r="R281" s="45">
        <f>+IF(O281&gt;0,INT(Fuelbeds_english!R281*0.3048),O281)</f>
        <v>1</v>
      </c>
      <c r="S281" s="45">
        <f>+IF(O281&gt;0,INT(Fuelbeds_english!S281*2.54),O281)</f>
        <v>10</v>
      </c>
      <c r="T281" s="45">
        <v>27189</v>
      </c>
      <c r="U281" s="36" t="s">
        <v>401</v>
      </c>
      <c r="V281" s="36">
        <v>100</v>
      </c>
      <c r="W281" s="36">
        <v>1</v>
      </c>
      <c r="X281" s="98">
        <v>4</v>
      </c>
      <c r="Y281" s="81">
        <v>-1</v>
      </c>
      <c r="Z281" s="88">
        <f>+IF(Y281&gt;0,FIXED(Fuelbeds_english!Z281*0.3048,1,0),Y281)</f>
        <v>-1</v>
      </c>
      <c r="AA281" s="48">
        <v>-1</v>
      </c>
      <c r="AB281" s="10">
        <v>-1</v>
      </c>
      <c r="AC281" s="10">
        <v>-1</v>
      </c>
      <c r="AD281" s="10">
        <v>-1</v>
      </c>
      <c r="AE281" s="42">
        <v>70</v>
      </c>
      <c r="AF281" s="52" t="str">
        <f>+IF(AE281&gt;0,FIXED(Fuelbeds_english!AF281*0.3048,1,0),AE281)</f>
        <v>0.2</v>
      </c>
      <c r="AG281" s="45">
        <v>80</v>
      </c>
      <c r="AH281" s="52" t="str">
        <f>+IF(AE281&gt;0,FIXED(Fuelbeds_english!AH281*2.242,1,0),AE281)</f>
        <v>1.3</v>
      </c>
      <c r="AI281" s="45">
        <v>39369</v>
      </c>
      <c r="AJ281" s="45" t="s">
        <v>391</v>
      </c>
      <c r="AK281" s="45">
        <v>100</v>
      </c>
      <c r="AL281" s="34">
        <v>6.3</v>
      </c>
      <c r="AM281" s="52" t="str">
        <f>+IF(AL281&gt;0,FIXED(Fuelbeds_english!AM281*2.54,1,0),AL281)</f>
        <v>7.6</v>
      </c>
      <c r="AN281" s="52" t="str">
        <f>+IF($AM281&gt;0,FIXED(Fuelbeds_english!AN281*2.242,1,0),$AM281)</f>
        <v>0.2</v>
      </c>
      <c r="AO281" s="52" t="str">
        <f>+IF($AM281&gt;0,FIXED(Fuelbeds_english!AO281*2.242,1,0),$AM281)</f>
        <v>0.7</v>
      </c>
      <c r="AP281" s="52" t="str">
        <f>+IF($AM281&gt;0,FIXED(Fuelbeds_english!AP281*2.242,1,0),$AM281)</f>
        <v>0.7</v>
      </c>
      <c r="AQ281" s="52" t="str">
        <f>+IF($AM281&gt;0,FIXED(Fuelbeds_english!AQ281*2.242,1,0),$AM281)</f>
        <v>0.7</v>
      </c>
      <c r="AR281" s="36">
        <v>27189</v>
      </c>
      <c r="AS281" s="45" t="s">
        <v>401</v>
      </c>
      <c r="AT281" s="45">
        <v>100</v>
      </c>
      <c r="AU281" s="44">
        <v>-1</v>
      </c>
      <c r="AV281" s="52">
        <f>+IF(AU281&gt;0,FIXED(Fuelbeds_english!AV281*2.54,1,0),AU281)</f>
        <v>-1</v>
      </c>
      <c r="AW281" s="52">
        <v>-1</v>
      </c>
      <c r="AX281" s="52">
        <v>-1</v>
      </c>
      <c r="AY281" s="52">
        <f>+IF(AX281&gt;0,FIXED(Fuelbeds_english!AY281*2.54,1,0),AX281)</f>
        <v>-1</v>
      </c>
      <c r="AZ281" s="45">
        <v>1</v>
      </c>
      <c r="BA281" s="36">
        <v>8</v>
      </c>
      <c r="BB281" s="52" t="str">
        <f>+IF(BA281&gt;0,FIXED(Fuelbeds_english!BB281*2.54,1,0),BA281)</f>
        <v>4.6</v>
      </c>
      <c r="BC281" s="45">
        <v>-1</v>
      </c>
      <c r="BD281" s="45">
        <v>-1</v>
      </c>
      <c r="BE281" s="45">
        <v>-1</v>
      </c>
      <c r="BF281" s="45">
        <v>-1</v>
      </c>
      <c r="BG281" s="45">
        <v>100</v>
      </c>
      <c r="BH281" s="45">
        <v>-1</v>
      </c>
      <c r="BI281" s="45">
        <v>-1</v>
      </c>
      <c r="BJ281" s="28">
        <v>1</v>
      </c>
      <c r="BK281" s="36">
        <v>7.7</v>
      </c>
      <c r="BL281" s="52" t="str">
        <f>+IF(BK281&gt;0,FIXED(Fuelbeds_english!BL281*2.54,1,0),BK281)</f>
        <v>5.1</v>
      </c>
      <c r="BM281" s="45">
        <v>3</v>
      </c>
      <c r="BN281" s="36">
        <v>7.7</v>
      </c>
      <c r="BO281" s="52" t="str">
        <f>+IF(BN281&gt;0,FIXED(Fuelbeds_english!BO281*2.54,1,0),BN281)</f>
        <v>5.1</v>
      </c>
    </row>
    <row r="282" spans="1:67" s="50" customFormat="1" x14ac:dyDescent="0.25">
      <c r="A282" s="50">
        <v>281</v>
      </c>
      <c r="B282" s="36">
        <v>8120</v>
      </c>
      <c r="C282" s="46">
        <v>8120</v>
      </c>
      <c r="D282" s="36" t="s">
        <v>3</v>
      </c>
      <c r="E282" s="13" t="s">
        <v>8</v>
      </c>
      <c r="F282" s="39">
        <v>5.0999999999999996</v>
      </c>
      <c r="G282" s="36">
        <v>5</v>
      </c>
      <c r="H282" s="45">
        <f>+IF(F282&gt;0,INT(Fuelbeds_english!H282*2.471),F282)</f>
        <v>9</v>
      </c>
      <c r="I282" s="36">
        <f>+IF(F282&gt;0,INT(Fuelbeds_english!I282*0.3048),F282)</f>
        <v>9</v>
      </c>
      <c r="J282" s="45">
        <f>+IF(F282&gt;0,INT(Fuelbeds_english!J282*0.3048),F282)</f>
        <v>4</v>
      </c>
      <c r="K282" s="45">
        <f>+IF(F282&gt;0,INT(Fuelbeds_english!K282*2.54),F282)</f>
        <v>22</v>
      </c>
      <c r="L282" s="36">
        <v>19276</v>
      </c>
      <c r="M282" s="36" t="s">
        <v>158</v>
      </c>
      <c r="N282" s="36">
        <v>100</v>
      </c>
      <c r="O282" s="36">
        <v>3</v>
      </c>
      <c r="P282" s="45">
        <f>+IF(O282&gt;0,INT(Fuelbeds_english!P282*2.471),O282)</f>
        <v>14</v>
      </c>
      <c r="Q282" s="36">
        <f>+IF(O282&gt;0,INT(Fuelbeds_english!Q282*0.3048),O282)</f>
        <v>6</v>
      </c>
      <c r="R282" s="45">
        <f>+IF(O282&gt;0,INT(Fuelbeds_english!R282*0.3048),O282)</f>
        <v>3</v>
      </c>
      <c r="S282" s="45">
        <f>+IF(O282&gt;0,INT(Fuelbeds_english!S282*2.54),O282)</f>
        <v>10</v>
      </c>
      <c r="T282" s="36">
        <v>19276</v>
      </c>
      <c r="U282" s="36" t="s">
        <v>158</v>
      </c>
      <c r="V282" s="36">
        <v>100</v>
      </c>
      <c r="W282" s="36">
        <v>-1</v>
      </c>
      <c r="X282" s="98">
        <v>-1</v>
      </c>
      <c r="Y282" s="81">
        <v>-1</v>
      </c>
      <c r="Z282" s="88">
        <f>+IF(Y282&gt;0,FIXED(Fuelbeds_english!Z282*0.3048,1,0),Y282)</f>
        <v>-1</v>
      </c>
      <c r="AA282" s="48">
        <v>-1</v>
      </c>
      <c r="AB282" s="10">
        <v>-1</v>
      </c>
      <c r="AC282" s="10">
        <v>-1</v>
      </c>
      <c r="AD282" s="10">
        <v>-1</v>
      </c>
      <c r="AE282" s="42">
        <v>59</v>
      </c>
      <c r="AF282" s="52" t="str">
        <f>+IF(AE282&gt;0,FIXED(Fuelbeds_english!AF282*0.3048,1,0),AE282)</f>
        <v>0.5</v>
      </c>
      <c r="AG282" s="45">
        <v>75</v>
      </c>
      <c r="AH282" s="52" t="str">
        <f>+IF(AE282&gt;0,FIXED(Fuelbeds_english!AH282*2.242,1,0),AE282)</f>
        <v>1.0</v>
      </c>
      <c r="AI282" s="45">
        <v>39369</v>
      </c>
      <c r="AJ282" s="45" t="s">
        <v>391</v>
      </c>
      <c r="AK282" s="45">
        <v>100</v>
      </c>
      <c r="AL282" s="34">
        <v>1.1000000000000001</v>
      </c>
      <c r="AM282" s="52" t="str">
        <f>+IF(AL282&gt;0,FIXED(Fuelbeds_english!AM282*2.54,1,0),AL282)</f>
        <v>2.5</v>
      </c>
      <c r="AN282" s="52" t="str">
        <f>+IF($AM282&gt;0,FIXED(Fuelbeds_english!AN282*2.242,1,0),$AM282)</f>
        <v>0.0</v>
      </c>
      <c r="AO282" s="52" t="str">
        <f>+IF($AM282&gt;0,FIXED(Fuelbeds_english!AO282*2.242,1,0),$AM282)</f>
        <v>0.0</v>
      </c>
      <c r="AP282" s="52" t="str">
        <f>+IF($AM282&gt;0,FIXED(Fuelbeds_english!AP282*2.242,1,0),$AM282)</f>
        <v>0.2</v>
      </c>
      <c r="AQ282" s="52" t="str">
        <f>+IF($AM282&gt;0,FIXED(Fuelbeds_english!AQ282*2.242,1,0),$AM282)</f>
        <v>0.2</v>
      </c>
      <c r="AR282" s="36">
        <v>19276</v>
      </c>
      <c r="AS282" s="45" t="s">
        <v>158</v>
      </c>
      <c r="AT282" s="45">
        <v>100</v>
      </c>
      <c r="AU282" s="44">
        <v>-1</v>
      </c>
      <c r="AV282" s="52">
        <f>+IF(AU282&gt;0,FIXED(Fuelbeds_english!AV282*2.54,1,0),AU282)</f>
        <v>-1</v>
      </c>
      <c r="AW282" s="52">
        <v>-1</v>
      </c>
      <c r="AX282" s="52">
        <v>-1</v>
      </c>
      <c r="AY282" s="52">
        <f>+IF(AX282&gt;0,FIXED(Fuelbeds_english!AY282*2.54,1,0),AX282)</f>
        <v>-1</v>
      </c>
      <c r="AZ282" s="45">
        <v>1</v>
      </c>
      <c r="BA282" s="36">
        <v>6</v>
      </c>
      <c r="BB282" s="52" t="str">
        <f>+IF(BA282&gt;0,FIXED(Fuelbeds_english!BB282*2.54,1,0),BA282)</f>
        <v>3.3</v>
      </c>
      <c r="BC282" s="45">
        <v>-1</v>
      </c>
      <c r="BD282" s="45">
        <v>-1</v>
      </c>
      <c r="BE282" s="45">
        <v>-1</v>
      </c>
      <c r="BF282" s="45">
        <v>40</v>
      </c>
      <c r="BG282" s="45">
        <v>-1</v>
      </c>
      <c r="BH282" s="45">
        <v>-1</v>
      </c>
      <c r="BI282" s="45">
        <v>60</v>
      </c>
      <c r="BJ282" s="28">
        <v>1</v>
      </c>
      <c r="BK282" s="36">
        <v>4.8</v>
      </c>
      <c r="BL282" s="52" t="str">
        <f>+IF(BK282&gt;0,FIXED(Fuelbeds_english!BL282*2.54,1,0),BK282)</f>
        <v>1.5</v>
      </c>
      <c r="BM282" s="45">
        <v>3</v>
      </c>
      <c r="BN282" s="36">
        <v>3.4</v>
      </c>
      <c r="BO282" s="52" t="str">
        <f>+IF(BN282&gt;0,FIXED(Fuelbeds_english!BO282*2.54,1,0),BN282)</f>
        <v>1.0</v>
      </c>
    </row>
    <row r="283" spans="1:67" s="50" customFormat="1" x14ac:dyDescent="0.25">
      <c r="A283" s="50">
        <v>282</v>
      </c>
      <c r="B283" s="36">
        <v>8122</v>
      </c>
      <c r="C283" s="70">
        <v>8122</v>
      </c>
      <c r="D283" s="36" t="s">
        <v>3</v>
      </c>
      <c r="E283" s="78" t="s">
        <v>409</v>
      </c>
      <c r="F283" s="39">
        <v>22</v>
      </c>
      <c r="G283" s="36">
        <v>22</v>
      </c>
      <c r="H283" s="45">
        <f>+IF(F283&gt;0,INT(Fuelbeds_english!H283*2.471),F283)</f>
        <v>190</v>
      </c>
      <c r="I283" s="36">
        <f>+IF(F283&gt;0,INT(Fuelbeds_english!I283*0.3048),F283)</f>
        <v>15</v>
      </c>
      <c r="J283" s="45">
        <f>+IF(F283&gt;0,INT(Fuelbeds_english!J283*0.3048),F283)</f>
        <v>5</v>
      </c>
      <c r="K283" s="45">
        <f>+IF(F283&gt;0,INT(Fuelbeds_english!K283*2.54),F283)</f>
        <v>20</v>
      </c>
      <c r="L283" s="36">
        <v>183412</v>
      </c>
      <c r="M283" s="36" t="s">
        <v>398</v>
      </c>
      <c r="N283" s="36">
        <v>100</v>
      </c>
      <c r="O283" s="36">
        <v>5.7749999999999995</v>
      </c>
      <c r="P283" s="45">
        <f>+IF(O283&gt;0,INT(Fuelbeds_english!P283*2.471),O283)</f>
        <v>326</v>
      </c>
      <c r="Q283" s="36">
        <f>+IF(O283&gt;0,INT(Fuelbeds_english!Q283*0.3048),O283)</f>
        <v>9</v>
      </c>
      <c r="R283" s="45">
        <f>+IF(O283&gt;0,INT(Fuelbeds_english!R283*0.3048),O283)</f>
        <v>2</v>
      </c>
      <c r="S283" s="45">
        <f>+IF(O283&gt;0,INT(Fuelbeds_english!S283*2.54),O283)</f>
        <v>6</v>
      </c>
      <c r="T283" s="36">
        <v>183412</v>
      </c>
      <c r="U283" s="36" t="s">
        <v>398</v>
      </c>
      <c r="V283" s="36">
        <v>100</v>
      </c>
      <c r="W283" s="36">
        <v>1</v>
      </c>
      <c r="X283" s="98">
        <v>2</v>
      </c>
      <c r="Y283" s="29">
        <v>9</v>
      </c>
      <c r="Z283" s="88" t="str">
        <f>+IF(Y283&gt;0,FIXED(Fuelbeds_english!Z283*0.3048,1,0),Y283)</f>
        <v>2.3</v>
      </c>
      <c r="AA283" s="46">
        <v>90</v>
      </c>
      <c r="AB283" s="50">
        <v>22476</v>
      </c>
      <c r="AC283" s="50" t="s">
        <v>157</v>
      </c>
      <c r="AD283" s="50">
        <v>100</v>
      </c>
      <c r="AE283" s="42">
        <v>60</v>
      </c>
      <c r="AF283" s="52" t="str">
        <f>+IF(AE283&gt;0,FIXED(Fuelbeds_english!AF283*0.3048,1,0),AE283)</f>
        <v>0.4</v>
      </c>
      <c r="AG283" s="45">
        <v>80</v>
      </c>
      <c r="AH283" s="52" t="str">
        <f>+IF(AE283&gt;0,FIXED(Fuelbeds_english!AH283*2.242,1,0),AE283)</f>
        <v>2.0</v>
      </c>
      <c r="AI283" s="45">
        <v>40529</v>
      </c>
      <c r="AJ283" s="45" t="s">
        <v>356</v>
      </c>
      <c r="AK283" s="45">
        <v>100</v>
      </c>
      <c r="AL283" s="34">
        <v>12.65</v>
      </c>
      <c r="AM283" s="52" t="str">
        <f>+IF(AL283&gt;0,FIXED(Fuelbeds_english!AM283*2.54,1,0),AL283)</f>
        <v>2.5</v>
      </c>
      <c r="AN283" s="52" t="str">
        <f>+IF($AM283&gt;0,FIXED(Fuelbeds_english!AN283*2.242,1,0),$AM283)</f>
        <v>0.4</v>
      </c>
      <c r="AO283" s="52" t="str">
        <f>+IF($AM283&gt;0,FIXED(Fuelbeds_english!AO283*2.242,1,0),$AM283)</f>
        <v>1.0</v>
      </c>
      <c r="AP283" s="52" t="str">
        <f>+IF($AM283&gt;0,FIXED(Fuelbeds_english!AP283*2.242,1,0),$AM283)</f>
        <v>2.1</v>
      </c>
      <c r="AQ283" s="52" t="str">
        <f>+IF($AM283&gt;0,FIXED(Fuelbeds_english!AQ283*2.242,1,0),$AM283)</f>
        <v>6.5</v>
      </c>
      <c r="AR283" s="36">
        <v>183412</v>
      </c>
      <c r="AS283" s="45" t="s">
        <v>398</v>
      </c>
      <c r="AT283" s="45">
        <v>100</v>
      </c>
      <c r="AU283" s="44">
        <v>-1</v>
      </c>
      <c r="AV283" s="52">
        <f>+IF(AU283&gt;0,FIXED(Fuelbeds_english!AV283*2.54,1,0),AU283)</f>
        <v>-1</v>
      </c>
      <c r="AW283" s="88">
        <v>1</v>
      </c>
      <c r="AX283" s="88">
        <v>63</v>
      </c>
      <c r="AY283" s="52" t="str">
        <f>+IF(AX283&gt;0,FIXED(Fuelbeds_english!AY283*2.54,1,0),AX283)</f>
        <v>5.8</v>
      </c>
      <c r="AZ283" s="45">
        <v>1</v>
      </c>
      <c r="BA283" s="36">
        <v>22</v>
      </c>
      <c r="BB283" s="52" t="str">
        <f>+IF(BA283&gt;0,FIXED(Fuelbeds_english!BB283*2.54,1,0),BA283)</f>
        <v>1.8</v>
      </c>
      <c r="BC283" s="45">
        <v>-1</v>
      </c>
      <c r="BD283" s="45">
        <v>-1</v>
      </c>
      <c r="BE283" s="45">
        <v>100</v>
      </c>
      <c r="BF283" s="45">
        <v>-1</v>
      </c>
      <c r="BG283" s="45">
        <v>-1</v>
      </c>
      <c r="BH283" s="45">
        <v>-1</v>
      </c>
      <c r="BI283" s="45">
        <v>-1</v>
      </c>
      <c r="BJ283" s="28">
        <v>2</v>
      </c>
      <c r="BK283" s="36">
        <v>27.499999999999996</v>
      </c>
      <c r="BL283" s="52" t="str">
        <f>+IF(BK283&gt;0,FIXED(Fuelbeds_english!BL283*2.54,1,0),BK283)</f>
        <v>12.7</v>
      </c>
      <c r="BM283" s="45">
        <v>4</v>
      </c>
      <c r="BN283" s="36">
        <v>27.499999999999996</v>
      </c>
      <c r="BO283" s="52" t="str">
        <f>+IF(BN283&gt;0,FIXED(Fuelbeds_english!BO283*2.54,1,0),BN283)</f>
        <v>12.7</v>
      </c>
    </row>
    <row r="284" spans="1:67" s="50" customFormat="1" x14ac:dyDescent="0.25">
      <c r="A284" s="50">
        <v>283</v>
      </c>
      <c r="B284" s="36">
        <v>8123</v>
      </c>
      <c r="C284" s="71">
        <v>8123</v>
      </c>
      <c r="D284" s="36" t="s">
        <v>3</v>
      </c>
      <c r="E284" s="32" t="s">
        <v>403</v>
      </c>
      <c r="F284" s="39">
        <v>9</v>
      </c>
      <c r="G284" s="36">
        <v>9</v>
      </c>
      <c r="H284" s="45">
        <f>+IF(F284&gt;0,INT(Fuelbeds_english!H284*2.471),F284)</f>
        <v>4</v>
      </c>
      <c r="I284" s="36">
        <f>+IF(F284&gt;0,INT(Fuelbeds_english!I284*0.3048),F284)</f>
        <v>8</v>
      </c>
      <c r="J284" s="45">
        <f>+IF(F284&gt;0,INT(Fuelbeds_english!J284*0.3048),F284)</f>
        <v>5</v>
      </c>
      <c r="K284" s="45">
        <f>+IF(F284&gt;0,INT(Fuelbeds_english!K284*2.54),F284)</f>
        <v>25</v>
      </c>
      <c r="L284" s="36">
        <v>27189</v>
      </c>
      <c r="M284" s="36" t="s">
        <v>401</v>
      </c>
      <c r="N284" s="36">
        <v>100</v>
      </c>
      <c r="O284" s="36">
        <v>4</v>
      </c>
      <c r="P284" s="45">
        <f>+IF(O284&gt;0,INT(Fuelbeds_english!P284*2.471),O284)</f>
        <v>27</v>
      </c>
      <c r="Q284" s="36">
        <f>+IF(O284&gt;0,INT(Fuelbeds_english!Q284*0.3048),O284)</f>
        <v>4</v>
      </c>
      <c r="R284" s="45">
        <f>+IF(O284&gt;0,INT(Fuelbeds_english!R284*0.3048),O284)</f>
        <v>2</v>
      </c>
      <c r="S284" s="45">
        <f>+IF(O284&gt;0,INT(Fuelbeds_english!S284*2.54),O284)</f>
        <v>10</v>
      </c>
      <c r="T284" s="45">
        <v>27189</v>
      </c>
      <c r="U284" s="36" t="s">
        <v>401</v>
      </c>
      <c r="V284" s="36">
        <v>100</v>
      </c>
      <c r="W284" s="36">
        <v>1</v>
      </c>
      <c r="X284" s="98">
        <v>4</v>
      </c>
      <c r="Y284" s="81">
        <v>-1</v>
      </c>
      <c r="Z284" s="88">
        <f>+IF(Y284&gt;0,FIXED(Fuelbeds_english!Z284*0.3048,1,0),Y284)</f>
        <v>-1</v>
      </c>
      <c r="AA284" s="48">
        <v>-1</v>
      </c>
      <c r="AB284" s="10">
        <v>-1</v>
      </c>
      <c r="AC284" s="10">
        <v>-1</v>
      </c>
      <c r="AD284" s="10">
        <v>-1</v>
      </c>
      <c r="AE284" s="42">
        <v>68</v>
      </c>
      <c r="AF284" s="52" t="str">
        <f>+IF(AE284&gt;0,FIXED(Fuelbeds_english!AF284*0.3048,1,0),AE284)</f>
        <v>0.2</v>
      </c>
      <c r="AG284" s="45">
        <v>80</v>
      </c>
      <c r="AH284" s="52" t="str">
        <f>+IF(AE284&gt;0,FIXED(Fuelbeds_english!AH284*2.242,1,0),AE284)</f>
        <v>1.3</v>
      </c>
      <c r="AI284" s="45">
        <v>39369</v>
      </c>
      <c r="AJ284" s="45" t="s">
        <v>391</v>
      </c>
      <c r="AK284" s="45">
        <v>100</v>
      </c>
      <c r="AL284" s="34">
        <v>9</v>
      </c>
      <c r="AM284" s="52" t="str">
        <f>+IF(AL284&gt;0,FIXED(Fuelbeds_english!AM284*2.54,1,0),AL284)</f>
        <v>7.6</v>
      </c>
      <c r="AN284" s="52" t="str">
        <f>+IF($AM284&gt;0,FIXED(Fuelbeds_english!AN284*2.242,1,0),$AM284)</f>
        <v>0.2</v>
      </c>
      <c r="AO284" s="52" t="str">
        <f>+IF($AM284&gt;0,FIXED(Fuelbeds_english!AO284*2.242,1,0),$AM284)</f>
        <v>0.9</v>
      </c>
      <c r="AP284" s="52" t="str">
        <f>+IF($AM284&gt;0,FIXED(Fuelbeds_english!AP284*2.242,1,0),$AM284)</f>
        <v>1.1</v>
      </c>
      <c r="AQ284" s="52" t="str">
        <f>+IF($AM284&gt;0,FIXED(Fuelbeds_english!AQ284*2.242,1,0),$AM284)</f>
        <v>0.9</v>
      </c>
      <c r="AR284" s="36">
        <v>27189</v>
      </c>
      <c r="AS284" s="45" t="s">
        <v>401</v>
      </c>
      <c r="AT284" s="45">
        <v>100</v>
      </c>
      <c r="AU284" s="44">
        <v>-1</v>
      </c>
      <c r="AV284" s="52">
        <f>+IF(AU284&gt;0,FIXED(Fuelbeds_english!AV284*2.54,1,0),AU284)</f>
        <v>-1</v>
      </c>
      <c r="AW284" s="52">
        <v>-1</v>
      </c>
      <c r="AX284" s="52">
        <v>-1</v>
      </c>
      <c r="AY284" s="52">
        <f>+IF(AX284&gt;0,FIXED(Fuelbeds_english!AY284*2.54,1,0),AX284)</f>
        <v>-1</v>
      </c>
      <c r="AZ284" s="45">
        <v>1</v>
      </c>
      <c r="BA284" s="36">
        <v>11</v>
      </c>
      <c r="BB284" s="52" t="str">
        <f>+IF(BA284&gt;0,FIXED(Fuelbeds_english!BB284*2.54,1,0),BA284)</f>
        <v>4.6</v>
      </c>
      <c r="BC284" s="45">
        <v>-1</v>
      </c>
      <c r="BD284" s="45">
        <v>-1</v>
      </c>
      <c r="BE284" s="45">
        <v>-1</v>
      </c>
      <c r="BF284" s="45">
        <v>-1</v>
      </c>
      <c r="BG284" s="45">
        <v>100</v>
      </c>
      <c r="BH284" s="45">
        <v>-1</v>
      </c>
      <c r="BI284" s="45">
        <v>-1</v>
      </c>
      <c r="BJ284" s="28">
        <v>1</v>
      </c>
      <c r="BK284" s="36">
        <v>11</v>
      </c>
      <c r="BL284" s="52" t="str">
        <f>+IF(BK284&gt;0,FIXED(Fuelbeds_english!BL284*2.54,1,0),BK284)</f>
        <v>5.1</v>
      </c>
      <c r="BM284" s="45">
        <v>3</v>
      </c>
      <c r="BN284" s="36">
        <v>11</v>
      </c>
      <c r="BO284" s="52" t="str">
        <f>+IF(BN284&gt;0,FIXED(Fuelbeds_english!BO284*2.54,1,0),BN284)</f>
        <v>5.1</v>
      </c>
    </row>
    <row r="285" spans="1:67" s="50" customFormat="1" x14ac:dyDescent="0.25">
      <c r="A285" s="50">
        <v>284</v>
      </c>
      <c r="B285" s="36">
        <v>8130</v>
      </c>
      <c r="C285" s="46">
        <v>8130</v>
      </c>
      <c r="D285" s="36" t="s">
        <v>3</v>
      </c>
      <c r="E285" s="14" t="s">
        <v>10</v>
      </c>
      <c r="F285" s="39">
        <v>-3</v>
      </c>
      <c r="G285" s="45">
        <v>-3</v>
      </c>
      <c r="H285" s="45">
        <f>+IF(F285&gt;0,INT(Fuelbeds_english!H285*2.471),F285)</f>
        <v>-3</v>
      </c>
      <c r="I285" s="36">
        <f>+IF(F285&gt;0,INT(Fuelbeds_english!I285*0.3048),F285)</f>
        <v>-3</v>
      </c>
      <c r="J285" s="45">
        <f>+IF(F285&gt;0,INT(Fuelbeds_english!J285*0.3048),F285)</f>
        <v>-3</v>
      </c>
      <c r="K285" s="45">
        <f>+IF(F285&gt;0,INT(Fuelbeds_english!K285*2.54),F285)</f>
        <v>-3</v>
      </c>
      <c r="L285" s="45">
        <v>-3</v>
      </c>
      <c r="M285" s="45">
        <v>-3</v>
      </c>
      <c r="N285" s="45">
        <v>-3</v>
      </c>
      <c r="O285" s="45">
        <v>-3</v>
      </c>
      <c r="P285" s="45">
        <f>+IF(O285&gt;0,INT(Fuelbeds_english!P285*2.471),O285)</f>
        <v>-3</v>
      </c>
      <c r="Q285" s="36">
        <f>+IF(O285&gt;0,INT(Fuelbeds_english!Q285*0.3048),O285)</f>
        <v>-3</v>
      </c>
      <c r="R285" s="45">
        <f>+IF(O285&gt;0,INT(Fuelbeds_english!R285*0.3048),O285)</f>
        <v>-3</v>
      </c>
      <c r="S285" s="45">
        <f>+IF(O285&gt;0,INT(Fuelbeds_english!S285*2.54),O285)</f>
        <v>-3</v>
      </c>
      <c r="T285" s="45">
        <v>-3</v>
      </c>
      <c r="U285" s="45">
        <v>-3</v>
      </c>
      <c r="V285" s="45">
        <v>-3</v>
      </c>
      <c r="W285" s="45">
        <v>-3</v>
      </c>
      <c r="X285" s="99">
        <v>-3</v>
      </c>
      <c r="Y285" s="29">
        <v>79.270200000000003</v>
      </c>
      <c r="Z285" s="88" t="str">
        <f>+IF(Y285&gt;0,FIXED(Fuelbeds_english!Z285*0.3048,1,0),Y285)</f>
        <v>0.9</v>
      </c>
      <c r="AA285" s="46">
        <v>75</v>
      </c>
      <c r="AB285" s="50">
        <v>29051</v>
      </c>
      <c r="AC285" s="50" t="s">
        <v>152</v>
      </c>
      <c r="AD285" s="50">
        <v>100</v>
      </c>
      <c r="AE285" s="42">
        <v>-3</v>
      </c>
      <c r="AF285" s="52">
        <f>+IF(AE285&gt;0,FIXED(Fuelbeds_english!AF285*0.3048,1,0),AE285)</f>
        <v>-3</v>
      </c>
      <c r="AG285" s="45">
        <v>-3</v>
      </c>
      <c r="AH285" s="52">
        <f>+IF(AE285&gt;0,FIXED(Fuelbeds_english!AH285*2.242,1,0),AE285)</f>
        <v>-3</v>
      </c>
      <c r="AI285" s="45">
        <v>-3</v>
      </c>
      <c r="AJ285" s="45">
        <v>-3</v>
      </c>
      <c r="AK285" s="45">
        <v>-3</v>
      </c>
      <c r="AL285" s="34">
        <v>1.2</v>
      </c>
      <c r="AM285" s="52" t="str">
        <f>+IF(AL285&gt;0,FIXED(Fuelbeds_english!AM285*2.54,1,0),AL285)</f>
        <v>0.3</v>
      </c>
      <c r="AN285" s="52" t="str">
        <f>+IF($AM285&gt;0,FIXED(Fuelbeds_english!AN285*2.242,1,0),$AM285)</f>
        <v>0.4</v>
      </c>
      <c r="AO285" s="52" t="str">
        <f>+IF($AM285&gt;0,FIXED(Fuelbeds_english!AO285*2.242,1,0),$AM285)</f>
        <v>0.9</v>
      </c>
      <c r="AP285" s="52" t="str">
        <f>+IF($AM285&gt;0,FIXED(Fuelbeds_english!AP285*2.242,1,0),$AM285)</f>
        <v>0.0</v>
      </c>
      <c r="AQ285" s="52" t="str">
        <f>+IF($AM285&gt;0,FIXED(Fuelbeds_english!AQ285*2.242,1,0),$AM285)</f>
        <v>0.0</v>
      </c>
      <c r="AR285" s="36">
        <v>29051</v>
      </c>
      <c r="AS285" s="45" t="s">
        <v>152</v>
      </c>
      <c r="AT285" s="45">
        <v>100</v>
      </c>
      <c r="AU285" s="44">
        <v>-1</v>
      </c>
      <c r="AV285" s="52">
        <f>+IF(AU285&gt;0,FIXED(Fuelbeds_english!AV285*2.54,1,0),AU285)</f>
        <v>-1</v>
      </c>
      <c r="AW285" s="52">
        <v>-1</v>
      </c>
      <c r="AX285" s="52">
        <v>-1</v>
      </c>
      <c r="AY285" s="52">
        <f>+IF(AX285&gt;0,FIXED(Fuelbeds_english!AY285*2.54,1,0),AX285)</f>
        <v>-1</v>
      </c>
      <c r="AZ285" s="45">
        <v>1</v>
      </c>
      <c r="BA285" s="36">
        <v>77</v>
      </c>
      <c r="BB285" s="52" t="str">
        <f>+IF(BA285&gt;0,FIXED(Fuelbeds_english!BB285*2.54,1,0),BA285)</f>
        <v>2.2</v>
      </c>
      <c r="BC285" s="45">
        <v>-1</v>
      </c>
      <c r="BD285" s="45">
        <v>-1</v>
      </c>
      <c r="BE285" s="45">
        <v>-1</v>
      </c>
      <c r="BF285" s="45">
        <v>-1</v>
      </c>
      <c r="BG285" s="45">
        <v>100</v>
      </c>
      <c r="BH285" s="45">
        <v>-1</v>
      </c>
      <c r="BI285" s="45">
        <v>-1</v>
      </c>
      <c r="BJ285" s="28">
        <v>-1</v>
      </c>
      <c r="BK285" s="36">
        <v>-1</v>
      </c>
      <c r="BL285" s="52">
        <f>+IF(BK285&gt;0,FIXED(Fuelbeds_english!BL285*2.54,1,0),BK285)</f>
        <v>-1</v>
      </c>
      <c r="BM285" s="36">
        <v>-1</v>
      </c>
      <c r="BN285" s="36">
        <v>-1</v>
      </c>
      <c r="BO285" s="52">
        <f>+IF(BN285&gt;0,FIXED(Fuelbeds_english!BO285*2.54,1,0),BN285)</f>
        <v>-1</v>
      </c>
    </row>
    <row r="286" spans="1:67" s="50" customFormat="1" x14ac:dyDescent="0.25">
      <c r="A286" s="50">
        <v>285</v>
      </c>
      <c r="B286" s="36">
        <v>8133</v>
      </c>
      <c r="C286" s="71">
        <v>8133</v>
      </c>
      <c r="D286" s="36" t="s">
        <v>3</v>
      </c>
      <c r="E286" s="31" t="s">
        <v>405</v>
      </c>
      <c r="F286" s="39">
        <v>-3</v>
      </c>
      <c r="G286" s="45">
        <v>-3</v>
      </c>
      <c r="H286" s="45">
        <f>+IF(F286&gt;0,INT(Fuelbeds_english!H286*2.471),F286)</f>
        <v>-3</v>
      </c>
      <c r="I286" s="36">
        <f>+IF(F286&gt;0,INT(Fuelbeds_english!I286*0.3048),F286)</f>
        <v>-3</v>
      </c>
      <c r="J286" s="45">
        <f>+IF(F286&gt;0,INT(Fuelbeds_english!J286*0.3048),F286)</f>
        <v>-3</v>
      </c>
      <c r="K286" s="45">
        <f>+IF(F286&gt;0,INT(Fuelbeds_english!K286*2.54),F286)</f>
        <v>-3</v>
      </c>
      <c r="L286" s="45">
        <v>-3</v>
      </c>
      <c r="M286" s="45">
        <v>-3</v>
      </c>
      <c r="N286" s="45">
        <v>-3</v>
      </c>
      <c r="O286" s="45">
        <v>-3</v>
      </c>
      <c r="P286" s="45">
        <f>+IF(O286&gt;0,INT(Fuelbeds_english!P286*2.471),O286)</f>
        <v>-3</v>
      </c>
      <c r="Q286" s="36">
        <f>+IF(O286&gt;0,INT(Fuelbeds_english!Q286*0.3048),O286)</f>
        <v>-3</v>
      </c>
      <c r="R286" s="45">
        <f>+IF(O286&gt;0,INT(Fuelbeds_english!R286*0.3048),O286)</f>
        <v>-3</v>
      </c>
      <c r="S286" s="45">
        <f>+IF(O286&gt;0,INT(Fuelbeds_english!S286*2.54),O286)</f>
        <v>-3</v>
      </c>
      <c r="T286" s="45">
        <v>-3</v>
      </c>
      <c r="U286" s="45">
        <v>-3</v>
      </c>
      <c r="V286" s="45">
        <v>-3</v>
      </c>
      <c r="W286" s="45">
        <v>-3</v>
      </c>
      <c r="X286" s="99">
        <v>-3</v>
      </c>
      <c r="Y286" s="29">
        <v>70.59</v>
      </c>
      <c r="Z286" s="88" t="str">
        <f>+IF(Y286&gt;0,FIXED(Fuelbeds_english!Z286*0.3048,1,0),Y286)</f>
        <v>1.5</v>
      </c>
      <c r="AA286" s="46">
        <v>80</v>
      </c>
      <c r="AB286" s="50">
        <v>26417</v>
      </c>
      <c r="AC286" s="50" t="s">
        <v>147</v>
      </c>
      <c r="AD286" s="50">
        <v>100</v>
      </c>
      <c r="AE286" s="42">
        <v>-3</v>
      </c>
      <c r="AF286" s="52">
        <f>+IF(AE286&gt;0,FIXED(Fuelbeds_english!AF286*0.3048,1,0),AE286)</f>
        <v>-3</v>
      </c>
      <c r="AG286" s="45">
        <v>-3</v>
      </c>
      <c r="AH286" s="52">
        <f>+IF(AE286&gt;0,FIXED(Fuelbeds_english!AH286*2.242,1,0),AE286)</f>
        <v>-3</v>
      </c>
      <c r="AI286" s="45">
        <v>-3</v>
      </c>
      <c r="AJ286" s="45">
        <v>-3</v>
      </c>
      <c r="AK286" s="45">
        <v>-3</v>
      </c>
      <c r="AL286" s="34">
        <v>23.14436944444445</v>
      </c>
      <c r="AM286" s="52" t="str">
        <f>+IF(AL286&gt;0,FIXED(Fuelbeds_english!AM286*2.54,1,0),AL286)</f>
        <v>3.8</v>
      </c>
      <c r="AN286" s="52" t="str">
        <f>+IF($AM286&gt;0,FIXED(Fuelbeds_english!AN286*2.242,1,0),$AM286)</f>
        <v>0.9</v>
      </c>
      <c r="AO286" s="52" t="str">
        <f>+IF($AM286&gt;0,FIXED(Fuelbeds_english!AO286*2.242,1,0),$AM286)</f>
        <v>1.7</v>
      </c>
      <c r="AP286" s="52" t="str">
        <f>+IF($AM286&gt;0,FIXED(Fuelbeds_english!AP286*2.242,1,0),$AM286)</f>
        <v>0.7</v>
      </c>
      <c r="AQ286" s="52" t="str">
        <f>+IF($AM286&gt;0,FIXED(Fuelbeds_english!AQ286*2.242,1,0),$AM286)</f>
        <v>0.2</v>
      </c>
      <c r="AR286" s="45">
        <v>26417</v>
      </c>
      <c r="AS286" s="45" t="s">
        <v>147</v>
      </c>
      <c r="AT286" s="45">
        <v>100</v>
      </c>
      <c r="AU286" s="44">
        <v>-1</v>
      </c>
      <c r="AV286" s="52">
        <f>+IF(AU286&gt;0,FIXED(Fuelbeds_english!AV286*2.54,1,0),AU286)</f>
        <v>-1</v>
      </c>
      <c r="AW286" s="52">
        <v>-1</v>
      </c>
      <c r="AX286" s="52">
        <v>-1</v>
      </c>
      <c r="AY286" s="52">
        <f>+IF(AX286&gt;0,FIXED(Fuelbeds_english!AY286*2.54,1,0),AX286)</f>
        <v>-1</v>
      </c>
      <c r="AZ286" s="45">
        <v>1</v>
      </c>
      <c r="BA286" s="36">
        <v>100</v>
      </c>
      <c r="BB286" s="52" t="str">
        <f>+IF(BA286&gt;0,FIXED(Fuelbeds_english!BB286*2.54,1,0),BA286)</f>
        <v>1.9</v>
      </c>
      <c r="BC286" s="45">
        <v>-1</v>
      </c>
      <c r="BD286" s="45">
        <v>-1</v>
      </c>
      <c r="BE286" s="45">
        <v>-1</v>
      </c>
      <c r="BF286" s="45">
        <v>-1</v>
      </c>
      <c r="BG286" s="45">
        <v>100</v>
      </c>
      <c r="BH286" s="45">
        <v>-1</v>
      </c>
      <c r="BI286" s="45">
        <v>-1</v>
      </c>
      <c r="BJ286" s="28">
        <v>-1</v>
      </c>
      <c r="BK286" s="36">
        <v>-1</v>
      </c>
      <c r="BL286" s="52">
        <f>+IF(BK286&gt;0,FIXED(Fuelbeds_english!BL286*2.54,1,0),BK286)</f>
        <v>-1</v>
      </c>
      <c r="BM286" s="36">
        <v>-1</v>
      </c>
      <c r="BN286" s="36">
        <v>-1</v>
      </c>
      <c r="BO286" s="52">
        <f>+IF(BN286&gt;0,FIXED(Fuelbeds_english!BO286*2.54,1,0),BN286)</f>
        <v>-1</v>
      </c>
    </row>
    <row r="287" spans="1:67" s="50" customFormat="1" x14ac:dyDescent="0.25">
      <c r="A287" s="50">
        <v>286</v>
      </c>
      <c r="B287" s="36">
        <v>8140</v>
      </c>
      <c r="C287" s="46">
        <v>8140</v>
      </c>
      <c r="D287" s="36" t="s">
        <v>3</v>
      </c>
      <c r="E287" s="15" t="s">
        <v>14</v>
      </c>
      <c r="F287" s="39">
        <v>-3</v>
      </c>
      <c r="G287" s="45">
        <v>-3</v>
      </c>
      <c r="H287" s="45">
        <f>+IF(F287&gt;0,INT(Fuelbeds_english!H287*2.471),F287)</f>
        <v>-3</v>
      </c>
      <c r="I287" s="36">
        <f>+IF(F287&gt;0,INT(Fuelbeds_english!I287*0.3048),F287)</f>
        <v>-3</v>
      </c>
      <c r="J287" s="45">
        <f>+IF(F287&gt;0,INT(Fuelbeds_english!J287*0.3048),F287)</f>
        <v>-3</v>
      </c>
      <c r="K287" s="45">
        <f>+IF(F287&gt;0,INT(Fuelbeds_english!K287*2.54),F287)</f>
        <v>-3</v>
      </c>
      <c r="L287" s="45">
        <v>-3</v>
      </c>
      <c r="M287" s="45">
        <v>-3</v>
      </c>
      <c r="N287" s="45">
        <v>-3</v>
      </c>
      <c r="O287" s="45">
        <v>-3</v>
      </c>
      <c r="P287" s="45">
        <f>+IF(O287&gt;0,INT(Fuelbeds_english!P287*2.471),O287)</f>
        <v>-3</v>
      </c>
      <c r="Q287" s="36">
        <f>+IF(O287&gt;0,INT(Fuelbeds_english!Q287*0.3048),O287)</f>
        <v>-3</v>
      </c>
      <c r="R287" s="45">
        <f>+IF(O287&gt;0,INT(Fuelbeds_english!R287*0.3048),O287)</f>
        <v>-3</v>
      </c>
      <c r="S287" s="45">
        <f>+IF(O287&gt;0,INT(Fuelbeds_english!S287*2.54),O287)</f>
        <v>-3</v>
      </c>
      <c r="T287" s="45">
        <v>-3</v>
      </c>
      <c r="U287" s="45">
        <v>-3</v>
      </c>
      <c r="V287" s="45">
        <v>-3</v>
      </c>
      <c r="W287" s="45">
        <v>-3</v>
      </c>
      <c r="X287" s="99">
        <v>-3</v>
      </c>
      <c r="Y287" s="81">
        <v>-3</v>
      </c>
      <c r="Z287" s="88">
        <f>+IF(Y287&gt;0,FIXED(Fuelbeds_english!Z287*0.3048,1,0),Y287)</f>
        <v>-3</v>
      </c>
      <c r="AA287" s="48">
        <v>-3</v>
      </c>
      <c r="AB287" s="10">
        <v>-3</v>
      </c>
      <c r="AC287" s="10">
        <v>-3</v>
      </c>
      <c r="AD287" s="10">
        <v>-3</v>
      </c>
      <c r="AE287" s="42">
        <v>57</v>
      </c>
      <c r="AF287" s="52" t="str">
        <f>+IF(AE287&gt;0,FIXED(Fuelbeds_english!AF287*0.3048,1,0),AE287)</f>
        <v>0.6</v>
      </c>
      <c r="AG287" s="45">
        <v>80</v>
      </c>
      <c r="AH287" s="52" t="str">
        <f>+IF(AE287&gt;0,FIXED(Fuelbeds_english!AH287*2.242,1,0),AE287)</f>
        <v>2.4</v>
      </c>
      <c r="AI287" s="45">
        <v>39369</v>
      </c>
      <c r="AJ287" s="45" t="s">
        <v>391</v>
      </c>
      <c r="AK287" s="45">
        <v>100</v>
      </c>
      <c r="AL287" s="34">
        <v>-3</v>
      </c>
      <c r="AM287" s="52">
        <f>+IF(AL287&gt;0,FIXED(Fuelbeds_english!AM287*2.54,1,0),AL287)</f>
        <v>-3</v>
      </c>
      <c r="AN287" s="52">
        <f>+IF(AM287&gt;0,FIXED(Fuelbeds_english!AN287*0.3048,1,0),AM287)</f>
        <v>-3</v>
      </c>
      <c r="AO287" s="52">
        <f>+IF(AN287&gt;0,FIXED(Fuelbeds_english!AO287*0.3048,1,0),AN287)</f>
        <v>-3</v>
      </c>
      <c r="AP287" s="52">
        <f>+IF(AO287&gt;0,FIXED(Fuelbeds_english!AP287*0.3048,1,0),AO287)</f>
        <v>-3</v>
      </c>
      <c r="AQ287" s="52">
        <f>+IF(AP287&gt;0,FIXED(Fuelbeds_english!AQ287*0.3048,1,0),AP287)</f>
        <v>-3</v>
      </c>
      <c r="AR287" s="36">
        <v>-3</v>
      </c>
      <c r="AS287" s="36">
        <v>-3</v>
      </c>
      <c r="AT287" s="36">
        <v>-3</v>
      </c>
      <c r="AU287" s="44">
        <v>-1</v>
      </c>
      <c r="AV287" s="52">
        <f>+IF(AU287&gt;0,FIXED(Fuelbeds_english!AV287*2.54,1,0),AU287)</f>
        <v>-1</v>
      </c>
      <c r="AW287" s="52">
        <v>-1</v>
      </c>
      <c r="AX287" s="52">
        <v>-1</v>
      </c>
      <c r="AY287" s="52">
        <f>+IF(AX287&gt;0,FIXED(Fuelbeds_english!AY287*2.54,1,0),AX287)</f>
        <v>-1</v>
      </c>
      <c r="AZ287" s="45">
        <v>1</v>
      </c>
      <c r="BA287" s="36">
        <v>37</v>
      </c>
      <c r="BB287" s="52" t="str">
        <f>+IF(BA287&gt;0,FIXED(Fuelbeds_english!BB287*2.54,1,0),BA287)</f>
        <v>1.8</v>
      </c>
      <c r="BC287" s="45">
        <v>-1</v>
      </c>
      <c r="BD287" s="45">
        <v>-1</v>
      </c>
      <c r="BE287" s="45">
        <v>-1</v>
      </c>
      <c r="BF287" s="45">
        <v>-1</v>
      </c>
      <c r="BG287" s="45">
        <v>-1</v>
      </c>
      <c r="BH287" s="45">
        <v>-1</v>
      </c>
      <c r="BI287" s="45">
        <v>100</v>
      </c>
      <c r="BJ287" s="28">
        <v>-1</v>
      </c>
      <c r="BK287" s="36">
        <v>-1</v>
      </c>
      <c r="BL287" s="52">
        <f>+IF(BK287&gt;0,FIXED(Fuelbeds_english!BL287*2.54,1,0),BK287)</f>
        <v>-1</v>
      </c>
      <c r="BM287" s="36">
        <v>-1</v>
      </c>
      <c r="BN287" s="36">
        <v>-1</v>
      </c>
      <c r="BO287" s="52">
        <f>+IF(BN287&gt;0,FIXED(Fuelbeds_english!BO287*2.54,1,0),BN287)</f>
        <v>-1</v>
      </c>
    </row>
    <row r="288" spans="1:67" s="50" customFormat="1" x14ac:dyDescent="0.25">
      <c r="A288" s="50">
        <v>287</v>
      </c>
      <c r="B288" s="36">
        <v>8150</v>
      </c>
      <c r="C288" s="46">
        <v>8150</v>
      </c>
      <c r="D288" s="36" t="s">
        <v>3</v>
      </c>
      <c r="E288" s="18" t="s">
        <v>15</v>
      </c>
      <c r="F288" s="39">
        <v>-3</v>
      </c>
      <c r="G288" s="45">
        <v>-3</v>
      </c>
      <c r="H288" s="45">
        <f>+IF(F288&gt;0,INT(Fuelbeds_english!H288*2.471),F288)</f>
        <v>-3</v>
      </c>
      <c r="I288" s="36">
        <f>+IF(F288&gt;0,INT(Fuelbeds_english!I288*0.3048),F288)</f>
        <v>-3</v>
      </c>
      <c r="J288" s="45">
        <f>+IF(F288&gt;0,INT(Fuelbeds_english!J288*0.3048),F288)</f>
        <v>-3</v>
      </c>
      <c r="K288" s="45">
        <f>+IF(F288&gt;0,INT(Fuelbeds_english!K288*2.54),F288)</f>
        <v>-3</v>
      </c>
      <c r="L288" s="45">
        <v>-3</v>
      </c>
      <c r="M288" s="45">
        <v>-3</v>
      </c>
      <c r="N288" s="45">
        <v>-3</v>
      </c>
      <c r="O288" s="45">
        <v>-3</v>
      </c>
      <c r="P288" s="45">
        <f>+IF(O288&gt;0,INT(Fuelbeds_english!P288*2.471),O288)</f>
        <v>-3</v>
      </c>
      <c r="Q288" s="36">
        <f>+IF(O288&gt;0,INT(Fuelbeds_english!Q288*0.3048),O288)</f>
        <v>-3</v>
      </c>
      <c r="R288" s="45">
        <f>+IF(O288&gt;0,INT(Fuelbeds_english!R288*0.3048),O288)</f>
        <v>-3</v>
      </c>
      <c r="S288" s="45">
        <f>+IF(O288&gt;0,INT(Fuelbeds_english!S288*2.54),O288)</f>
        <v>-3</v>
      </c>
      <c r="T288" s="45">
        <v>-3</v>
      </c>
      <c r="U288" s="45">
        <v>-3</v>
      </c>
      <c r="V288" s="45">
        <v>-3</v>
      </c>
      <c r="W288" s="45">
        <v>-3</v>
      </c>
      <c r="X288" s="99">
        <v>-3</v>
      </c>
      <c r="Y288" s="29">
        <v>7</v>
      </c>
      <c r="Z288" s="88" t="str">
        <f>+IF(Y288&gt;0,FIXED(Fuelbeds_english!Z288*0.3048,1,0),Y288)</f>
        <v>0.6</v>
      </c>
      <c r="AA288" s="46">
        <v>75</v>
      </c>
      <c r="AB288" s="50">
        <v>29051</v>
      </c>
      <c r="AC288" s="50" t="s">
        <v>152</v>
      </c>
      <c r="AD288" s="50">
        <v>100</v>
      </c>
      <c r="AE288" s="42">
        <v>8</v>
      </c>
      <c r="AF288" s="52" t="str">
        <f>+IF(AE288&gt;0,FIXED(Fuelbeds_english!AF288*0.3048,1,0),AE288)</f>
        <v>0.6</v>
      </c>
      <c r="AG288" s="45">
        <v>80</v>
      </c>
      <c r="AH288" s="52" t="str">
        <f>+IF(AE288&gt;0,FIXED(Fuelbeds_english!AH288*2.242,1,0),AE288)</f>
        <v>0.3</v>
      </c>
      <c r="AI288" s="45">
        <v>39369</v>
      </c>
      <c r="AJ288" s="45" t="s">
        <v>391</v>
      </c>
      <c r="AK288" s="45">
        <v>100</v>
      </c>
      <c r="AL288" s="34">
        <v>-1</v>
      </c>
      <c r="AM288" s="52">
        <f>+IF(AL288&gt;0,FIXED(Fuelbeds_english!AM288*2.54,1,0),AL288)</f>
        <v>-1</v>
      </c>
      <c r="AN288" s="52">
        <f>+IF(AM288&gt;0,FIXED(Fuelbeds_english!AN288*0.3048,1,0),AM288)</f>
        <v>-1</v>
      </c>
      <c r="AO288" s="52">
        <f>+IF(AN288&gt;0,FIXED(Fuelbeds_english!AO288*0.3048,1,0),AN288)</f>
        <v>-1</v>
      </c>
      <c r="AP288" s="52">
        <f>+IF(AO288&gt;0,FIXED(Fuelbeds_english!AP288*0.3048,1,0),AO288)</f>
        <v>-1</v>
      </c>
      <c r="AQ288" s="52">
        <f>+IF(AP288&gt;0,FIXED(Fuelbeds_english!AQ288*0.3048,1,0),AP288)</f>
        <v>-1</v>
      </c>
      <c r="AR288" s="36">
        <v>-1</v>
      </c>
      <c r="AS288" s="36">
        <v>-1</v>
      </c>
      <c r="AT288" s="36">
        <v>-1</v>
      </c>
      <c r="AU288" s="44">
        <v>-1</v>
      </c>
      <c r="AV288" s="52">
        <f>+IF(AU288&gt;0,FIXED(Fuelbeds_english!AV288*2.54,1,0),AU288)</f>
        <v>-1</v>
      </c>
      <c r="AW288" s="52">
        <v>-1</v>
      </c>
      <c r="AX288" s="52">
        <v>-1</v>
      </c>
      <c r="AY288" s="52">
        <f>+IF(AX288&gt;0,FIXED(Fuelbeds_english!AY288*2.54,1,0),AX288)</f>
        <v>-1</v>
      </c>
      <c r="AZ288" s="36">
        <v>-1</v>
      </c>
      <c r="BA288" s="36">
        <v>-1</v>
      </c>
      <c r="BB288" s="52">
        <f>+IF(BA288&gt;0,FIXED(Fuelbeds_english!BB288*2.54,1,0),BA288)</f>
        <v>-1</v>
      </c>
      <c r="BC288" s="36">
        <v>-1</v>
      </c>
      <c r="BD288" s="36">
        <v>-1</v>
      </c>
      <c r="BE288" s="36">
        <v>-1</v>
      </c>
      <c r="BF288" s="36">
        <v>-1</v>
      </c>
      <c r="BG288" s="36">
        <v>-1</v>
      </c>
      <c r="BH288" s="36">
        <v>-1</v>
      </c>
      <c r="BI288" s="36">
        <v>-1</v>
      </c>
      <c r="BJ288" s="28">
        <v>-1</v>
      </c>
      <c r="BK288" s="36">
        <v>-1</v>
      </c>
      <c r="BL288" s="52">
        <f>+IF(BK288&gt;0,FIXED(Fuelbeds_english!BL288*2.54,1,0),BK288)</f>
        <v>-1</v>
      </c>
      <c r="BM288" s="36">
        <v>-1</v>
      </c>
      <c r="BN288" s="36">
        <v>-1</v>
      </c>
      <c r="BO288" s="52">
        <f>+IF(BN288&gt;0,FIXED(Fuelbeds_english!BO288*2.54,1,0),BN288)</f>
        <v>-1</v>
      </c>
    </row>
    <row r="289" spans="1:67" s="50" customFormat="1" x14ac:dyDescent="0.25">
      <c r="A289" s="50">
        <v>288</v>
      </c>
      <c r="B289" s="36">
        <v>8180</v>
      </c>
      <c r="C289" s="46">
        <v>8180</v>
      </c>
      <c r="D289" s="36" t="s">
        <v>3</v>
      </c>
      <c r="E289" s="16" t="s">
        <v>13</v>
      </c>
      <c r="F289" s="39">
        <v>-3</v>
      </c>
      <c r="G289" s="45">
        <v>-3</v>
      </c>
      <c r="H289" s="45">
        <f>+IF(F289&gt;0,INT(Fuelbeds_english!H289*2.471),F289)</f>
        <v>-3</v>
      </c>
      <c r="I289" s="36">
        <f>+IF(F289&gt;0,INT(Fuelbeds_english!I289*0.3048),F289)</f>
        <v>-3</v>
      </c>
      <c r="J289" s="45">
        <f>+IF(F289&gt;0,INT(Fuelbeds_english!J289*0.3048),F289)</f>
        <v>-3</v>
      </c>
      <c r="K289" s="45">
        <f>+IF(F289&gt;0,INT(Fuelbeds_english!K289*2.54),F289)</f>
        <v>-3</v>
      </c>
      <c r="L289" s="45">
        <v>-3</v>
      </c>
      <c r="M289" s="45">
        <v>-3</v>
      </c>
      <c r="N289" s="45">
        <v>-3</v>
      </c>
      <c r="O289" s="45">
        <v>-3</v>
      </c>
      <c r="P289" s="45">
        <f>+IF(O289&gt;0,INT(Fuelbeds_english!P289*2.471),O289)</f>
        <v>-3</v>
      </c>
      <c r="Q289" s="36">
        <f>+IF(O289&gt;0,INT(Fuelbeds_english!Q289*0.3048),O289)</f>
        <v>-3</v>
      </c>
      <c r="R289" s="45">
        <f>+IF(O289&gt;0,INT(Fuelbeds_english!R289*0.3048),O289)</f>
        <v>-3</v>
      </c>
      <c r="S289" s="45">
        <f>+IF(O289&gt;0,INT(Fuelbeds_english!S289*2.54),O289)</f>
        <v>-3</v>
      </c>
      <c r="T289" s="45">
        <v>-3</v>
      </c>
      <c r="U289" s="45">
        <v>-3</v>
      </c>
      <c r="V289" s="45">
        <v>-3</v>
      </c>
      <c r="W289" s="45">
        <v>-3</v>
      </c>
      <c r="X289" s="99">
        <v>-3</v>
      </c>
      <c r="Y289" s="29">
        <v>15.71667476</v>
      </c>
      <c r="Z289" s="88" t="str">
        <f>+IF(Y289&gt;0,FIXED(Fuelbeds_english!Z289*0.3048,1,0),Y289)</f>
        <v>0.8</v>
      </c>
      <c r="AA289" s="46">
        <v>80</v>
      </c>
      <c r="AB289" s="50">
        <v>565123</v>
      </c>
      <c r="AC289" s="50" t="s">
        <v>392</v>
      </c>
      <c r="AD289" s="50">
        <v>100</v>
      </c>
      <c r="AE289" s="42">
        <v>49</v>
      </c>
      <c r="AF289" s="52" t="str">
        <f>+IF(AE289&gt;0,FIXED(Fuelbeds_english!AF289*0.3048,1,0),AE289)</f>
        <v>1.3</v>
      </c>
      <c r="AG289" s="45">
        <v>70</v>
      </c>
      <c r="AH289" s="52" t="str">
        <f>+IF(AE289&gt;0,FIXED(Fuelbeds_english!AH289*2.242,1,0),AE289)</f>
        <v>2.3</v>
      </c>
      <c r="AI289" s="45">
        <v>40544</v>
      </c>
      <c r="AJ289" s="45" t="s">
        <v>363</v>
      </c>
      <c r="AK289" s="45">
        <v>100</v>
      </c>
      <c r="AL289" s="34">
        <v>-1</v>
      </c>
      <c r="AM289" s="52">
        <f>+IF(AL289&gt;0,FIXED(Fuelbeds_english!AM289*2.54,1,0),AL289)</f>
        <v>-1</v>
      </c>
      <c r="AN289" s="52">
        <f>+IF(AM289&gt;0,FIXED(Fuelbeds_english!AN289*0.3048,1,0),AM289)</f>
        <v>-1</v>
      </c>
      <c r="AO289" s="52">
        <f>+IF(AN289&gt;0,FIXED(Fuelbeds_english!AO289*0.3048,1,0),AN289)</f>
        <v>-1</v>
      </c>
      <c r="AP289" s="52">
        <f>+IF(AO289&gt;0,FIXED(Fuelbeds_english!AP289*0.3048,1,0),AO289)</f>
        <v>-1</v>
      </c>
      <c r="AQ289" s="52">
        <f>+IF(AP289&gt;0,FIXED(Fuelbeds_english!AQ289*0.3048,1,0),AP289)</f>
        <v>-1</v>
      </c>
      <c r="AR289" s="36">
        <v>-1</v>
      </c>
      <c r="AS289" s="36">
        <v>-1</v>
      </c>
      <c r="AT289" s="36">
        <v>-1</v>
      </c>
      <c r="AU289" s="44">
        <v>-1</v>
      </c>
      <c r="AV289" s="52">
        <f>+IF(AU289&gt;0,FIXED(Fuelbeds_english!AV289*2.54,1,0),AU289)</f>
        <v>-1</v>
      </c>
      <c r="AW289" s="88">
        <v>1</v>
      </c>
      <c r="AX289" s="88">
        <v>9</v>
      </c>
      <c r="AY289" s="52" t="str">
        <f>+IF(AX289&gt;0,FIXED(Fuelbeds_english!AY289*2.54,1,0),AX289)</f>
        <v>1.1</v>
      </c>
      <c r="AZ289" s="45">
        <v>1</v>
      </c>
      <c r="BA289" s="36">
        <v>72</v>
      </c>
      <c r="BB289" s="52" t="str">
        <f>+IF(BA289&gt;0,FIXED(Fuelbeds_english!BB289*2.54,1,0),BA289)</f>
        <v>2.5</v>
      </c>
      <c r="BC289" s="45">
        <v>-1</v>
      </c>
      <c r="BD289" s="45">
        <v>-1</v>
      </c>
      <c r="BE289" s="45">
        <v>-1</v>
      </c>
      <c r="BF289" s="45">
        <v>25</v>
      </c>
      <c r="BG289" s="45">
        <v>-1</v>
      </c>
      <c r="BH289" s="45">
        <v>-1</v>
      </c>
      <c r="BI289" s="45">
        <v>75</v>
      </c>
      <c r="BJ289" s="28">
        <v>2</v>
      </c>
      <c r="BK289" s="36">
        <v>50</v>
      </c>
      <c r="BL289" s="52" t="str">
        <f>+IF(BK289&gt;0,FIXED(Fuelbeds_english!BL289*2.54,1,0),BK289)</f>
        <v>1.8</v>
      </c>
      <c r="BM289" s="45">
        <v>4</v>
      </c>
      <c r="BN289" s="36">
        <v>38</v>
      </c>
      <c r="BO289" s="52" t="str">
        <f>+IF(BN289&gt;0,FIXED(Fuelbeds_english!BO289*2.54,1,0),BN289)</f>
        <v>2.3</v>
      </c>
    </row>
    <row r="290" spans="1:67" s="50" customFormat="1" x14ac:dyDescent="0.25">
      <c r="A290" s="50">
        <v>289</v>
      </c>
      <c r="B290" s="36">
        <v>11061</v>
      </c>
      <c r="C290" s="46">
        <v>11061</v>
      </c>
      <c r="D290" s="22" t="s">
        <v>205</v>
      </c>
      <c r="E290" s="11" t="s">
        <v>16</v>
      </c>
      <c r="F290" s="39">
        <v>21.3</v>
      </c>
      <c r="G290" s="36">
        <v>21.3</v>
      </c>
      <c r="H290" s="45">
        <f>+IF(F290&gt;0,INT(Fuelbeds_english!H290*2.471),F290)</f>
        <v>543</v>
      </c>
      <c r="I290" s="36">
        <f>+IF(F290&gt;0,INT(Fuelbeds_english!I290*0.3048),F290)</f>
        <v>14</v>
      </c>
      <c r="J290" s="45">
        <f>+IF(F290&gt;0,INT(Fuelbeds_english!J290*0.3048),F290)</f>
        <v>7</v>
      </c>
      <c r="K290" s="45">
        <f>+IF(F290&gt;0,INT(Fuelbeds_english!K290*2.54),F290)</f>
        <v>15</v>
      </c>
      <c r="L290" s="36">
        <v>19478</v>
      </c>
      <c r="M290" s="36" t="s">
        <v>352</v>
      </c>
      <c r="N290" s="36">
        <v>100</v>
      </c>
      <c r="O290" s="36">
        <v>-1</v>
      </c>
      <c r="P290" s="45">
        <f>+IF(O290&gt;0,INT(Fuelbeds_english!P290*2.471),O290)</f>
        <v>-1</v>
      </c>
      <c r="Q290" s="36">
        <f>+IF(O290&gt;0,INT(Fuelbeds_english!Q290*0.3048),O290)</f>
        <v>-1</v>
      </c>
      <c r="R290" s="45">
        <f>+IF(O290&gt;0,INT(Fuelbeds_english!R290*0.3048),O290)</f>
        <v>-1</v>
      </c>
      <c r="S290" s="45">
        <f>+IF(O290&gt;0,INT(Fuelbeds_english!S290*2.54),O290)</f>
        <v>-1</v>
      </c>
      <c r="T290" s="36">
        <v>-1</v>
      </c>
      <c r="U290" s="36">
        <v>-1</v>
      </c>
      <c r="V290" s="36">
        <v>-1</v>
      </c>
      <c r="W290" s="36">
        <v>-1</v>
      </c>
      <c r="X290" s="98">
        <v>-1</v>
      </c>
      <c r="Y290" s="29">
        <v>6</v>
      </c>
      <c r="Z290" s="88" t="str">
        <f>+IF(Y290&gt;0,FIXED(Fuelbeds_english!Z290*0.3048,1,0),Y290)</f>
        <v>3.0</v>
      </c>
      <c r="AA290" s="36">
        <v>90</v>
      </c>
      <c r="AB290" s="45">
        <v>22476</v>
      </c>
      <c r="AC290" s="45" t="s">
        <v>157</v>
      </c>
      <c r="AD290" s="45">
        <v>100</v>
      </c>
      <c r="AE290" s="42">
        <v>76</v>
      </c>
      <c r="AF290" s="52" t="str">
        <f>+IF(AE290&gt;0,FIXED(Fuelbeds_english!AF290*0.3048,1,0),AE290)</f>
        <v>0.3</v>
      </c>
      <c r="AG290" s="36">
        <v>80</v>
      </c>
      <c r="AH290" s="52" t="str">
        <f>+IF(AE290&gt;0,FIXED(Fuelbeds_english!AH290*2.242,1,0),AE290)</f>
        <v>0.3</v>
      </c>
      <c r="AI290" s="45">
        <v>40529</v>
      </c>
      <c r="AJ290" s="45" t="s">
        <v>356</v>
      </c>
      <c r="AK290" s="45">
        <v>100</v>
      </c>
      <c r="AL290" s="34">
        <v>4.4000000000000004</v>
      </c>
      <c r="AM290" s="52" t="str">
        <f>+IF(AL290&gt;0,FIXED(Fuelbeds_english!AM290*2.54,1,0),AL290)</f>
        <v>1.9</v>
      </c>
      <c r="AN290" s="52" t="str">
        <f>+IF($AM290&gt;0,FIXED(Fuelbeds_english!AN290*2.242,1,0),$AM290)</f>
        <v>0.2</v>
      </c>
      <c r="AO290" s="52" t="str">
        <f>+IF($AM290&gt;0,FIXED(Fuelbeds_english!AO290*2.242,1,0),$AM290)</f>
        <v>0.2</v>
      </c>
      <c r="AP290" s="52" t="str">
        <f>+IF($AM290&gt;0,FIXED(Fuelbeds_english!AP290*2.242,1,0),$AM290)</f>
        <v>0.8</v>
      </c>
      <c r="AQ290" s="52" t="str">
        <f>+IF($AM290&gt;0,FIXED(Fuelbeds_english!AQ290*2.242,1,0),$AM290)</f>
        <v>1.6</v>
      </c>
      <c r="AR290" s="36">
        <v>19478</v>
      </c>
      <c r="AS290" s="36" t="s">
        <v>352</v>
      </c>
      <c r="AT290" s="36">
        <v>100</v>
      </c>
      <c r="AU290" s="44">
        <v>-1</v>
      </c>
      <c r="AV290" s="52">
        <f>+IF(AU290&gt;0,FIXED(Fuelbeds_english!AV290*2.54,1,0),AU290)</f>
        <v>-1</v>
      </c>
      <c r="AW290" s="52">
        <v>2</v>
      </c>
      <c r="AX290" s="52">
        <v>12.5</v>
      </c>
      <c r="AY290" s="52" t="str">
        <f>+IF(AX290&gt;0,FIXED(Fuelbeds_english!AY290*2.54,1,0),AX290)</f>
        <v>5.1</v>
      </c>
      <c r="AZ290" s="45">
        <v>1</v>
      </c>
      <c r="BA290" s="36">
        <v>25</v>
      </c>
      <c r="BB290" s="52" t="str">
        <f>+IF(BA290&gt;0,FIXED(Fuelbeds_english!BB290*2.54,1,0),BA290)</f>
        <v>5.1</v>
      </c>
      <c r="BC290" s="36">
        <v>-1</v>
      </c>
      <c r="BD290" s="36">
        <v>-1</v>
      </c>
      <c r="BE290" s="36">
        <v>-1</v>
      </c>
      <c r="BF290" s="36">
        <v>100</v>
      </c>
      <c r="BG290" s="36">
        <v>-1</v>
      </c>
      <c r="BH290" s="36">
        <v>-1</v>
      </c>
      <c r="BI290" s="36">
        <v>-1</v>
      </c>
      <c r="BJ290" s="28">
        <v>1</v>
      </c>
      <c r="BK290" s="36">
        <v>26.4</v>
      </c>
      <c r="BL290" s="52" t="str">
        <f>+IF(BK290&gt;0,FIXED(Fuelbeds_english!BL290*2.54,1,0),BK290)</f>
        <v>6.4</v>
      </c>
      <c r="BM290" s="45">
        <v>3</v>
      </c>
      <c r="BN290" s="36">
        <v>26.4</v>
      </c>
      <c r="BO290" s="52" t="str">
        <f>+IF(BN290&gt;0,FIXED(Fuelbeds_english!BO290*2.54,1,0),BN290)</f>
        <v>2.5</v>
      </c>
    </row>
    <row r="291" spans="1:67" s="50" customFormat="1" x14ac:dyDescent="0.25">
      <c r="A291" s="50">
        <v>290</v>
      </c>
      <c r="B291" s="52" t="s">
        <v>316</v>
      </c>
      <c r="C291" s="68">
        <v>9111091</v>
      </c>
      <c r="D291" s="22" t="s">
        <v>205</v>
      </c>
      <c r="E291" s="24" t="s">
        <v>353</v>
      </c>
      <c r="F291" s="39">
        <v>15.5</v>
      </c>
      <c r="G291" s="36">
        <v>15.5</v>
      </c>
      <c r="H291" s="45">
        <f>+IF(F291&gt;0,INT(Fuelbeds_english!H291*2.471),F291)</f>
        <v>497</v>
      </c>
      <c r="I291" s="36">
        <f>+IF(F291&gt;0,INT(Fuelbeds_english!I291*0.3048),F291)</f>
        <v>14</v>
      </c>
      <c r="J291" s="45">
        <f>+IF(F291&gt;0,INT(Fuelbeds_english!J291*0.3048),F291)</f>
        <v>3</v>
      </c>
      <c r="K291" s="45">
        <f>+IF(F291&gt;0,INT(Fuelbeds_english!K291*2.54),F291)</f>
        <v>10</v>
      </c>
      <c r="L291" s="36">
        <v>18033</v>
      </c>
      <c r="M291" s="36" t="s">
        <v>355</v>
      </c>
      <c r="N291" s="36">
        <v>100</v>
      </c>
      <c r="O291" s="36">
        <v>-1</v>
      </c>
      <c r="P291" s="45">
        <f>+IF(O291&gt;0,INT(Fuelbeds_english!P291*2.471),O291)</f>
        <v>-1</v>
      </c>
      <c r="Q291" s="36">
        <f>+IF(O291&gt;0,INT(Fuelbeds_english!Q291*0.3048),O291)</f>
        <v>-1</v>
      </c>
      <c r="R291" s="45">
        <f>+IF(O291&gt;0,INT(Fuelbeds_english!R291*0.3048),O291)</f>
        <v>-1</v>
      </c>
      <c r="S291" s="45">
        <f>+IF(O291&gt;0,INT(Fuelbeds_english!S291*2.54),O291)</f>
        <v>-1</v>
      </c>
      <c r="T291" s="36">
        <v>-1</v>
      </c>
      <c r="U291" s="36">
        <v>-1</v>
      </c>
      <c r="V291" s="36">
        <v>-1</v>
      </c>
      <c r="W291" s="36">
        <v>1</v>
      </c>
      <c r="X291" s="98">
        <v>2</v>
      </c>
      <c r="Y291" s="29">
        <v>10</v>
      </c>
      <c r="Z291" s="88" t="str">
        <f>+IF(Y291&gt;0,FIXED(Fuelbeds_english!Z291*0.3048,1,0),Y291)</f>
        <v>0.9</v>
      </c>
      <c r="AA291" s="46">
        <v>90</v>
      </c>
      <c r="AB291" s="50">
        <v>19479</v>
      </c>
      <c r="AC291" s="50" t="s">
        <v>357</v>
      </c>
      <c r="AD291" s="50">
        <v>100</v>
      </c>
      <c r="AE291" s="42">
        <v>22</v>
      </c>
      <c r="AF291" s="52" t="str">
        <f>+IF(AE291&gt;0,FIXED(Fuelbeds_english!AF291*0.3048,1,0),AE291)</f>
        <v>0.4</v>
      </c>
      <c r="AG291" s="36">
        <v>80</v>
      </c>
      <c r="AH291" s="52" t="str">
        <f>+IF(AE291&gt;0,FIXED(Fuelbeds_english!AH291*2.242,1,0),AE291)</f>
        <v>0.8</v>
      </c>
      <c r="AI291" s="45">
        <v>40529</v>
      </c>
      <c r="AJ291" s="45" t="s">
        <v>356</v>
      </c>
      <c r="AK291" s="45">
        <v>100</v>
      </c>
      <c r="AL291" s="34">
        <v>11</v>
      </c>
      <c r="AM291" s="52" t="str">
        <f>+IF(AL291&gt;0,FIXED(Fuelbeds_english!AM291*2.54,1,0),AL291)</f>
        <v>4.7</v>
      </c>
      <c r="AN291" s="52" t="str">
        <f>+IF($AM291&gt;0,FIXED(Fuelbeds_english!AN291*2.242,1,0),$AM291)</f>
        <v>0.3</v>
      </c>
      <c r="AO291" s="52" t="str">
        <f>+IF($AM291&gt;0,FIXED(Fuelbeds_english!AO291*2.242,1,0),$AM291)</f>
        <v>0.5</v>
      </c>
      <c r="AP291" s="52" t="str">
        <f>+IF($AM291&gt;0,FIXED(Fuelbeds_english!AP291*2.242,1,0),$AM291)</f>
        <v>1.4</v>
      </c>
      <c r="AQ291" s="52" t="str">
        <f>+IF($AM291&gt;0,FIXED(Fuelbeds_english!AQ291*2.242,1,0),$AM291)</f>
        <v>4.0</v>
      </c>
      <c r="AR291" s="36">
        <v>18033</v>
      </c>
      <c r="AS291" s="36" t="s">
        <v>355</v>
      </c>
      <c r="AT291" s="36">
        <v>100</v>
      </c>
      <c r="AU291" s="44">
        <v>14</v>
      </c>
      <c r="AV291" s="52" t="str">
        <f>+IF(AU291&gt;0,FIXED(Fuelbeds_english!AV291*2.54,1,0),AU291)</f>
        <v>5.1</v>
      </c>
      <c r="AW291" s="88">
        <v>2</v>
      </c>
      <c r="AX291" s="52">
        <v>64</v>
      </c>
      <c r="AY291" s="52" t="str">
        <f>+IF(AX291&gt;0,FIXED(Fuelbeds_english!AY291*2.54,1,0),AX291)</f>
        <v>17.3</v>
      </c>
      <c r="AZ291" s="45">
        <v>1</v>
      </c>
      <c r="BA291" s="36">
        <v>5.3</v>
      </c>
      <c r="BB291" s="52" t="str">
        <f>+IF(BA291&gt;0,FIXED(Fuelbeds_english!BB291*2.54,1,0),BA291)</f>
        <v>1.8</v>
      </c>
      <c r="BC291" s="45">
        <v>-1</v>
      </c>
      <c r="BD291" s="45">
        <v>-1</v>
      </c>
      <c r="BE291" s="45">
        <v>100</v>
      </c>
      <c r="BF291" s="45">
        <v>-1</v>
      </c>
      <c r="BG291" s="45">
        <v>-1</v>
      </c>
      <c r="BH291" s="45">
        <v>-1</v>
      </c>
      <c r="BI291" s="45">
        <v>-1</v>
      </c>
      <c r="BJ291" s="28">
        <v>1</v>
      </c>
      <c r="BK291" s="36">
        <v>40</v>
      </c>
      <c r="BL291" s="52" t="str">
        <f>+IF(BK291&gt;0,FIXED(Fuelbeds_english!BL291*2.54,1,0),BK291)</f>
        <v>17.0</v>
      </c>
      <c r="BM291" s="45">
        <v>3</v>
      </c>
      <c r="BN291" s="36">
        <v>33</v>
      </c>
      <c r="BO291" s="52" t="str">
        <f>+IF(BN291&gt;0,FIXED(Fuelbeds_english!BO291*2.54,1,0),BN291)</f>
        <v>12.7</v>
      </c>
    </row>
    <row r="292" spans="1:67" s="50" customFormat="1" x14ac:dyDescent="0.25">
      <c r="A292" s="50">
        <v>291</v>
      </c>
      <c r="B292" s="52" t="s">
        <v>317</v>
      </c>
      <c r="C292" s="68">
        <v>9211091</v>
      </c>
      <c r="D292" s="22" t="s">
        <v>205</v>
      </c>
      <c r="E292" s="24" t="s">
        <v>353</v>
      </c>
      <c r="F292" s="39">
        <v>53.6</v>
      </c>
      <c r="G292" s="36">
        <v>53.6</v>
      </c>
      <c r="H292" s="45">
        <f>+IF(F292&gt;0,INT(Fuelbeds_english!H292*2.471),F292)</f>
        <v>1720</v>
      </c>
      <c r="I292" s="36">
        <f>+IF(F292&gt;0,INT(Fuelbeds_english!I292*0.3048),F292)</f>
        <v>17</v>
      </c>
      <c r="J292" s="45">
        <f>+IF(F292&gt;0,INT(Fuelbeds_english!J292*0.3048),F292)</f>
        <v>4</v>
      </c>
      <c r="K292" s="45">
        <f>+IF(F292&gt;0,INT(Fuelbeds_english!K292*2.54),F292)</f>
        <v>15</v>
      </c>
      <c r="L292" s="36">
        <v>18033</v>
      </c>
      <c r="M292" s="36" t="s">
        <v>355</v>
      </c>
      <c r="N292" s="36">
        <v>100</v>
      </c>
      <c r="O292" s="36">
        <v>-1</v>
      </c>
      <c r="P292" s="45">
        <f>+IF(O292&gt;0,INT(Fuelbeds_english!P292*2.471),O292)</f>
        <v>-1</v>
      </c>
      <c r="Q292" s="36">
        <f>+IF(O292&gt;0,INT(Fuelbeds_english!Q292*0.3048),O292)</f>
        <v>-1</v>
      </c>
      <c r="R292" s="45">
        <f>+IF(O292&gt;0,INT(Fuelbeds_english!R292*0.3048),O292)</f>
        <v>-1</v>
      </c>
      <c r="S292" s="45">
        <f>+IF(O292&gt;0,INT(Fuelbeds_english!S292*2.54),O292)</f>
        <v>-1</v>
      </c>
      <c r="T292" s="36">
        <v>-1</v>
      </c>
      <c r="U292" s="36">
        <v>-1</v>
      </c>
      <c r="V292" s="36">
        <v>-1</v>
      </c>
      <c r="W292" s="36">
        <v>1</v>
      </c>
      <c r="X292" s="98">
        <v>2</v>
      </c>
      <c r="Y292" s="29">
        <v>10</v>
      </c>
      <c r="Z292" s="88" t="str">
        <f>+IF(Y292&gt;0,FIXED(Fuelbeds_english!Z292*0.3048,1,0),Y292)</f>
        <v>0.9</v>
      </c>
      <c r="AA292" s="46">
        <v>90</v>
      </c>
      <c r="AB292" s="50">
        <v>19479</v>
      </c>
      <c r="AC292" s="50" t="s">
        <v>357</v>
      </c>
      <c r="AD292" s="50">
        <v>100</v>
      </c>
      <c r="AE292" s="42">
        <v>20</v>
      </c>
      <c r="AF292" s="52" t="str">
        <f>+IF(AE292&gt;0,FIXED(Fuelbeds_english!AF292*0.3048,1,0),AE292)</f>
        <v>0.4</v>
      </c>
      <c r="AG292" s="36">
        <v>80</v>
      </c>
      <c r="AH292" s="52" t="str">
        <f>+IF(AE292&gt;0,FIXED(Fuelbeds_english!AH292*2.242,1,0),AE292)</f>
        <v>0.7</v>
      </c>
      <c r="AI292" s="45">
        <v>40529</v>
      </c>
      <c r="AJ292" s="45" t="s">
        <v>356</v>
      </c>
      <c r="AK292" s="45">
        <v>100</v>
      </c>
      <c r="AL292" s="34">
        <v>39</v>
      </c>
      <c r="AM292" s="52" t="str">
        <f>+IF(AL292&gt;0,FIXED(Fuelbeds_english!AM292*2.54,1,0),AL292)</f>
        <v>4.7</v>
      </c>
      <c r="AN292" s="52" t="str">
        <f>+IF($AM292&gt;0,FIXED(Fuelbeds_english!AN292*2.242,1,0),$AM292)</f>
        <v>0.7</v>
      </c>
      <c r="AO292" s="52" t="str">
        <f>+IF($AM292&gt;0,FIXED(Fuelbeds_english!AO292*2.242,1,0),$AM292)</f>
        <v>1.7</v>
      </c>
      <c r="AP292" s="52" t="str">
        <f>+IF($AM292&gt;0,FIXED(Fuelbeds_english!AP292*2.242,1,0),$AM292)</f>
        <v>4.7</v>
      </c>
      <c r="AQ292" s="52" t="str">
        <f>+IF($AM292&gt;0,FIXED(Fuelbeds_english!AQ292*2.242,1,0),$AM292)</f>
        <v>13.7</v>
      </c>
      <c r="AR292" s="36">
        <v>18033</v>
      </c>
      <c r="AS292" s="36" t="s">
        <v>355</v>
      </c>
      <c r="AT292" s="36">
        <v>100</v>
      </c>
      <c r="AU292" s="44">
        <v>15</v>
      </c>
      <c r="AV292" s="52" t="str">
        <f>+IF(AU292&gt;0,FIXED(Fuelbeds_english!AV292*2.54,1,0),AU292)</f>
        <v>5.1</v>
      </c>
      <c r="AW292" s="88">
        <v>2</v>
      </c>
      <c r="AX292" s="52">
        <v>66.25</v>
      </c>
      <c r="AY292" s="52" t="str">
        <f>+IF(AX292&gt;0,FIXED(Fuelbeds_english!AY292*2.54,1,0),AX292)</f>
        <v>15.9</v>
      </c>
      <c r="AZ292" s="45">
        <v>1</v>
      </c>
      <c r="BA292" s="36">
        <v>18.2</v>
      </c>
      <c r="BB292" s="52" t="str">
        <f>+IF(BA292&gt;0,FIXED(Fuelbeds_english!BB292*2.54,1,0),BA292)</f>
        <v>1.8</v>
      </c>
      <c r="BC292" s="45">
        <v>-1</v>
      </c>
      <c r="BD292" s="45">
        <v>-1</v>
      </c>
      <c r="BE292" s="45">
        <v>100</v>
      </c>
      <c r="BF292" s="45">
        <v>-1</v>
      </c>
      <c r="BG292" s="45">
        <v>-1</v>
      </c>
      <c r="BH292" s="45">
        <v>-1</v>
      </c>
      <c r="BI292" s="45">
        <v>-1</v>
      </c>
      <c r="BJ292" s="28">
        <v>1</v>
      </c>
      <c r="BK292" s="36">
        <v>100</v>
      </c>
      <c r="BL292" s="52" t="str">
        <f>+IF(BK292&gt;0,FIXED(Fuelbeds_english!BL292*2.54,1,0),BK292)</f>
        <v>17.0</v>
      </c>
      <c r="BM292" s="45">
        <v>3</v>
      </c>
      <c r="BN292" s="36">
        <v>99.890909090909091</v>
      </c>
      <c r="BO292" s="52" t="str">
        <f>+IF(BN292&gt;0,FIXED(Fuelbeds_english!BO292*2.54,1,0),BN292)</f>
        <v>12.7</v>
      </c>
    </row>
    <row r="293" spans="1:67" s="50" customFormat="1" x14ac:dyDescent="0.25">
      <c r="A293" s="50">
        <v>292</v>
      </c>
      <c r="B293" s="52" t="s">
        <v>318</v>
      </c>
      <c r="C293" s="72">
        <v>9111092</v>
      </c>
      <c r="D293" s="22" t="s">
        <v>205</v>
      </c>
      <c r="E293" s="76" t="s">
        <v>354</v>
      </c>
      <c r="F293" s="39">
        <v>10.6</v>
      </c>
      <c r="G293" s="36">
        <v>10.6</v>
      </c>
      <c r="H293" s="45">
        <f>+IF(F293&gt;0,INT(Fuelbeds_english!H293*2.471),F293)</f>
        <v>91</v>
      </c>
      <c r="I293" s="36">
        <f>+IF(F293&gt;0,INT(Fuelbeds_english!I293*0.3048),F293)</f>
        <v>14</v>
      </c>
      <c r="J293" s="45">
        <f>+IF(F293&gt;0,INT(Fuelbeds_english!J293*0.3048),F293)</f>
        <v>5</v>
      </c>
      <c r="K293" s="45">
        <f>+IF(F293&gt;0,INT(Fuelbeds_english!K293*2.54),F293)</f>
        <v>18</v>
      </c>
      <c r="L293" s="36">
        <v>183412</v>
      </c>
      <c r="M293" s="36" t="s">
        <v>398</v>
      </c>
      <c r="N293" s="36">
        <v>100</v>
      </c>
      <c r="O293" s="36">
        <v>-1</v>
      </c>
      <c r="P293" s="45">
        <f>+IF(O293&gt;0,INT(Fuelbeds_english!P293*2.471),O293)</f>
        <v>-1</v>
      </c>
      <c r="Q293" s="36">
        <f>+IF(O293&gt;0,INT(Fuelbeds_english!Q293*0.3048),O293)</f>
        <v>-1</v>
      </c>
      <c r="R293" s="45">
        <f>+IF(O293&gt;0,INT(Fuelbeds_english!R293*0.3048),O293)</f>
        <v>-1</v>
      </c>
      <c r="S293" s="45">
        <f>+IF(O293&gt;0,INT(Fuelbeds_english!S293*2.54),O293)</f>
        <v>-1</v>
      </c>
      <c r="T293" s="36">
        <v>-1</v>
      </c>
      <c r="U293" s="36">
        <v>-1</v>
      </c>
      <c r="V293" s="36">
        <v>-1</v>
      </c>
      <c r="W293" s="36">
        <v>1</v>
      </c>
      <c r="X293" s="98">
        <v>2</v>
      </c>
      <c r="Y293" s="29">
        <v>54.535714285714278</v>
      </c>
      <c r="Z293" s="88" t="str">
        <f>+IF(Y293&gt;0,FIXED(Fuelbeds_english!Z293*0.3048,1,0),Y293)</f>
        <v>0.9</v>
      </c>
      <c r="AA293" s="46">
        <v>90</v>
      </c>
      <c r="AB293" s="50">
        <v>19479</v>
      </c>
      <c r="AC293" s="50" t="s">
        <v>357</v>
      </c>
      <c r="AD293" s="50">
        <v>100</v>
      </c>
      <c r="AE293" s="42">
        <v>22</v>
      </c>
      <c r="AF293" s="52" t="str">
        <f>+IF(AE293&gt;0,FIXED(Fuelbeds_english!AF293*0.3048,1,0),AE293)</f>
        <v>0.4</v>
      </c>
      <c r="AG293" s="45">
        <v>80</v>
      </c>
      <c r="AH293" s="52" t="str">
        <f>+IF(AE293&gt;0,FIXED(Fuelbeds_english!AH293*2.242,1,0),AE293)</f>
        <v>1.3</v>
      </c>
      <c r="AI293" s="45">
        <v>40529</v>
      </c>
      <c r="AJ293" s="45" t="s">
        <v>356</v>
      </c>
      <c r="AK293" s="45">
        <v>100</v>
      </c>
      <c r="AL293" s="34">
        <v>6.0949999999999998</v>
      </c>
      <c r="AM293" s="52" t="str">
        <f>+IF(AL293&gt;0,FIXED(Fuelbeds_english!AM293*2.54,1,0),AL293)</f>
        <v>2.5</v>
      </c>
      <c r="AN293" s="52" t="str">
        <f>+IF($AM293&gt;0,FIXED(Fuelbeds_english!AN293*2.242,1,0),$AM293)</f>
        <v>0.2</v>
      </c>
      <c r="AO293" s="52" t="str">
        <f>+IF($AM293&gt;0,FIXED(Fuelbeds_english!AO293*2.242,1,0),$AM293)</f>
        <v>0.5</v>
      </c>
      <c r="AP293" s="52" t="str">
        <f>+IF($AM293&gt;0,FIXED(Fuelbeds_english!AP293*2.242,1,0),$AM293)</f>
        <v>1.0</v>
      </c>
      <c r="AQ293" s="52" t="str">
        <f>+IF($AM293&gt;0,FIXED(Fuelbeds_english!AQ293*2.242,1,0),$AM293)</f>
        <v>3.1</v>
      </c>
      <c r="AR293" s="36">
        <v>183412</v>
      </c>
      <c r="AS293" s="45" t="s">
        <v>398</v>
      </c>
      <c r="AT293" s="45">
        <v>100</v>
      </c>
      <c r="AU293" s="44">
        <v>-1</v>
      </c>
      <c r="AV293" s="52">
        <f>+IF(AU293&gt;0,FIXED(Fuelbeds_english!AV293*2.54,1,0),AU293)</f>
        <v>-1</v>
      </c>
      <c r="AW293" s="88">
        <v>1</v>
      </c>
      <c r="AX293" s="88">
        <v>63</v>
      </c>
      <c r="AY293" s="52" t="str">
        <f>+IF(AX293&gt;0,FIXED(Fuelbeds_english!AY293*2.54,1,0),AX293)</f>
        <v>5.8</v>
      </c>
      <c r="AZ293" s="45">
        <v>1</v>
      </c>
      <c r="BA293" s="36">
        <v>10.6</v>
      </c>
      <c r="BB293" s="52" t="str">
        <f>+IF(BA293&gt;0,FIXED(Fuelbeds_english!BB293*2.54,1,0),BA293)</f>
        <v>1.8</v>
      </c>
      <c r="BC293" s="45">
        <v>-1</v>
      </c>
      <c r="BD293" s="45">
        <v>-1</v>
      </c>
      <c r="BE293" s="45">
        <v>100</v>
      </c>
      <c r="BF293" s="45">
        <v>-1</v>
      </c>
      <c r="BG293" s="45">
        <v>-1</v>
      </c>
      <c r="BH293" s="45">
        <v>-1</v>
      </c>
      <c r="BI293" s="45">
        <v>-1</v>
      </c>
      <c r="BJ293" s="28">
        <v>2</v>
      </c>
      <c r="BK293" s="36">
        <v>13.249999999999998</v>
      </c>
      <c r="BL293" s="52" t="str">
        <f>+IF(BK293&gt;0,FIXED(Fuelbeds_english!BL293*2.54,1,0),BK293)</f>
        <v>12.7</v>
      </c>
      <c r="BM293" s="45">
        <v>4</v>
      </c>
      <c r="BN293" s="36">
        <v>13.249999999999998</v>
      </c>
      <c r="BO293" s="52" t="str">
        <f>+IF(BN293&gt;0,FIXED(Fuelbeds_english!BO293*2.54,1,0),BN293)</f>
        <v>12.7</v>
      </c>
    </row>
    <row r="294" spans="1:67" s="50" customFormat="1" x14ac:dyDescent="0.25">
      <c r="A294" s="50">
        <v>293</v>
      </c>
      <c r="B294" s="52" t="s">
        <v>319</v>
      </c>
      <c r="C294" s="72">
        <v>9211092</v>
      </c>
      <c r="D294" s="22" t="s">
        <v>205</v>
      </c>
      <c r="E294" s="76" t="s">
        <v>354</v>
      </c>
      <c r="F294" s="39">
        <v>52.6</v>
      </c>
      <c r="G294" s="36">
        <v>52.6</v>
      </c>
      <c r="H294" s="45">
        <f>+IF(F294&gt;0,INT(Fuelbeds_english!H294*2.471),F294)</f>
        <v>454</v>
      </c>
      <c r="I294" s="36">
        <f>+IF(F294&gt;0,INT(Fuelbeds_english!I294*0.3048),F294)</f>
        <v>17</v>
      </c>
      <c r="J294" s="45">
        <f>+IF(F294&gt;0,INT(Fuelbeds_english!J294*0.3048),F294)</f>
        <v>6</v>
      </c>
      <c r="K294" s="45">
        <f>+IF(F294&gt;0,INT(Fuelbeds_english!K294*2.54),F294)</f>
        <v>22</v>
      </c>
      <c r="L294" s="36">
        <v>183412</v>
      </c>
      <c r="M294" s="36" t="s">
        <v>398</v>
      </c>
      <c r="N294" s="36">
        <v>100</v>
      </c>
      <c r="O294" s="36">
        <v>-1</v>
      </c>
      <c r="P294" s="45">
        <f>+IF(O294&gt;0,INT(Fuelbeds_english!P294*2.471),O294)</f>
        <v>-1</v>
      </c>
      <c r="Q294" s="36">
        <f>+IF(O294&gt;0,INT(Fuelbeds_english!Q294*0.3048),O294)</f>
        <v>-1</v>
      </c>
      <c r="R294" s="45">
        <f>+IF(O294&gt;0,INT(Fuelbeds_english!R294*0.3048),O294)</f>
        <v>-1</v>
      </c>
      <c r="S294" s="45">
        <f>+IF(O294&gt;0,INT(Fuelbeds_english!S294*2.54),O294)</f>
        <v>-1</v>
      </c>
      <c r="T294" s="36">
        <v>-1</v>
      </c>
      <c r="U294" s="36">
        <v>-1</v>
      </c>
      <c r="V294" s="36">
        <v>-1</v>
      </c>
      <c r="W294" s="36">
        <v>1</v>
      </c>
      <c r="X294" s="98">
        <v>2</v>
      </c>
      <c r="Y294" s="29">
        <v>33.857142857142854</v>
      </c>
      <c r="Z294" s="88" t="str">
        <f>+IF(Y294&gt;0,FIXED(Fuelbeds_english!Z294*0.3048,1,0),Y294)</f>
        <v>0.9</v>
      </c>
      <c r="AA294" s="46">
        <v>90</v>
      </c>
      <c r="AB294" s="50">
        <v>19479</v>
      </c>
      <c r="AC294" s="50" t="s">
        <v>357</v>
      </c>
      <c r="AD294" s="50">
        <v>100</v>
      </c>
      <c r="AE294" s="42">
        <v>14</v>
      </c>
      <c r="AF294" s="52" t="str">
        <f>+IF(AE294&gt;0,FIXED(Fuelbeds_english!AF294*0.3048,1,0),AE294)</f>
        <v>0.4</v>
      </c>
      <c r="AG294" s="45">
        <v>80</v>
      </c>
      <c r="AH294" s="52" t="str">
        <f>+IF(AE294&gt;0,FIXED(Fuelbeds_english!AH294*2.242,1,0),AE294)</f>
        <v>0.8</v>
      </c>
      <c r="AI294" s="45">
        <v>40529</v>
      </c>
      <c r="AJ294" s="45" t="s">
        <v>356</v>
      </c>
      <c r="AK294" s="45">
        <v>100</v>
      </c>
      <c r="AL294" s="34">
        <v>30.245000000000001</v>
      </c>
      <c r="AM294" s="52" t="str">
        <f>+IF(AL294&gt;0,FIXED(Fuelbeds_english!AM294*2.54,1,0),AL294)</f>
        <v>2.5</v>
      </c>
      <c r="AN294" s="52" t="str">
        <f>+IF($AM294&gt;0,FIXED(Fuelbeds_english!AN294*2.242,1,0),$AM294)</f>
        <v>0.9</v>
      </c>
      <c r="AO294" s="52" t="str">
        <f>+IF($AM294&gt;0,FIXED(Fuelbeds_english!AO294*2.242,1,0),$AM294)</f>
        <v>2.4</v>
      </c>
      <c r="AP294" s="52" t="str">
        <f>+IF($AM294&gt;0,FIXED(Fuelbeds_english!AP294*2.242,1,0),$AM294)</f>
        <v>5.0</v>
      </c>
      <c r="AQ294" s="52" t="str">
        <f>+IF($AM294&gt;0,FIXED(Fuelbeds_english!AQ294*2.242,1,0),$AM294)</f>
        <v>15.5</v>
      </c>
      <c r="AR294" s="36">
        <v>183412</v>
      </c>
      <c r="AS294" s="45" t="s">
        <v>398</v>
      </c>
      <c r="AT294" s="45">
        <v>100</v>
      </c>
      <c r="AU294" s="44">
        <v>-1</v>
      </c>
      <c r="AV294" s="52">
        <f>+IF(AU294&gt;0,FIXED(Fuelbeds_english!AV294*2.54,1,0),AU294)</f>
        <v>-1</v>
      </c>
      <c r="AW294" s="88">
        <v>1</v>
      </c>
      <c r="AX294" s="88">
        <v>63</v>
      </c>
      <c r="AY294" s="52" t="str">
        <f>+IF(AX294&gt;0,FIXED(Fuelbeds_english!AY294*2.54,1,0),AX294)</f>
        <v>5.8</v>
      </c>
      <c r="AZ294" s="45">
        <v>1</v>
      </c>
      <c r="BA294" s="36">
        <v>52.6</v>
      </c>
      <c r="BB294" s="52" t="str">
        <f>+IF(BA294&gt;0,FIXED(Fuelbeds_english!BB294*2.54,1,0),BA294)</f>
        <v>1.8</v>
      </c>
      <c r="BC294" s="45">
        <v>-1</v>
      </c>
      <c r="BD294" s="45">
        <v>-1</v>
      </c>
      <c r="BE294" s="45">
        <v>100</v>
      </c>
      <c r="BF294" s="45">
        <v>-1</v>
      </c>
      <c r="BG294" s="45">
        <v>-1</v>
      </c>
      <c r="BH294" s="45">
        <v>-1</v>
      </c>
      <c r="BI294" s="45">
        <v>-1</v>
      </c>
      <c r="BJ294" s="28">
        <v>2</v>
      </c>
      <c r="BK294" s="36">
        <v>100</v>
      </c>
      <c r="BL294" s="52" t="str">
        <f>+IF(BK294&gt;0,FIXED(Fuelbeds_english!BL294*2.54,1,0),BK294)</f>
        <v>12.7</v>
      </c>
      <c r="BM294" s="45">
        <v>4</v>
      </c>
      <c r="BN294" s="36">
        <v>65.749999999999986</v>
      </c>
      <c r="BO294" s="52" t="str">
        <f>+IF(BN294&gt;0,FIXED(Fuelbeds_english!BO294*2.54,1,0),BN294)</f>
        <v>12.7</v>
      </c>
    </row>
    <row r="295" spans="1:67" s="50" customFormat="1" x14ac:dyDescent="0.25">
      <c r="A295" s="50">
        <v>294</v>
      </c>
      <c r="B295" s="36">
        <v>11100</v>
      </c>
      <c r="C295" s="46">
        <v>11100</v>
      </c>
      <c r="D295" s="22" t="s">
        <v>205</v>
      </c>
      <c r="E295" s="17" t="s">
        <v>134</v>
      </c>
      <c r="F295" s="39">
        <v>29.1</v>
      </c>
      <c r="G295" s="43">
        <v>29.1</v>
      </c>
      <c r="H295" s="45">
        <f>+IF(F295&gt;0,INT(Fuelbeds_english!H295*2.471),F295)</f>
        <v>467</v>
      </c>
      <c r="I295" s="36">
        <f>+IF(F295&gt;0,INT(Fuelbeds_english!I295*0.3048),F295)</f>
        <v>16</v>
      </c>
      <c r="J295" s="45">
        <f>+IF(F295&gt;0,INT(Fuelbeds_english!J295*0.3048),F295)</f>
        <v>7</v>
      </c>
      <c r="K295" s="45">
        <f>+IF(F295&gt;0,INT(Fuelbeds_english!K295*2.54),F295)</f>
        <v>18</v>
      </c>
      <c r="L295" s="55" t="s">
        <v>359</v>
      </c>
      <c r="M295" s="36" t="s">
        <v>358</v>
      </c>
      <c r="N295" s="55" t="s">
        <v>156</v>
      </c>
      <c r="O295" s="43">
        <v>7.5096774193548388</v>
      </c>
      <c r="P295" s="45">
        <f>+IF(O295&gt;0,INT(Fuelbeds_english!P295*2.471),O295)</f>
        <v>190</v>
      </c>
      <c r="Q295" s="36">
        <f>+IF(O295&gt;0,INT(Fuelbeds_english!Q295*0.3048),O295)</f>
        <v>8</v>
      </c>
      <c r="R295" s="45">
        <f>+IF(O295&gt;0,INT(Fuelbeds_english!R295*0.3048),O295)</f>
        <v>3</v>
      </c>
      <c r="S295" s="45">
        <f>+IF(O295&gt;0,INT(Fuelbeds_english!S295*2.54),O295)</f>
        <v>11</v>
      </c>
      <c r="T295" s="36">
        <v>18033</v>
      </c>
      <c r="U295" s="36" t="s">
        <v>355</v>
      </c>
      <c r="V295" s="36">
        <v>100</v>
      </c>
      <c r="W295" s="36">
        <v>1</v>
      </c>
      <c r="X295" s="98">
        <v>2</v>
      </c>
      <c r="Y295" s="29">
        <v>13</v>
      </c>
      <c r="Z295" s="88" t="str">
        <f>+IF(Y295&gt;0,FIXED(Fuelbeds_english!Z295*0.3048,1,0),Y295)</f>
        <v>3.4</v>
      </c>
      <c r="AA295" s="46">
        <v>90</v>
      </c>
      <c r="AB295" s="50">
        <v>22476</v>
      </c>
      <c r="AC295" s="50" t="s">
        <v>157</v>
      </c>
      <c r="AD295" s="50">
        <v>100</v>
      </c>
      <c r="AE295" s="42">
        <v>58</v>
      </c>
      <c r="AF295" s="52" t="str">
        <f>+IF(AE295&gt;0,FIXED(Fuelbeds_english!AF295*0.3048,1,0),AE295)</f>
        <v>0.4</v>
      </c>
      <c r="AG295" s="36">
        <v>80</v>
      </c>
      <c r="AH295" s="52" t="str">
        <f>+IF(AE295&gt;0,FIXED(Fuelbeds_english!AH295*2.242,1,0),AE295)</f>
        <v>3.6</v>
      </c>
      <c r="AI295" s="45">
        <v>40529</v>
      </c>
      <c r="AJ295" s="45" t="s">
        <v>356</v>
      </c>
      <c r="AK295" s="45">
        <v>100</v>
      </c>
      <c r="AL295" s="34">
        <v>11.733870967741936</v>
      </c>
      <c r="AM295" s="52" t="str">
        <f>+IF(AL295&gt;0,FIXED(Fuelbeds_english!AM295*2.54,1,0),AL295)</f>
        <v>2.6</v>
      </c>
      <c r="AN295" s="52" t="str">
        <f>+IF($AM295&gt;0,FIXED(Fuelbeds_english!AN295*2.242,1,0),$AM295)</f>
        <v>0.6</v>
      </c>
      <c r="AO295" s="52" t="str">
        <f>+IF($AM295&gt;0,FIXED(Fuelbeds_english!AO295*2.242,1,0),$AM295)</f>
        <v>0.8</v>
      </c>
      <c r="AP295" s="52" t="str">
        <f>+IF($AM295&gt;0,FIXED(Fuelbeds_english!AP295*2.242,1,0),$AM295)</f>
        <v>1.6</v>
      </c>
      <c r="AQ295" s="52" t="str">
        <f>+IF($AM295&gt;0,FIXED(Fuelbeds_english!AQ295*2.242,1,0),$AM295)</f>
        <v>5.5</v>
      </c>
      <c r="AR295" s="55" t="s">
        <v>359</v>
      </c>
      <c r="AS295" s="36" t="s">
        <v>358</v>
      </c>
      <c r="AT295" s="55" t="s">
        <v>156</v>
      </c>
      <c r="AU295" s="44">
        <v>4.25</v>
      </c>
      <c r="AV295" s="52" t="str">
        <f>+IF(AU295&gt;0,FIXED(Fuelbeds_english!AV295*2.54,1,0),AU295)</f>
        <v>5.1</v>
      </c>
      <c r="AW295" s="88">
        <v>2</v>
      </c>
      <c r="AX295" s="52">
        <v>27.5</v>
      </c>
      <c r="AY295" s="52" t="str">
        <f>+IF(AX295&gt;0,FIXED(Fuelbeds_english!AY295*2.54,1,0),AX295)</f>
        <v>5.1</v>
      </c>
      <c r="AZ295" s="45">
        <v>1</v>
      </c>
      <c r="BA295" s="36">
        <v>27.2</v>
      </c>
      <c r="BB295" s="52" t="str">
        <f>+IF(BA295&gt;0,FIXED(Fuelbeds_english!BB295*2.54,1,0),BA295)</f>
        <v>4.1</v>
      </c>
      <c r="BC295" s="45">
        <v>-1</v>
      </c>
      <c r="BD295" s="45">
        <v>-1</v>
      </c>
      <c r="BE295" s="45">
        <v>30</v>
      </c>
      <c r="BF295" s="45">
        <v>70</v>
      </c>
      <c r="BG295" s="45">
        <v>-1</v>
      </c>
      <c r="BH295" s="45">
        <v>-1</v>
      </c>
      <c r="BI295" s="45">
        <v>-1</v>
      </c>
      <c r="BJ295" s="28">
        <v>1</v>
      </c>
      <c r="BK295" s="36">
        <v>33.799999999999997</v>
      </c>
      <c r="BL295" s="52" t="str">
        <f>+IF(BK295&gt;0,FIXED(Fuelbeds_english!BL295*2.54,1,0),BK295)</f>
        <v>5.1</v>
      </c>
      <c r="BM295" s="45">
        <v>3</v>
      </c>
      <c r="BN295" s="36">
        <v>33.799999999999997</v>
      </c>
      <c r="BO295" s="52" t="str">
        <f>+IF(BN295&gt;0,FIXED(Fuelbeds_english!BO295*2.54,1,0),BN295)</f>
        <v>2.5</v>
      </c>
    </row>
    <row r="296" spans="1:67" s="50" customFormat="1" x14ac:dyDescent="0.25">
      <c r="A296" s="50">
        <v>295</v>
      </c>
      <c r="B296" s="36">
        <v>11102</v>
      </c>
      <c r="C296" s="70">
        <v>11102</v>
      </c>
      <c r="D296" s="22" t="s">
        <v>205</v>
      </c>
      <c r="E296" s="77" t="s">
        <v>406</v>
      </c>
      <c r="F296" s="39">
        <v>14.3</v>
      </c>
      <c r="G296" s="36">
        <v>14.3</v>
      </c>
      <c r="H296" s="45">
        <f>+IF(F296&gt;0,INT(Fuelbeds_english!H296*2.471),F296)</f>
        <v>123</v>
      </c>
      <c r="I296" s="36">
        <f>+IF(F296&gt;0,INT(Fuelbeds_english!I296*0.3048),F296)</f>
        <v>14</v>
      </c>
      <c r="J296" s="45">
        <f>+IF(F296&gt;0,INT(Fuelbeds_english!J296*0.3048),F296)</f>
        <v>5</v>
      </c>
      <c r="K296" s="45">
        <f>+IF(F296&gt;0,INT(Fuelbeds_english!K296*2.54),F296)</f>
        <v>18</v>
      </c>
      <c r="L296" s="36" t="s">
        <v>400</v>
      </c>
      <c r="M296" s="36" t="s">
        <v>399</v>
      </c>
      <c r="N296" s="36" t="s">
        <v>156</v>
      </c>
      <c r="O296" s="36">
        <v>-1</v>
      </c>
      <c r="P296" s="45">
        <f>+IF(O296&gt;0,INT(Fuelbeds_english!P296*2.471),O296)</f>
        <v>-1</v>
      </c>
      <c r="Q296" s="36">
        <f>+IF(O296&gt;0,INT(Fuelbeds_english!Q296*0.3048),O296)</f>
        <v>-1</v>
      </c>
      <c r="R296" s="45">
        <f>+IF(O296&gt;0,INT(Fuelbeds_english!R296*0.3048),O296)</f>
        <v>-1</v>
      </c>
      <c r="S296" s="45">
        <f>+IF(O296&gt;0,INT(Fuelbeds_english!S296*2.54),O296)</f>
        <v>-1</v>
      </c>
      <c r="T296" s="36">
        <v>-1</v>
      </c>
      <c r="U296" s="36">
        <v>-1</v>
      </c>
      <c r="V296" s="36">
        <v>-1</v>
      </c>
      <c r="W296" s="36">
        <v>1</v>
      </c>
      <c r="X296" s="98">
        <v>2</v>
      </c>
      <c r="Y296" s="29">
        <v>50.514285714285712</v>
      </c>
      <c r="Z296" s="88" t="str">
        <f>+IF(Y296&gt;0,FIXED(Fuelbeds_english!Z296*0.3048,1,0),Y296)</f>
        <v>0.9</v>
      </c>
      <c r="AA296" s="46">
        <v>90</v>
      </c>
      <c r="AB296" s="50">
        <v>19479</v>
      </c>
      <c r="AC296" s="50" t="s">
        <v>357</v>
      </c>
      <c r="AD296" s="50">
        <v>100</v>
      </c>
      <c r="AE296" s="42">
        <v>20</v>
      </c>
      <c r="AF296" s="52" t="str">
        <f>+IF(AE296&gt;0,FIXED(Fuelbeds_english!AF296*0.3048,1,0),AE296)</f>
        <v>0.4</v>
      </c>
      <c r="AG296" s="45">
        <v>80</v>
      </c>
      <c r="AH296" s="52" t="str">
        <f>+IF(AE296&gt;0,FIXED(Fuelbeds_english!AH296*2.242,1,0),AE296)</f>
        <v>1.2</v>
      </c>
      <c r="AI296" s="45">
        <v>40529</v>
      </c>
      <c r="AJ296" s="45" t="s">
        <v>356</v>
      </c>
      <c r="AK296" s="45">
        <v>100</v>
      </c>
      <c r="AL296" s="34">
        <v>8.2225000000000001</v>
      </c>
      <c r="AM296" s="52" t="str">
        <f>+IF(AL296&gt;0,FIXED(Fuelbeds_english!AM296*2.54,1,0),AL296)</f>
        <v>2.5</v>
      </c>
      <c r="AN296" s="52" t="str">
        <f>+IF($AM296&gt;0,FIXED(Fuelbeds_english!AN296*2.242,1,0),$AM296)</f>
        <v>0.2</v>
      </c>
      <c r="AO296" s="52" t="str">
        <f>+IF($AM296&gt;0,FIXED(Fuelbeds_english!AO296*2.242,1,0),$AM296)</f>
        <v>0.7</v>
      </c>
      <c r="AP296" s="52" t="str">
        <f>+IF($AM296&gt;0,FIXED(Fuelbeds_english!AP296*2.242,1,0),$AM296)</f>
        <v>1.3</v>
      </c>
      <c r="AQ296" s="52" t="str">
        <f>+IF($AM296&gt;0,FIXED(Fuelbeds_english!AQ296*2.242,1,0),$AM296)</f>
        <v>4.3</v>
      </c>
      <c r="AR296" s="36" t="s">
        <v>400</v>
      </c>
      <c r="AS296" s="45" t="s">
        <v>399</v>
      </c>
      <c r="AT296" s="45" t="s">
        <v>156</v>
      </c>
      <c r="AU296" s="44">
        <v>-1</v>
      </c>
      <c r="AV296" s="52">
        <f>+IF(AU296&gt;0,FIXED(Fuelbeds_english!AV296*2.54,1,0),AU296)</f>
        <v>-1</v>
      </c>
      <c r="AW296" s="88">
        <v>1</v>
      </c>
      <c r="AX296" s="88">
        <v>63</v>
      </c>
      <c r="AY296" s="52" t="str">
        <f>+IF(AX296&gt;0,FIXED(Fuelbeds_english!AY296*2.54,1,0),AX296)</f>
        <v>5.8</v>
      </c>
      <c r="AZ296" s="45">
        <v>1</v>
      </c>
      <c r="BA296" s="36">
        <v>14.3</v>
      </c>
      <c r="BB296" s="52" t="str">
        <f>+IF(BA296&gt;0,FIXED(Fuelbeds_english!BB296*2.54,1,0),BA296)</f>
        <v>1.8</v>
      </c>
      <c r="BC296" s="45">
        <v>-1</v>
      </c>
      <c r="BD296" s="45">
        <v>-1</v>
      </c>
      <c r="BE296" s="45">
        <v>50</v>
      </c>
      <c r="BF296" s="45">
        <v>50</v>
      </c>
      <c r="BG296" s="45">
        <v>-1</v>
      </c>
      <c r="BH296" s="45">
        <v>-1</v>
      </c>
      <c r="BI296" s="45">
        <v>-1</v>
      </c>
      <c r="BJ296" s="28">
        <v>2</v>
      </c>
      <c r="BK296" s="36">
        <v>17.875</v>
      </c>
      <c r="BL296" s="52" t="str">
        <f>+IF(BK296&gt;0,FIXED(Fuelbeds_english!BL296*2.54,1,0),BK296)</f>
        <v>12.7</v>
      </c>
      <c r="BM296" s="45">
        <v>4</v>
      </c>
      <c r="BN296" s="36">
        <v>17.875</v>
      </c>
      <c r="BO296" s="52" t="str">
        <f>+IF(BN296&gt;0,FIXED(Fuelbeds_english!BO296*2.54,1,0),BN296)</f>
        <v>12.7</v>
      </c>
    </row>
    <row r="297" spans="1:67" s="50" customFormat="1" x14ac:dyDescent="0.25">
      <c r="A297" s="50">
        <v>296</v>
      </c>
      <c r="B297" s="36">
        <v>11110</v>
      </c>
      <c r="C297" s="46">
        <v>11110</v>
      </c>
      <c r="D297" s="22" t="s">
        <v>205</v>
      </c>
      <c r="E297" s="12" t="s">
        <v>9</v>
      </c>
      <c r="F297" s="39">
        <v>11.9</v>
      </c>
      <c r="G297" s="43">
        <v>11.9</v>
      </c>
      <c r="H297" s="45">
        <f>+IF(F297&gt;0,INT(Fuelbeds_english!H297*2.471),F297)</f>
        <v>191</v>
      </c>
      <c r="I297" s="36">
        <f>+IF(F297&gt;0,INT(Fuelbeds_english!I297*0.3048),F297)</f>
        <v>14</v>
      </c>
      <c r="J297" s="45">
        <f>+IF(F297&gt;0,INT(Fuelbeds_english!J297*0.3048),F297)</f>
        <v>6</v>
      </c>
      <c r="K297" s="45">
        <f>+IF(F297&gt;0,INT(Fuelbeds_english!K297*2.54),F297)</f>
        <v>17</v>
      </c>
      <c r="L297" s="55" t="s">
        <v>359</v>
      </c>
      <c r="M297" s="36" t="s">
        <v>358</v>
      </c>
      <c r="N297" s="55" t="s">
        <v>156</v>
      </c>
      <c r="O297" s="43">
        <v>3.0709677419354837</v>
      </c>
      <c r="P297" s="45">
        <f>+IF(O297&gt;0,INT(Fuelbeds_english!P297*2.471),O297)</f>
        <v>77</v>
      </c>
      <c r="Q297" s="36">
        <f>+IF(O297&gt;0,INT(Fuelbeds_english!Q297*0.3048),O297)</f>
        <v>7</v>
      </c>
      <c r="R297" s="45">
        <f>+IF(O297&gt;0,INT(Fuelbeds_english!R297*0.3048),O297)</f>
        <v>3</v>
      </c>
      <c r="S297" s="45">
        <f>+IF(O297&gt;0,INT(Fuelbeds_english!S297*2.54),O297)</f>
        <v>9</v>
      </c>
      <c r="T297" s="36">
        <v>18033</v>
      </c>
      <c r="U297" s="36" t="s">
        <v>355</v>
      </c>
      <c r="V297" s="36">
        <v>100</v>
      </c>
      <c r="W297" s="36">
        <v>1</v>
      </c>
      <c r="X297" s="98">
        <v>2</v>
      </c>
      <c r="Y297" s="29">
        <v>13</v>
      </c>
      <c r="Z297" s="88" t="str">
        <f>+IF(Y297&gt;0,FIXED(Fuelbeds_english!Z297*0.3048,1,0),Y297)</f>
        <v>3.4</v>
      </c>
      <c r="AA297" s="46">
        <v>90</v>
      </c>
      <c r="AB297" s="50">
        <v>22476</v>
      </c>
      <c r="AC297" s="50" t="s">
        <v>157</v>
      </c>
      <c r="AD297" s="50">
        <v>100</v>
      </c>
      <c r="AE297" s="42">
        <v>58</v>
      </c>
      <c r="AF297" s="52" t="str">
        <f>+IF(AE297&gt;0,FIXED(Fuelbeds_english!AF297*0.3048,1,0),AE297)</f>
        <v>0.4</v>
      </c>
      <c r="AG297" s="36">
        <v>80</v>
      </c>
      <c r="AH297" s="52" t="str">
        <f>+IF(AE297&gt;0,FIXED(Fuelbeds_english!AH297*2.242,1,0),AE297)</f>
        <v>3.6</v>
      </c>
      <c r="AI297" s="45">
        <v>40529</v>
      </c>
      <c r="AJ297" s="45" t="s">
        <v>356</v>
      </c>
      <c r="AK297" s="45">
        <v>100</v>
      </c>
      <c r="AL297" s="34">
        <v>4.8</v>
      </c>
      <c r="AM297" s="52" t="str">
        <f>+IF(AL297&gt;0,FIXED(Fuelbeds_english!AM297*2.54,1,0),AL297)</f>
        <v>2.6</v>
      </c>
      <c r="AN297" s="52" t="str">
        <f>+IF($AM297&gt;0,FIXED(Fuelbeds_english!AN297*2.242,1,0),$AM297)</f>
        <v>0.2</v>
      </c>
      <c r="AO297" s="52" t="str">
        <f>+IF($AM297&gt;0,FIXED(Fuelbeds_english!AO297*2.242,1,0),$AM297)</f>
        <v>0.3</v>
      </c>
      <c r="AP297" s="52" t="str">
        <f>+IF($AM297&gt;0,FIXED(Fuelbeds_english!AP297*2.242,1,0),$AM297)</f>
        <v>0.6</v>
      </c>
      <c r="AQ297" s="52" t="str">
        <f>+IF($AM297&gt;0,FIXED(Fuelbeds_english!AQ297*2.242,1,0),$AM297)</f>
        <v>2.2</v>
      </c>
      <c r="AR297" s="55" t="s">
        <v>359</v>
      </c>
      <c r="AS297" s="36" t="s">
        <v>358</v>
      </c>
      <c r="AT297" s="55" t="s">
        <v>156</v>
      </c>
      <c r="AU297" s="44">
        <v>4.25</v>
      </c>
      <c r="AV297" s="52" t="str">
        <f>+IF(AU297&gt;0,FIXED(Fuelbeds_english!AV297*2.54,1,0),AU297)</f>
        <v>5.1</v>
      </c>
      <c r="AW297" s="88">
        <v>2</v>
      </c>
      <c r="AX297" s="52">
        <v>27.5</v>
      </c>
      <c r="AY297" s="52" t="str">
        <f>+IF(AX297&gt;0,FIXED(Fuelbeds_english!AY297*2.54,1,0),AX297)</f>
        <v>5.1</v>
      </c>
      <c r="AZ297" s="45">
        <v>1</v>
      </c>
      <c r="BA297" s="36">
        <v>11.13225806451613</v>
      </c>
      <c r="BB297" s="52" t="str">
        <f>+IF(BA297&gt;0,FIXED(Fuelbeds_english!BB297*2.54,1,0),BA297)</f>
        <v>4.1</v>
      </c>
      <c r="BC297" s="45">
        <v>-1</v>
      </c>
      <c r="BD297" s="45">
        <v>-1</v>
      </c>
      <c r="BE297" s="45">
        <v>30</v>
      </c>
      <c r="BF297" s="45">
        <v>70</v>
      </c>
      <c r="BG297" s="45">
        <v>-1</v>
      </c>
      <c r="BH297" s="45">
        <v>-1</v>
      </c>
      <c r="BI297" s="45">
        <v>-1</v>
      </c>
      <c r="BJ297" s="28">
        <v>1</v>
      </c>
      <c r="BK297" s="36">
        <v>13.8</v>
      </c>
      <c r="BL297" s="52" t="str">
        <f>+IF(BK297&gt;0,FIXED(Fuelbeds_english!BL297*2.54,1,0),BK297)</f>
        <v>5.1</v>
      </c>
      <c r="BM297" s="45">
        <v>3</v>
      </c>
      <c r="BN297" s="36">
        <v>13.8</v>
      </c>
      <c r="BO297" s="52" t="str">
        <f>+IF(BN297&gt;0,FIXED(Fuelbeds_english!BO297*2.54,1,0),BN297)</f>
        <v>2.5</v>
      </c>
    </row>
    <row r="298" spans="1:67" s="50" customFormat="1" x14ac:dyDescent="0.25">
      <c r="A298" s="50">
        <v>297</v>
      </c>
      <c r="B298" s="36">
        <v>11112</v>
      </c>
      <c r="C298" s="70">
        <v>11112</v>
      </c>
      <c r="D298" s="22" t="s">
        <v>205</v>
      </c>
      <c r="E298" s="30" t="s">
        <v>407</v>
      </c>
      <c r="F298" s="39">
        <v>6.3</v>
      </c>
      <c r="G298" s="36">
        <v>6.3</v>
      </c>
      <c r="H298" s="45">
        <f>+IF(F298&gt;0,INT(Fuelbeds_english!H298*2.471),F298)</f>
        <v>54</v>
      </c>
      <c r="I298" s="36">
        <f>+IF(F298&gt;0,INT(Fuelbeds_english!I298*0.3048),F298)</f>
        <v>13</v>
      </c>
      <c r="J298" s="45">
        <f>+IF(F298&gt;0,INT(Fuelbeds_english!J298*0.3048),F298)</f>
        <v>4</v>
      </c>
      <c r="K298" s="45">
        <f>+IF(F298&gt;0,INT(Fuelbeds_english!K298*2.54),F298)</f>
        <v>17</v>
      </c>
      <c r="L298" s="36">
        <v>183412</v>
      </c>
      <c r="M298" s="36" t="s">
        <v>398</v>
      </c>
      <c r="N298" s="36">
        <v>100</v>
      </c>
      <c r="O298" s="36">
        <v>-1</v>
      </c>
      <c r="P298" s="45">
        <f>+IF(O298&gt;0,INT(Fuelbeds_english!P298*2.471),O298)</f>
        <v>-1</v>
      </c>
      <c r="Q298" s="36">
        <f>+IF(O298&gt;0,INT(Fuelbeds_english!Q298*0.3048),O298)</f>
        <v>-1</v>
      </c>
      <c r="R298" s="45">
        <f>+IF(O298&gt;0,INT(Fuelbeds_english!R298*0.3048),O298)</f>
        <v>-1</v>
      </c>
      <c r="S298" s="45">
        <f>+IF(O298&gt;0,INT(Fuelbeds_english!S298*2.54),O298)</f>
        <v>-1</v>
      </c>
      <c r="T298" s="36">
        <v>-1</v>
      </c>
      <c r="U298" s="36">
        <v>-1</v>
      </c>
      <c r="V298" s="36">
        <v>-1</v>
      </c>
      <c r="W298" s="36">
        <v>1</v>
      </c>
      <c r="X298" s="98">
        <v>2</v>
      </c>
      <c r="Y298" s="29">
        <v>48</v>
      </c>
      <c r="Z298" s="88" t="str">
        <f>+IF(Y298&gt;0,FIXED(Fuelbeds_english!Z298*0.3048,1,0),Y298)</f>
        <v>0.9</v>
      </c>
      <c r="AA298" s="46">
        <v>90</v>
      </c>
      <c r="AB298" s="50">
        <v>19479</v>
      </c>
      <c r="AC298" s="50" t="s">
        <v>357</v>
      </c>
      <c r="AD298" s="50">
        <v>100</v>
      </c>
      <c r="AE298" s="42">
        <v>30</v>
      </c>
      <c r="AF298" s="52" t="str">
        <f>+IF(AE298&gt;0,FIXED(Fuelbeds_english!AF298*0.3048,1,0),AE298)</f>
        <v>0.4</v>
      </c>
      <c r="AG298" s="45">
        <v>80</v>
      </c>
      <c r="AH298" s="52" t="str">
        <f>+IF(AE298&gt;0,FIXED(Fuelbeds_english!AH298*2.242,1,0),AE298)</f>
        <v>1.0</v>
      </c>
      <c r="AI298" s="45">
        <v>40529</v>
      </c>
      <c r="AJ298" s="45" t="s">
        <v>356</v>
      </c>
      <c r="AK298" s="45">
        <v>100</v>
      </c>
      <c r="AL298" s="34">
        <v>3.6224999999999996</v>
      </c>
      <c r="AM298" s="52" t="str">
        <f>+IF(AL298&gt;0,FIXED(Fuelbeds_english!AM298*2.54,1,0),AL298)</f>
        <v>2.5</v>
      </c>
      <c r="AN298" s="52" t="str">
        <f>+IF($AM298&gt;0,FIXED(Fuelbeds_english!AN298*2.242,1,0),$AM298)</f>
        <v>0.1</v>
      </c>
      <c r="AO298" s="52" t="str">
        <f>+IF($AM298&gt;0,FIXED(Fuelbeds_english!AO298*2.242,1,0),$AM298)</f>
        <v>0.3</v>
      </c>
      <c r="AP298" s="52" t="str">
        <f>+IF($AM298&gt;0,FIXED(Fuelbeds_english!AP298*2.242,1,0),$AM298)</f>
        <v>0.6</v>
      </c>
      <c r="AQ298" s="52" t="str">
        <f>+IF($AM298&gt;0,FIXED(Fuelbeds_english!AQ298*2.242,1,0),$AM298)</f>
        <v>1.8</v>
      </c>
      <c r="AR298" s="36">
        <v>183412</v>
      </c>
      <c r="AS298" s="45" t="s">
        <v>398</v>
      </c>
      <c r="AT298" s="45">
        <v>100</v>
      </c>
      <c r="AU298" s="44">
        <v>-1</v>
      </c>
      <c r="AV298" s="52">
        <f>+IF(AU298&gt;0,FIXED(Fuelbeds_english!AV298*2.54,1,0),AU298)</f>
        <v>-1</v>
      </c>
      <c r="AW298" s="88">
        <v>1</v>
      </c>
      <c r="AX298" s="88">
        <v>63</v>
      </c>
      <c r="AY298" s="52" t="str">
        <f>+IF(AX298&gt;0,FIXED(Fuelbeds_english!AY298*2.54,1,0),AX298)</f>
        <v>5.8</v>
      </c>
      <c r="AZ298" s="45">
        <v>1</v>
      </c>
      <c r="BA298" s="36">
        <v>6.3</v>
      </c>
      <c r="BB298" s="52" t="str">
        <f>+IF(BA298&gt;0,FIXED(Fuelbeds_english!BB298*2.54,1,0),BA298)</f>
        <v>1.8</v>
      </c>
      <c r="BC298" s="45">
        <v>-1</v>
      </c>
      <c r="BD298" s="45">
        <v>-1</v>
      </c>
      <c r="BE298" s="45">
        <v>100</v>
      </c>
      <c r="BF298" s="45">
        <v>-1</v>
      </c>
      <c r="BG298" s="45">
        <v>-1</v>
      </c>
      <c r="BH298" s="45">
        <v>-1</v>
      </c>
      <c r="BI298" s="45">
        <v>-1</v>
      </c>
      <c r="BJ298" s="28">
        <v>2</v>
      </c>
      <c r="BK298" s="36">
        <v>7.8749999999999991</v>
      </c>
      <c r="BL298" s="52" t="str">
        <f>+IF(BK298&gt;0,FIXED(Fuelbeds_english!BL298*2.54,1,0),BK298)</f>
        <v>12.7</v>
      </c>
      <c r="BM298" s="45">
        <v>4</v>
      </c>
      <c r="BN298" s="36">
        <v>7.8749999999999991</v>
      </c>
      <c r="BO298" s="52" t="str">
        <f>+IF(BN298&gt;0,FIXED(Fuelbeds_english!BO298*2.54,1,0),BN298)</f>
        <v>12.7</v>
      </c>
    </row>
    <row r="299" spans="1:67" s="50" customFormat="1" x14ac:dyDescent="0.25">
      <c r="A299" s="50">
        <v>298</v>
      </c>
      <c r="B299" s="36">
        <v>11120</v>
      </c>
      <c r="C299" s="46">
        <v>11120</v>
      </c>
      <c r="D299" s="22" t="s">
        <v>205</v>
      </c>
      <c r="E299" s="13" t="s">
        <v>8</v>
      </c>
      <c r="F299" s="39">
        <v>7.9</v>
      </c>
      <c r="G299" s="43">
        <v>7.9</v>
      </c>
      <c r="H299" s="45">
        <f>+IF(F299&gt;0,INT(Fuelbeds_english!H299*2.471),F299)</f>
        <v>126</v>
      </c>
      <c r="I299" s="36">
        <f>+IF(F299&gt;0,INT(Fuelbeds_english!I299*0.3048),F299)</f>
        <v>11</v>
      </c>
      <c r="J299" s="45">
        <f>+IF(F299&gt;0,INT(Fuelbeds_english!J299*0.3048),F299)</f>
        <v>5</v>
      </c>
      <c r="K299" s="45">
        <f>+IF(F299&gt;0,INT(Fuelbeds_english!K299*2.54),F299)</f>
        <v>15</v>
      </c>
      <c r="L299" s="55" t="s">
        <v>359</v>
      </c>
      <c r="M299" s="36" t="s">
        <v>358</v>
      </c>
      <c r="N299" s="55" t="s">
        <v>156</v>
      </c>
      <c r="O299" s="43">
        <v>2.0387096774193547</v>
      </c>
      <c r="P299" s="45">
        <f>+IF(O299&gt;0,INT(Fuelbeds_english!P299*2.471),O299)</f>
        <v>51</v>
      </c>
      <c r="Q299" s="36">
        <f>+IF(O299&gt;0,INT(Fuelbeds_english!Q299*0.3048),O299)</f>
        <v>6</v>
      </c>
      <c r="R299" s="45">
        <f>+IF(O299&gt;0,INT(Fuelbeds_english!R299*0.3048),O299)</f>
        <v>2</v>
      </c>
      <c r="S299" s="45">
        <f>+IF(O299&gt;0,INT(Fuelbeds_english!S299*2.54),O299)</f>
        <v>8</v>
      </c>
      <c r="T299" s="36">
        <v>18033</v>
      </c>
      <c r="U299" s="36" t="s">
        <v>355</v>
      </c>
      <c r="V299" s="36">
        <v>100</v>
      </c>
      <c r="W299" s="36">
        <v>1</v>
      </c>
      <c r="X299" s="98">
        <v>2</v>
      </c>
      <c r="Y299" s="29">
        <v>13</v>
      </c>
      <c r="Z299" s="88" t="str">
        <f>+IF(Y299&gt;0,FIXED(Fuelbeds_english!Z299*0.3048,1,0),Y299)</f>
        <v>3.4</v>
      </c>
      <c r="AA299" s="46">
        <v>90</v>
      </c>
      <c r="AB299" s="50">
        <v>22476</v>
      </c>
      <c r="AC299" s="50" t="s">
        <v>157</v>
      </c>
      <c r="AD299" s="50">
        <v>100</v>
      </c>
      <c r="AE299" s="42">
        <v>74</v>
      </c>
      <c r="AF299" s="52" t="str">
        <f>+IF(AE299&gt;0,FIXED(Fuelbeds_english!AF299*0.3048,1,0),AE299)</f>
        <v>0.4</v>
      </c>
      <c r="AG299" s="36">
        <v>80</v>
      </c>
      <c r="AH299" s="52" t="str">
        <f>+IF(AE299&gt;0,FIXED(Fuelbeds_english!AH299*2.242,1,0),AE299)</f>
        <v>4.7</v>
      </c>
      <c r="AI299" s="45">
        <v>40529</v>
      </c>
      <c r="AJ299" s="45" t="s">
        <v>356</v>
      </c>
      <c r="AK299" s="45">
        <v>100</v>
      </c>
      <c r="AL299" s="34">
        <v>3.2</v>
      </c>
      <c r="AM299" s="52" t="str">
        <f>+IF(AL299&gt;0,FIXED(Fuelbeds_english!AM299*2.54,1,0),AL299)</f>
        <v>2.6</v>
      </c>
      <c r="AN299" s="52" t="str">
        <f>+IF($AM299&gt;0,FIXED(Fuelbeds_english!AN299*2.242,1,0),$AM299)</f>
        <v>0.2</v>
      </c>
      <c r="AO299" s="52" t="str">
        <f>+IF($AM299&gt;0,FIXED(Fuelbeds_english!AO299*2.242,1,0),$AM299)</f>
        <v>0.2</v>
      </c>
      <c r="AP299" s="52" t="str">
        <f>+IF($AM299&gt;0,FIXED(Fuelbeds_english!AP299*2.242,1,0),$AM299)</f>
        <v>0.4</v>
      </c>
      <c r="AQ299" s="52" t="str">
        <f>+IF($AM299&gt;0,FIXED(Fuelbeds_english!AQ299*2.242,1,0),$AM299)</f>
        <v>1.5</v>
      </c>
      <c r="AR299" s="55" t="s">
        <v>359</v>
      </c>
      <c r="AS299" s="36" t="s">
        <v>358</v>
      </c>
      <c r="AT299" s="55" t="s">
        <v>156</v>
      </c>
      <c r="AU299" s="44">
        <v>4.25</v>
      </c>
      <c r="AV299" s="52" t="str">
        <f>+IF(AU299&gt;0,FIXED(Fuelbeds_english!AV299*2.54,1,0),AU299)</f>
        <v>5.1</v>
      </c>
      <c r="AW299" s="88">
        <v>2</v>
      </c>
      <c r="AX299" s="52">
        <v>27.5</v>
      </c>
      <c r="AY299" s="52" t="str">
        <f>+IF(AX299&gt;0,FIXED(Fuelbeds_english!AY299*2.54,1,0),AX299)</f>
        <v>5.1</v>
      </c>
      <c r="AZ299" s="45">
        <v>1</v>
      </c>
      <c r="BA299" s="36">
        <v>7.3903225806451616</v>
      </c>
      <c r="BB299" s="52" t="str">
        <f>+IF(BA299&gt;0,FIXED(Fuelbeds_english!BB299*2.54,1,0),BA299)</f>
        <v>4.1</v>
      </c>
      <c r="BC299" s="45">
        <v>-1</v>
      </c>
      <c r="BD299" s="45">
        <v>-1</v>
      </c>
      <c r="BE299" s="45">
        <v>30</v>
      </c>
      <c r="BF299" s="45">
        <v>70</v>
      </c>
      <c r="BG299" s="45">
        <v>-1</v>
      </c>
      <c r="BH299" s="45">
        <v>-1</v>
      </c>
      <c r="BI299" s="45">
        <v>-1</v>
      </c>
      <c r="BJ299" s="28">
        <v>1</v>
      </c>
      <c r="BK299" s="36">
        <v>9.1999999999999993</v>
      </c>
      <c r="BL299" s="52" t="str">
        <f>+IF(BK299&gt;0,FIXED(Fuelbeds_english!BL299*2.54,1,0),BK299)</f>
        <v>5.1</v>
      </c>
      <c r="BM299" s="45">
        <v>3</v>
      </c>
      <c r="BN299" s="36">
        <v>9.1999999999999993</v>
      </c>
      <c r="BO299" s="52" t="str">
        <f>+IF(BN299&gt;0,FIXED(Fuelbeds_english!BO299*2.54,1,0),BN299)</f>
        <v>2.5</v>
      </c>
    </row>
    <row r="300" spans="1:67" s="50" customFormat="1" x14ac:dyDescent="0.25">
      <c r="A300" s="50">
        <v>299</v>
      </c>
      <c r="B300" s="36">
        <v>11122</v>
      </c>
      <c r="C300" s="70">
        <v>11122</v>
      </c>
      <c r="D300" s="22" t="s">
        <v>205</v>
      </c>
      <c r="E300" s="78" t="s">
        <v>409</v>
      </c>
      <c r="F300" s="39">
        <v>5.4</v>
      </c>
      <c r="G300" s="36">
        <v>5.4</v>
      </c>
      <c r="H300" s="45">
        <f>+IF(F300&gt;0,INT(Fuelbeds_english!H300*2.471),F300)</f>
        <v>46</v>
      </c>
      <c r="I300" s="36">
        <f>+IF(F300&gt;0,INT(Fuelbeds_english!I300*0.3048),F300)</f>
        <v>13</v>
      </c>
      <c r="J300" s="45">
        <f>+IF(F300&gt;0,INT(Fuelbeds_english!J300*0.3048),F300)</f>
        <v>4</v>
      </c>
      <c r="K300" s="45">
        <f>+IF(F300&gt;0,INT(Fuelbeds_english!K300*2.54),F300)</f>
        <v>17</v>
      </c>
      <c r="L300" s="36">
        <v>183412</v>
      </c>
      <c r="M300" s="36" t="s">
        <v>398</v>
      </c>
      <c r="N300" s="36">
        <v>100</v>
      </c>
      <c r="O300" s="36">
        <v>-1</v>
      </c>
      <c r="P300" s="45">
        <f>+IF(O300&gt;0,INT(Fuelbeds_english!P300*2.471),O300)</f>
        <v>-1</v>
      </c>
      <c r="Q300" s="36">
        <f>+IF(O300&gt;0,INT(Fuelbeds_english!Q300*0.3048),O300)</f>
        <v>-1</v>
      </c>
      <c r="R300" s="45">
        <f>+IF(O300&gt;0,INT(Fuelbeds_english!R300*0.3048),O300)</f>
        <v>-1</v>
      </c>
      <c r="S300" s="45">
        <f>+IF(O300&gt;0,INT(Fuelbeds_english!S300*2.54),O300)</f>
        <v>-1</v>
      </c>
      <c r="T300" s="36">
        <v>-1</v>
      </c>
      <c r="U300" s="36">
        <v>-1</v>
      </c>
      <c r="V300" s="36">
        <v>-1</v>
      </c>
      <c r="W300" s="36">
        <v>1</v>
      </c>
      <c r="X300" s="98">
        <v>2</v>
      </c>
      <c r="Y300" s="29">
        <v>15</v>
      </c>
      <c r="Z300" s="88" t="str">
        <f>+IF(Y300&gt;0,FIXED(Fuelbeds_english!Z300*0.3048,1,0),Y300)</f>
        <v>0.9</v>
      </c>
      <c r="AA300" s="46">
        <v>90</v>
      </c>
      <c r="AB300" s="50">
        <v>19479</v>
      </c>
      <c r="AC300" s="50" t="s">
        <v>357</v>
      </c>
      <c r="AD300" s="50">
        <v>100</v>
      </c>
      <c r="AE300" s="42">
        <v>60</v>
      </c>
      <c r="AF300" s="52" t="str">
        <f>+IF(AE300&gt;0,FIXED(Fuelbeds_english!AF300*0.3048,1,0),AE300)</f>
        <v>0.4</v>
      </c>
      <c r="AG300" s="45">
        <v>80</v>
      </c>
      <c r="AH300" s="52" t="str">
        <f>+IF(AE300&gt;0,FIXED(Fuelbeds_english!AH300*2.242,1,0),AE300)</f>
        <v>2.0</v>
      </c>
      <c r="AI300" s="45">
        <v>40529</v>
      </c>
      <c r="AJ300" s="45" t="s">
        <v>356</v>
      </c>
      <c r="AK300" s="45">
        <v>100</v>
      </c>
      <c r="AL300" s="34">
        <v>3.1050000000000004</v>
      </c>
      <c r="AM300" s="52" t="str">
        <f>+IF(AL300&gt;0,FIXED(Fuelbeds_english!AM300*2.54,1,0),AL300)</f>
        <v>2.5</v>
      </c>
      <c r="AN300" s="52" t="str">
        <f>+IF($AM300&gt;0,FIXED(Fuelbeds_english!AN300*2.242,1,0),$AM300)</f>
        <v>0.1</v>
      </c>
      <c r="AO300" s="52" t="str">
        <f>+IF($AM300&gt;0,FIXED(Fuelbeds_english!AO300*2.242,1,0),$AM300)</f>
        <v>0.2</v>
      </c>
      <c r="AP300" s="52" t="str">
        <f>+IF($AM300&gt;0,FIXED(Fuelbeds_english!AP300*2.242,1,0),$AM300)</f>
        <v>0.5</v>
      </c>
      <c r="AQ300" s="52" t="str">
        <f>+IF($AM300&gt;0,FIXED(Fuelbeds_english!AQ300*2.242,1,0),$AM300)</f>
        <v>1.6</v>
      </c>
      <c r="AR300" s="36">
        <v>183412</v>
      </c>
      <c r="AS300" s="45" t="s">
        <v>398</v>
      </c>
      <c r="AT300" s="45">
        <v>100</v>
      </c>
      <c r="AU300" s="44">
        <v>-1</v>
      </c>
      <c r="AV300" s="52">
        <f>+IF(AU300&gt;0,FIXED(Fuelbeds_english!AV300*2.54,1,0),AU300)</f>
        <v>-1</v>
      </c>
      <c r="AW300" s="88">
        <v>1</v>
      </c>
      <c r="AX300" s="88">
        <v>63</v>
      </c>
      <c r="AY300" s="52" t="str">
        <f>+IF(AX300&gt;0,FIXED(Fuelbeds_english!AY300*2.54,1,0),AX300)</f>
        <v>5.8</v>
      </c>
      <c r="AZ300" s="45">
        <v>1</v>
      </c>
      <c r="BA300" s="36">
        <v>5.4</v>
      </c>
      <c r="BB300" s="52" t="str">
        <f>+IF(BA300&gt;0,FIXED(Fuelbeds_english!BB300*2.54,1,0),BA300)</f>
        <v>1.8</v>
      </c>
      <c r="BC300" s="45">
        <v>-1</v>
      </c>
      <c r="BD300" s="45">
        <v>-1</v>
      </c>
      <c r="BE300" s="45">
        <v>100</v>
      </c>
      <c r="BF300" s="45">
        <v>-1</v>
      </c>
      <c r="BG300" s="45">
        <v>-1</v>
      </c>
      <c r="BH300" s="45">
        <v>-1</v>
      </c>
      <c r="BI300" s="45">
        <v>-1</v>
      </c>
      <c r="BJ300" s="28">
        <v>2</v>
      </c>
      <c r="BK300" s="36">
        <v>6.7499999999999991</v>
      </c>
      <c r="BL300" s="52" t="str">
        <f>+IF(BK300&gt;0,FIXED(Fuelbeds_english!BL300*2.54,1,0),BK300)</f>
        <v>12.7</v>
      </c>
      <c r="BM300" s="45">
        <v>4</v>
      </c>
      <c r="BN300" s="36">
        <v>6.7499999999999991</v>
      </c>
      <c r="BO300" s="52" t="str">
        <f>+IF(BN300&gt;0,FIXED(Fuelbeds_english!BO300*2.54,1,0),BN300)</f>
        <v>12.7</v>
      </c>
    </row>
    <row r="301" spans="1:67" s="50" customFormat="1" x14ac:dyDescent="0.25">
      <c r="A301" s="50">
        <v>300</v>
      </c>
      <c r="B301" s="36">
        <v>11130</v>
      </c>
      <c r="C301" s="46">
        <v>11130</v>
      </c>
      <c r="D301" s="22" t="s">
        <v>205</v>
      </c>
      <c r="E301" s="14" t="s">
        <v>10</v>
      </c>
      <c r="F301" s="39">
        <v>-3</v>
      </c>
      <c r="G301" s="36">
        <v>-3</v>
      </c>
      <c r="H301" s="45">
        <f>+IF(F301&gt;0,INT(Fuelbeds_english!H301*2.471),F301)</f>
        <v>-3</v>
      </c>
      <c r="I301" s="36">
        <f>+IF(F301&gt;0,INT(Fuelbeds_english!I301*0.3048),F301)</f>
        <v>-3</v>
      </c>
      <c r="J301" s="45">
        <f>+IF(F301&gt;0,INT(Fuelbeds_english!J301*0.3048),F301)</f>
        <v>-3</v>
      </c>
      <c r="K301" s="45">
        <f>+IF(F301&gt;0,INT(Fuelbeds_english!K301*2.54),F301)</f>
        <v>-3</v>
      </c>
      <c r="L301" s="45">
        <v>-3</v>
      </c>
      <c r="M301" s="45">
        <v>-3</v>
      </c>
      <c r="N301" s="45">
        <v>-3</v>
      </c>
      <c r="O301" s="36">
        <v>-3</v>
      </c>
      <c r="P301" s="45">
        <f>+IF(O301&gt;0,INT(Fuelbeds_english!P301*2.471),O301)</f>
        <v>-3</v>
      </c>
      <c r="Q301" s="36">
        <f>+IF(O301&gt;0,INT(Fuelbeds_english!Q301*0.3048),O301)</f>
        <v>-3</v>
      </c>
      <c r="R301" s="45">
        <f>+IF(O301&gt;0,INT(Fuelbeds_english!R301*0.3048),O301)</f>
        <v>-3</v>
      </c>
      <c r="S301" s="45">
        <f>+IF(O301&gt;0,INT(Fuelbeds_english!S301*2.54),O301)</f>
        <v>-3</v>
      </c>
      <c r="T301" s="45">
        <v>-3</v>
      </c>
      <c r="U301" s="45">
        <v>-3</v>
      </c>
      <c r="V301" s="45">
        <v>-3</v>
      </c>
      <c r="W301" s="45">
        <v>-3</v>
      </c>
      <c r="X301" s="99">
        <v>-3</v>
      </c>
      <c r="Y301" s="29">
        <v>78.599999999999994</v>
      </c>
      <c r="Z301" s="88" t="str">
        <f>+IF(Y301&gt;0,FIXED(Fuelbeds_english!Z301*0.3048,1,0),Y301)</f>
        <v>0.2</v>
      </c>
      <c r="AA301" s="46">
        <v>90</v>
      </c>
      <c r="AB301" s="45">
        <v>505637</v>
      </c>
      <c r="AC301" s="50" t="s">
        <v>360</v>
      </c>
      <c r="AD301" s="50">
        <v>100</v>
      </c>
      <c r="AE301" s="42">
        <v>-3</v>
      </c>
      <c r="AF301" s="52">
        <f>+IF(AE301&gt;0,FIXED(Fuelbeds_english!AF301*0.3048,1,0),AE301)</f>
        <v>-3</v>
      </c>
      <c r="AG301" s="45">
        <v>-3</v>
      </c>
      <c r="AH301" s="52">
        <f>+IF(AE301&gt;0,FIXED(Fuelbeds_english!AH301*2.242,1,0),AE301)</f>
        <v>-3</v>
      </c>
      <c r="AI301" s="45">
        <v>-3</v>
      </c>
      <c r="AJ301" s="45">
        <v>-3</v>
      </c>
      <c r="AK301" s="45">
        <v>-3</v>
      </c>
      <c r="AL301" s="34">
        <v>-1</v>
      </c>
      <c r="AM301" s="52">
        <f>+IF(AL301&gt;0,FIXED(Fuelbeds_english!AM301*2.54,1,0),AL301)</f>
        <v>-1</v>
      </c>
      <c r="AN301" s="52">
        <f>+IF(AM301&gt;0,FIXED(Fuelbeds_english!AN301*0.3048,1,0),AM301)</f>
        <v>-1</v>
      </c>
      <c r="AO301" s="52">
        <f>+IF(AN301&gt;0,FIXED(Fuelbeds_english!AO301*0.3048,1,0),AN301)</f>
        <v>-1</v>
      </c>
      <c r="AP301" s="52">
        <f>+IF(AO301&gt;0,FIXED(Fuelbeds_english!AP301*0.3048,1,0),AO301)</f>
        <v>-1</v>
      </c>
      <c r="AQ301" s="52">
        <f>+IF(AP301&gt;0,FIXED(Fuelbeds_english!AQ301*0.3048,1,0),AP301)</f>
        <v>-1</v>
      </c>
      <c r="AR301" s="36">
        <v>-1</v>
      </c>
      <c r="AS301" s="36">
        <v>-1</v>
      </c>
      <c r="AT301" s="36">
        <v>-1</v>
      </c>
      <c r="AU301" s="44">
        <v>20</v>
      </c>
      <c r="AV301" s="52" t="str">
        <f>+IF(AU301&gt;0,FIXED(Fuelbeds_english!AV301*2.54,1,0),AU301)</f>
        <v>5.1</v>
      </c>
      <c r="AW301" s="88">
        <v>2</v>
      </c>
      <c r="AX301" s="52">
        <v>10</v>
      </c>
      <c r="AY301" s="52" t="str">
        <f>+IF(AX301&gt;0,FIXED(Fuelbeds_english!AY301*2.54,1,0),AX301)</f>
        <v>6.4</v>
      </c>
      <c r="AZ301" s="45">
        <v>1</v>
      </c>
      <c r="BA301" s="36">
        <v>50</v>
      </c>
      <c r="BB301" s="52" t="str">
        <f>+IF(BA301&gt;0,FIXED(Fuelbeds_english!BB301*2.54,1,0),BA301)</f>
        <v>2.5</v>
      </c>
      <c r="BC301" s="45">
        <v>-1</v>
      </c>
      <c r="BD301" s="45">
        <v>-1</v>
      </c>
      <c r="BE301" s="45">
        <v>-1</v>
      </c>
      <c r="BF301" s="45">
        <v>-1</v>
      </c>
      <c r="BG301" s="45">
        <v>100</v>
      </c>
      <c r="BH301" s="45">
        <v>-1</v>
      </c>
      <c r="BI301" s="45">
        <v>-1</v>
      </c>
      <c r="BJ301" s="28">
        <v>1</v>
      </c>
      <c r="BK301" s="36">
        <v>50</v>
      </c>
      <c r="BL301" s="52" t="str">
        <f>+IF(BK301&gt;0,FIXED(Fuelbeds_english!BL301*2.54,1,0),BK301)</f>
        <v>2.5</v>
      </c>
      <c r="BM301" s="45">
        <v>3</v>
      </c>
      <c r="BN301" s="36">
        <v>20</v>
      </c>
      <c r="BO301" s="52" t="str">
        <f>+IF(BN301&gt;0,FIXED(Fuelbeds_english!BO301*2.54,1,0),BN301)</f>
        <v>2.5</v>
      </c>
    </row>
    <row r="302" spans="1:67" s="50" customFormat="1" x14ac:dyDescent="0.25">
      <c r="A302" s="50">
        <v>301</v>
      </c>
      <c r="B302" s="36">
        <v>11140</v>
      </c>
      <c r="C302" s="46">
        <v>11140</v>
      </c>
      <c r="D302" s="22" t="s">
        <v>205</v>
      </c>
      <c r="E302" s="15" t="s">
        <v>14</v>
      </c>
      <c r="F302" s="39">
        <v>-3</v>
      </c>
      <c r="G302" s="36">
        <v>-3</v>
      </c>
      <c r="H302" s="45">
        <f>+IF(F302&gt;0,INT(Fuelbeds_english!H302*2.471),F302)</f>
        <v>-3</v>
      </c>
      <c r="I302" s="36">
        <f>+IF(F302&gt;0,INT(Fuelbeds_english!I302*0.3048),F302)</f>
        <v>-3</v>
      </c>
      <c r="J302" s="45">
        <f>+IF(F302&gt;0,INT(Fuelbeds_english!J302*0.3048),F302)</f>
        <v>-3</v>
      </c>
      <c r="K302" s="45">
        <f>+IF(F302&gt;0,INT(Fuelbeds_english!K302*2.54),F302)</f>
        <v>-3</v>
      </c>
      <c r="L302" s="45">
        <v>-3</v>
      </c>
      <c r="M302" s="45">
        <v>-3</v>
      </c>
      <c r="N302" s="45">
        <v>-3</v>
      </c>
      <c r="O302" s="36">
        <v>-3</v>
      </c>
      <c r="P302" s="45">
        <f>+IF(O302&gt;0,INT(Fuelbeds_english!P302*2.471),O302)</f>
        <v>-3</v>
      </c>
      <c r="Q302" s="36">
        <f>+IF(O302&gt;0,INT(Fuelbeds_english!Q302*0.3048),O302)</f>
        <v>-3</v>
      </c>
      <c r="R302" s="45">
        <f>+IF(O302&gt;0,INT(Fuelbeds_english!R302*0.3048),O302)</f>
        <v>-3</v>
      </c>
      <c r="S302" s="45">
        <f>+IF(O302&gt;0,INT(Fuelbeds_english!S302*2.54),O302)</f>
        <v>-3</v>
      </c>
      <c r="T302" s="45">
        <v>-3</v>
      </c>
      <c r="U302" s="45">
        <v>-3</v>
      </c>
      <c r="V302" s="45">
        <v>-3</v>
      </c>
      <c r="W302" s="45">
        <v>-3</v>
      </c>
      <c r="X302" s="99">
        <v>-3</v>
      </c>
      <c r="Y302" s="81">
        <v>-3</v>
      </c>
      <c r="Z302" s="88">
        <f>+IF(Y302&gt;0,FIXED(Fuelbeds_english!Z302*0.3048,1,0),Y302)</f>
        <v>-3</v>
      </c>
      <c r="AA302" s="48">
        <v>-3</v>
      </c>
      <c r="AB302" s="10">
        <v>-3</v>
      </c>
      <c r="AC302" s="10">
        <v>-3</v>
      </c>
      <c r="AD302" s="10">
        <v>-3</v>
      </c>
      <c r="AE302" s="42">
        <v>70</v>
      </c>
      <c r="AF302" s="52" t="str">
        <f>+IF(AE302&gt;0,FIXED(Fuelbeds_english!AF302*0.3048,1,0),AE302)</f>
        <v>0.6</v>
      </c>
      <c r="AG302" s="36">
        <v>85</v>
      </c>
      <c r="AH302" s="52" t="str">
        <f>+IF(AE302&gt;0,FIXED(Fuelbeds_english!AH302*2.242,1,0),AE302)</f>
        <v>7.4</v>
      </c>
      <c r="AI302" s="45">
        <v>40104</v>
      </c>
      <c r="AJ302" s="45" t="s">
        <v>362</v>
      </c>
      <c r="AK302" s="45">
        <v>100</v>
      </c>
      <c r="AL302" s="34">
        <v>-3</v>
      </c>
      <c r="AM302" s="52">
        <f>+IF(AL302&gt;0,FIXED(Fuelbeds_english!AM302*2.54,1,0),AL302)</f>
        <v>-3</v>
      </c>
      <c r="AN302" s="52">
        <f>+IF(AM302&gt;0,FIXED(Fuelbeds_english!AN302*0.3048,1,0),AM302)</f>
        <v>-3</v>
      </c>
      <c r="AO302" s="52">
        <f>+IF(AN302&gt;0,FIXED(Fuelbeds_english!AO302*0.3048,1,0),AN302)</f>
        <v>-3</v>
      </c>
      <c r="AP302" s="52">
        <f>+IF(AO302&gt;0,FIXED(Fuelbeds_english!AP302*0.3048,1,0),AO302)</f>
        <v>-3</v>
      </c>
      <c r="AQ302" s="52">
        <f>+IF(AP302&gt;0,FIXED(Fuelbeds_english!AQ302*0.3048,1,0),AP302)</f>
        <v>-3</v>
      </c>
      <c r="AR302" s="36">
        <v>-3</v>
      </c>
      <c r="AS302" s="45">
        <v>-3</v>
      </c>
      <c r="AT302" s="45">
        <v>-3</v>
      </c>
      <c r="AU302" s="44">
        <v>5</v>
      </c>
      <c r="AV302" s="52" t="str">
        <f>+IF(AU302&gt;0,FIXED(Fuelbeds_english!AV302*2.54,1,0),AU302)</f>
        <v>5.1</v>
      </c>
      <c r="AW302" s="88">
        <v>1</v>
      </c>
      <c r="AX302" s="52">
        <v>15</v>
      </c>
      <c r="AY302" s="52" t="str">
        <f>+IF(AX302&gt;0,FIXED(Fuelbeds_english!AY302*2.54,1,0),AX302)</f>
        <v>50.8</v>
      </c>
      <c r="AZ302" s="45">
        <v>1</v>
      </c>
      <c r="BA302" s="36">
        <v>100</v>
      </c>
      <c r="BB302" s="52" t="str">
        <f>+IF(BA302&gt;0,FIXED(Fuelbeds_english!BB302*2.54,1,0),BA302)</f>
        <v>7.6</v>
      </c>
      <c r="BC302" s="45">
        <v>-1</v>
      </c>
      <c r="BD302" s="45">
        <v>-1</v>
      </c>
      <c r="BE302" s="45">
        <v>-1</v>
      </c>
      <c r="BF302" s="45">
        <v>-1</v>
      </c>
      <c r="BG302" s="45">
        <v>-1</v>
      </c>
      <c r="BH302" s="45">
        <v>-1</v>
      </c>
      <c r="BI302" s="45">
        <v>100</v>
      </c>
      <c r="BJ302" s="28">
        <v>2</v>
      </c>
      <c r="BK302" s="36">
        <v>70</v>
      </c>
      <c r="BL302" s="52" t="str">
        <f>+IF(BK302&gt;0,FIXED(Fuelbeds_english!BL302*2.54,1,0),BK302)</f>
        <v>7.6</v>
      </c>
      <c r="BM302" s="45">
        <v>4</v>
      </c>
      <c r="BN302" s="36">
        <v>70</v>
      </c>
      <c r="BO302" s="52" t="str">
        <f>+IF(BN302&gt;0,FIXED(Fuelbeds_english!BO302*2.54,1,0),BN302)</f>
        <v>7.6</v>
      </c>
    </row>
    <row r="303" spans="1:67" s="50" customFormat="1" x14ac:dyDescent="0.25">
      <c r="A303" s="50">
        <v>302</v>
      </c>
      <c r="B303" s="36">
        <v>11150</v>
      </c>
      <c r="C303" s="46">
        <v>11150</v>
      </c>
      <c r="D303" s="22" t="s">
        <v>205</v>
      </c>
      <c r="E303" s="18" t="s">
        <v>15</v>
      </c>
      <c r="F303" s="39">
        <v>-3</v>
      </c>
      <c r="G303" s="36">
        <v>-3</v>
      </c>
      <c r="H303" s="45">
        <f>+IF(F303&gt;0,INT(Fuelbeds_english!H303*2.471),F303)</f>
        <v>-3</v>
      </c>
      <c r="I303" s="36">
        <f>+IF(F303&gt;0,INT(Fuelbeds_english!I303*0.3048),F303)</f>
        <v>-3</v>
      </c>
      <c r="J303" s="45">
        <f>+IF(F303&gt;0,INT(Fuelbeds_english!J303*0.3048),F303)</f>
        <v>-3</v>
      </c>
      <c r="K303" s="45">
        <f>+IF(F303&gt;0,INT(Fuelbeds_english!K303*2.54),F303)</f>
        <v>-3</v>
      </c>
      <c r="L303" s="45">
        <v>-3</v>
      </c>
      <c r="M303" s="45">
        <v>-3</v>
      </c>
      <c r="N303" s="45">
        <v>-3</v>
      </c>
      <c r="O303" s="36">
        <v>-3</v>
      </c>
      <c r="P303" s="45">
        <f>+IF(O303&gt;0,INT(Fuelbeds_english!P303*2.471),O303)</f>
        <v>-3</v>
      </c>
      <c r="Q303" s="36">
        <f>+IF(O303&gt;0,INT(Fuelbeds_english!Q303*0.3048),O303)</f>
        <v>-3</v>
      </c>
      <c r="R303" s="45">
        <f>+IF(O303&gt;0,INT(Fuelbeds_english!R303*0.3048),O303)</f>
        <v>-3</v>
      </c>
      <c r="S303" s="45">
        <f>+IF(O303&gt;0,INT(Fuelbeds_english!S303*2.54),O303)</f>
        <v>-3</v>
      </c>
      <c r="T303" s="45">
        <v>-3</v>
      </c>
      <c r="U303" s="45">
        <v>-3</v>
      </c>
      <c r="V303" s="45">
        <v>-3</v>
      </c>
      <c r="W303" s="45">
        <v>-3</v>
      </c>
      <c r="X303" s="99">
        <v>-3</v>
      </c>
      <c r="Y303" s="29">
        <v>2</v>
      </c>
      <c r="Z303" s="88" t="str">
        <f>+IF(Y303&gt;0,FIXED(Fuelbeds_english!Z303*0.3048,1,0),Y303)</f>
        <v>0.2</v>
      </c>
      <c r="AA303" s="36">
        <v>90</v>
      </c>
      <c r="AB303" s="50">
        <v>505637</v>
      </c>
      <c r="AC303" s="50" t="s">
        <v>360</v>
      </c>
      <c r="AD303" s="50">
        <v>100</v>
      </c>
      <c r="AE303" s="42">
        <v>13</v>
      </c>
      <c r="AF303" s="52" t="str">
        <f>+IF(AE303&gt;0,FIXED(Fuelbeds_english!AF303*0.3048,1,0),AE303)</f>
        <v>0.3</v>
      </c>
      <c r="AG303" s="36">
        <v>85</v>
      </c>
      <c r="AH303" s="52" t="str">
        <f>+IF(AE303&gt;0,FIXED(Fuelbeds_english!AH303*2.242,1,0),AE303)</f>
        <v>1.2</v>
      </c>
      <c r="AI303" s="45">
        <v>40104</v>
      </c>
      <c r="AJ303" s="45" t="s">
        <v>362</v>
      </c>
      <c r="AK303" s="45">
        <v>100</v>
      </c>
      <c r="AL303" s="34">
        <v>-1</v>
      </c>
      <c r="AM303" s="52">
        <f>+IF(AL303&gt;0,FIXED(Fuelbeds_english!AM303*2.54,1,0),AL303)</f>
        <v>-1</v>
      </c>
      <c r="AN303" s="52">
        <f>+IF(AM303&gt;0,FIXED(Fuelbeds_english!AN303*0.3048,1,0),AM303)</f>
        <v>-1</v>
      </c>
      <c r="AO303" s="52">
        <f>+IF(AN303&gt;0,FIXED(Fuelbeds_english!AO303*0.3048,1,0),AN303)</f>
        <v>-1</v>
      </c>
      <c r="AP303" s="52">
        <f>+IF(AO303&gt;0,FIXED(Fuelbeds_english!AP303*0.3048,1,0),AO303)</f>
        <v>-1</v>
      </c>
      <c r="AQ303" s="52">
        <f>+IF(AP303&gt;0,FIXED(Fuelbeds_english!AQ303*0.3048,1,0),AP303)</f>
        <v>-1</v>
      </c>
      <c r="AR303" s="36">
        <v>-1</v>
      </c>
      <c r="AS303" s="36">
        <v>-1</v>
      </c>
      <c r="AT303" s="36">
        <v>-1</v>
      </c>
      <c r="AU303" s="44">
        <v>5</v>
      </c>
      <c r="AV303" s="52" t="str">
        <f>+IF(AU303&gt;0,FIXED(Fuelbeds_english!AV303*2.54,1,0),AU303)</f>
        <v>5.1</v>
      </c>
      <c r="AW303" s="88">
        <v>1</v>
      </c>
      <c r="AX303" s="52">
        <v>15</v>
      </c>
      <c r="AY303" s="52" t="str">
        <f>+IF(AX303&gt;0,FIXED(Fuelbeds_english!AY303*2.54,1,0),AX303)</f>
        <v>50.8</v>
      </c>
      <c r="AZ303" s="36">
        <v>-1</v>
      </c>
      <c r="BA303" s="36">
        <v>-1</v>
      </c>
      <c r="BB303" s="52">
        <f>+IF(BA303&gt;0,FIXED(Fuelbeds_english!BB303*2.54,1,0),BA303)</f>
        <v>-1</v>
      </c>
      <c r="BC303" s="36">
        <v>-1</v>
      </c>
      <c r="BD303" s="36">
        <v>-1</v>
      </c>
      <c r="BE303" s="36">
        <v>-1</v>
      </c>
      <c r="BF303" s="36">
        <v>-1</v>
      </c>
      <c r="BG303" s="36">
        <v>-1</v>
      </c>
      <c r="BH303" s="36">
        <v>-1</v>
      </c>
      <c r="BI303" s="36">
        <v>-1</v>
      </c>
      <c r="BJ303" s="28">
        <v>2</v>
      </c>
      <c r="BK303" s="36">
        <v>15</v>
      </c>
      <c r="BL303" s="52" t="str">
        <f>+IF(BK303&gt;0,FIXED(Fuelbeds_english!BL303*2.54,1,0),BK303)</f>
        <v>7.6</v>
      </c>
      <c r="BM303" s="45">
        <v>4</v>
      </c>
      <c r="BN303" s="36">
        <v>15</v>
      </c>
      <c r="BO303" s="52" t="str">
        <f>+IF(BN303&gt;0,FIXED(Fuelbeds_english!BO303*2.54,1,0),BN303)</f>
        <v>7.6</v>
      </c>
    </row>
    <row r="304" spans="1:67" s="50" customFormat="1" x14ac:dyDescent="0.25">
      <c r="A304" s="50">
        <v>303</v>
      </c>
      <c r="B304" s="36">
        <v>11180</v>
      </c>
      <c r="C304" s="46">
        <v>11180</v>
      </c>
      <c r="D304" s="22" t="s">
        <v>205</v>
      </c>
      <c r="E304" s="16" t="s">
        <v>13</v>
      </c>
      <c r="F304" s="39">
        <v>-3</v>
      </c>
      <c r="G304" s="36">
        <v>-3</v>
      </c>
      <c r="H304" s="45">
        <f>+IF(F304&gt;0,INT(Fuelbeds_english!H304*2.471),F304)</f>
        <v>-3</v>
      </c>
      <c r="I304" s="36">
        <f>+IF(F304&gt;0,INT(Fuelbeds_english!I304*0.3048),F304)</f>
        <v>-3</v>
      </c>
      <c r="J304" s="45">
        <f>+IF(F304&gt;0,INT(Fuelbeds_english!J304*0.3048),F304)</f>
        <v>-3</v>
      </c>
      <c r="K304" s="45">
        <f>+IF(F304&gt;0,INT(Fuelbeds_english!K304*2.54),F304)</f>
        <v>-3</v>
      </c>
      <c r="L304" s="45">
        <v>-3</v>
      </c>
      <c r="M304" s="45">
        <v>-3</v>
      </c>
      <c r="N304" s="45">
        <v>-3</v>
      </c>
      <c r="O304" s="36">
        <v>-3</v>
      </c>
      <c r="P304" s="45">
        <f>+IF(O304&gt;0,INT(Fuelbeds_english!P304*2.471),O304)</f>
        <v>-3</v>
      </c>
      <c r="Q304" s="36">
        <f>+IF(O304&gt;0,INT(Fuelbeds_english!Q304*0.3048),O304)</f>
        <v>-3</v>
      </c>
      <c r="R304" s="45">
        <f>+IF(O304&gt;0,INT(Fuelbeds_english!R304*0.3048),O304)</f>
        <v>-3</v>
      </c>
      <c r="S304" s="45">
        <f>+IF(O304&gt;0,INT(Fuelbeds_english!S304*2.54),O304)</f>
        <v>-3</v>
      </c>
      <c r="T304" s="45">
        <v>-3</v>
      </c>
      <c r="U304" s="45">
        <v>-3</v>
      </c>
      <c r="V304" s="45">
        <v>-3</v>
      </c>
      <c r="W304" s="45">
        <v>-3</v>
      </c>
      <c r="X304" s="99">
        <v>-3</v>
      </c>
      <c r="Y304" s="81">
        <v>-1</v>
      </c>
      <c r="Z304" s="88">
        <f>+IF(Y304&gt;0,FIXED(Fuelbeds_english!Z304*0.3048,1,0),Y304)</f>
        <v>-1</v>
      </c>
      <c r="AA304" s="48">
        <v>-1</v>
      </c>
      <c r="AB304" s="10">
        <v>-1</v>
      </c>
      <c r="AC304" s="10">
        <v>-1</v>
      </c>
      <c r="AD304" s="10">
        <v>-1</v>
      </c>
      <c r="AE304" s="42">
        <v>72</v>
      </c>
      <c r="AF304" s="52" t="str">
        <f>+IF(AE304&gt;0,FIXED(Fuelbeds_english!AF304*0.3048,1,0),AE304)</f>
        <v>0.8</v>
      </c>
      <c r="AG304" s="36">
        <v>90</v>
      </c>
      <c r="AH304" s="52" t="str">
        <f>+IF(AE304&gt;0,FIXED(Fuelbeds_english!AH304*2.242,1,0),AE304)</f>
        <v>6.1</v>
      </c>
      <c r="AI304" s="45">
        <v>40792</v>
      </c>
      <c r="AJ304" s="45" t="s">
        <v>365</v>
      </c>
      <c r="AK304" s="45">
        <v>100</v>
      </c>
      <c r="AL304" s="34">
        <v>-1</v>
      </c>
      <c r="AM304" s="52">
        <f>+IF(AL304&gt;0,FIXED(Fuelbeds_english!AM304*2.54,1,0),AL304)</f>
        <v>-1</v>
      </c>
      <c r="AN304" s="52">
        <f>+IF(AM304&gt;0,FIXED(Fuelbeds_english!AN304*0.3048,1,0),AM304)</f>
        <v>-1</v>
      </c>
      <c r="AO304" s="52">
        <f>+IF(AN304&gt;0,FIXED(Fuelbeds_english!AO304*0.3048,1,0),AN304)</f>
        <v>-1</v>
      </c>
      <c r="AP304" s="52">
        <f>+IF(AO304&gt;0,FIXED(Fuelbeds_english!AP304*0.3048,1,0),AO304)</f>
        <v>-1</v>
      </c>
      <c r="AQ304" s="52">
        <f>+IF(AP304&gt;0,FIXED(Fuelbeds_english!AQ304*0.3048,1,0),AP304)</f>
        <v>-1</v>
      </c>
      <c r="AR304" s="36">
        <v>-1</v>
      </c>
      <c r="AS304" s="36">
        <v>-1</v>
      </c>
      <c r="AT304" s="36">
        <v>-1</v>
      </c>
      <c r="AU304" s="44">
        <v>-3</v>
      </c>
      <c r="AV304" s="52">
        <f>+IF(AU304&gt;0,FIXED(Fuelbeds_english!AV304*2.54,1,0),AU304)</f>
        <v>-3</v>
      </c>
      <c r="AW304" s="88">
        <v>2</v>
      </c>
      <c r="AX304" s="52">
        <v>10</v>
      </c>
      <c r="AY304" s="52" t="str">
        <f>+IF(AX304&gt;0,FIXED(Fuelbeds_english!AY304*2.54,1,0),AX304)</f>
        <v>2.5</v>
      </c>
      <c r="AZ304" s="45">
        <v>2</v>
      </c>
      <c r="BA304" s="36">
        <v>72</v>
      </c>
      <c r="BB304" s="52" t="str">
        <f>+IF(BA304&gt;0,FIXED(Fuelbeds_english!BB304*2.54,1,0),BA304)</f>
        <v>5.1</v>
      </c>
      <c r="BC304" s="45">
        <v>-1</v>
      </c>
      <c r="BD304" s="45">
        <v>-1</v>
      </c>
      <c r="BE304" s="45">
        <v>-1</v>
      </c>
      <c r="BF304" s="45">
        <v>-1</v>
      </c>
      <c r="BG304" s="45">
        <v>-1</v>
      </c>
      <c r="BH304" s="45">
        <v>-1</v>
      </c>
      <c r="BI304" s="45">
        <v>100</v>
      </c>
      <c r="BJ304" s="28">
        <v>1</v>
      </c>
      <c r="BK304" s="36">
        <v>50</v>
      </c>
      <c r="BL304" s="52" t="str">
        <f>+IF(BK304&gt;0,FIXED(Fuelbeds_english!BL304*2.54,1,0),BK304)</f>
        <v>1.3</v>
      </c>
      <c r="BM304" s="45">
        <v>4</v>
      </c>
      <c r="BN304" s="36">
        <v>50</v>
      </c>
      <c r="BO304" s="52" t="str">
        <f>+IF(BN304&gt;0,FIXED(Fuelbeds_english!BO304*2.54,1,0),BN304)</f>
        <v>1.3</v>
      </c>
    </row>
    <row r="305" spans="1:67" s="50" customFormat="1" x14ac:dyDescent="0.25">
      <c r="A305" s="50">
        <v>304</v>
      </c>
      <c r="B305" s="36">
        <v>12010</v>
      </c>
      <c r="C305" s="46">
        <v>12010</v>
      </c>
      <c r="D305" s="36" t="s">
        <v>351</v>
      </c>
      <c r="E305" s="25" t="s">
        <v>410</v>
      </c>
      <c r="F305" s="39">
        <v>-3</v>
      </c>
      <c r="G305" s="45">
        <v>-3</v>
      </c>
      <c r="H305" s="45">
        <f>+IF(F305&gt;0,INT(Fuelbeds_english!H305*2.471),F305)</f>
        <v>-3</v>
      </c>
      <c r="I305" s="36">
        <f>+IF(F305&gt;0,INT(Fuelbeds_english!I305*0.3048),F305)</f>
        <v>-3</v>
      </c>
      <c r="J305" s="45">
        <f>+IF(F305&gt;0,INT(Fuelbeds_english!J305*0.3048),F305)</f>
        <v>-3</v>
      </c>
      <c r="K305" s="45">
        <f>+IF(F305&gt;0,INT(Fuelbeds_english!K305*2.54),F305)</f>
        <v>-3</v>
      </c>
      <c r="L305" s="45">
        <v>-3</v>
      </c>
      <c r="M305" s="45">
        <v>-3</v>
      </c>
      <c r="N305" s="45">
        <v>-3</v>
      </c>
      <c r="O305" s="45">
        <v>-3</v>
      </c>
      <c r="P305" s="45">
        <f>+IF(O305&gt;0,INT(Fuelbeds_english!P305*2.471),O305)</f>
        <v>-3</v>
      </c>
      <c r="Q305" s="36">
        <f>+IF(O305&gt;0,INT(Fuelbeds_english!Q305*0.3048),O305)</f>
        <v>-3</v>
      </c>
      <c r="R305" s="45">
        <f>+IF(O305&gt;0,INT(Fuelbeds_english!R305*0.3048),O305)</f>
        <v>-3</v>
      </c>
      <c r="S305" s="45">
        <f>+IF(O305&gt;0,INT(Fuelbeds_english!S305*2.54),O305)</f>
        <v>-3</v>
      </c>
      <c r="T305" s="45">
        <v>-3</v>
      </c>
      <c r="U305" s="45">
        <v>-3</v>
      </c>
      <c r="V305" s="45">
        <v>-3</v>
      </c>
      <c r="W305" s="45">
        <v>-3</v>
      </c>
      <c r="X305" s="99">
        <v>-3</v>
      </c>
      <c r="Y305" s="81">
        <v>-3</v>
      </c>
      <c r="Z305" s="88">
        <f>+IF(Y305&gt;0,FIXED(Fuelbeds_english!Z305*0.3048,1,0),Y305)</f>
        <v>-3</v>
      </c>
      <c r="AA305" s="48">
        <v>-3</v>
      </c>
      <c r="AB305" s="10">
        <v>-3</v>
      </c>
      <c r="AC305" s="10">
        <v>-3</v>
      </c>
      <c r="AD305" s="10">
        <v>-3</v>
      </c>
      <c r="AE305" s="42">
        <v>100</v>
      </c>
      <c r="AF305" s="52" t="str">
        <f>+IF(AE305&gt;0,FIXED(Fuelbeds_english!AF305*0.3048,1,0),AE305)</f>
        <v>0.2</v>
      </c>
      <c r="AG305" s="36">
        <v>0</v>
      </c>
      <c r="AH305" s="52" t="str">
        <f>+IF(AE305&gt;0,FIXED(Fuelbeds_english!AH305*2.242,1,0),AE305)</f>
        <v>0.4</v>
      </c>
      <c r="AI305" s="45">
        <v>42236</v>
      </c>
      <c r="AJ305" s="45" t="s">
        <v>207</v>
      </c>
      <c r="AK305" s="45">
        <v>100</v>
      </c>
      <c r="AL305" s="34">
        <v>-3</v>
      </c>
      <c r="AM305" s="52">
        <f>+IF(AL305&gt;0,FIXED(Fuelbeds_english!AM305*2.54,1,0),AL305)</f>
        <v>-3</v>
      </c>
      <c r="AN305" s="52">
        <f>+IF(AM305&gt;0,FIXED(Fuelbeds_english!AN305*0.3048,1,0),AM305)</f>
        <v>-3</v>
      </c>
      <c r="AO305" s="52">
        <f>+IF(AN305&gt;0,FIXED(Fuelbeds_english!AO305*0.3048,1,0),AN305)</f>
        <v>-3</v>
      </c>
      <c r="AP305" s="52">
        <f>+IF(AO305&gt;0,FIXED(Fuelbeds_english!AP305*0.3048,1,0),AO305)</f>
        <v>-3</v>
      </c>
      <c r="AQ305" s="52">
        <f>+IF(AP305&gt;0,FIXED(Fuelbeds_english!AQ305*0.3048,1,0),AP305)</f>
        <v>-3</v>
      </c>
      <c r="AR305" s="36">
        <v>-3</v>
      </c>
      <c r="AS305" s="45">
        <v>-3</v>
      </c>
      <c r="AT305" s="45">
        <v>-3</v>
      </c>
      <c r="AU305" s="44">
        <v>-1</v>
      </c>
      <c r="AV305" s="52">
        <f>+IF(AU305&gt;0,FIXED(Fuelbeds_english!AV305*2.54,1,0),AU305)</f>
        <v>-1</v>
      </c>
      <c r="AW305" s="52">
        <v>-1</v>
      </c>
      <c r="AX305" s="52">
        <v>-1</v>
      </c>
      <c r="AY305" s="52">
        <f>+IF(AX305&gt;0,FIXED(Fuelbeds_english!AY305*2.54,1,0),AX305)</f>
        <v>-1</v>
      </c>
      <c r="AZ305" s="45">
        <v>2</v>
      </c>
      <c r="BA305" s="36">
        <v>65</v>
      </c>
      <c r="BB305" s="52" t="str">
        <f>+IF(BA305&gt;0,FIXED(Fuelbeds_english!BB305*2.54,1,0),BA305)</f>
        <v>1.3</v>
      </c>
      <c r="BC305" s="53">
        <v>-1</v>
      </c>
      <c r="BD305" s="53">
        <v>-1</v>
      </c>
      <c r="BE305" s="53">
        <v>-1</v>
      </c>
      <c r="BF305" s="53">
        <v>-1</v>
      </c>
      <c r="BG305" s="53">
        <v>-1</v>
      </c>
      <c r="BH305" s="53">
        <v>-1</v>
      </c>
      <c r="BI305" s="45">
        <v>100</v>
      </c>
      <c r="BJ305" s="28">
        <v>-1</v>
      </c>
      <c r="BK305" s="36">
        <v>-1</v>
      </c>
      <c r="BL305" s="52">
        <f>+IF(BK305&gt;0,FIXED(Fuelbeds_english!BL305*2.54,1,0),BK305)</f>
        <v>-1</v>
      </c>
      <c r="BM305" s="36">
        <v>-1</v>
      </c>
      <c r="BN305" s="36">
        <v>-1</v>
      </c>
      <c r="BO305" s="52">
        <f>+IF(BN305&gt;0,FIXED(Fuelbeds_english!BO305*2.54,1,0),BN305)</f>
        <v>-1</v>
      </c>
    </row>
    <row r="306" spans="1:67" s="50" customFormat="1" x14ac:dyDescent="0.25">
      <c r="A306" s="50">
        <v>305</v>
      </c>
      <c r="B306" s="36">
        <v>12012</v>
      </c>
      <c r="C306" s="46">
        <v>12012</v>
      </c>
      <c r="D306" s="36" t="s">
        <v>351</v>
      </c>
      <c r="E306" s="25" t="s">
        <v>412</v>
      </c>
      <c r="F306" s="39">
        <v>-3</v>
      </c>
      <c r="G306" s="45">
        <v>-3</v>
      </c>
      <c r="H306" s="45">
        <f>+IF(F306&gt;0,INT(Fuelbeds_english!H306*2.471),F306)</f>
        <v>-3</v>
      </c>
      <c r="I306" s="36">
        <f>+IF(F306&gt;0,INT(Fuelbeds_english!I306*0.3048),F306)</f>
        <v>-3</v>
      </c>
      <c r="J306" s="45">
        <f>+IF(F306&gt;0,INT(Fuelbeds_english!J306*0.3048),F306)</f>
        <v>-3</v>
      </c>
      <c r="K306" s="45">
        <f>+IF(F306&gt;0,INT(Fuelbeds_english!K306*2.54),F306)</f>
        <v>-3</v>
      </c>
      <c r="L306" s="45">
        <v>-3</v>
      </c>
      <c r="M306" s="45">
        <v>-3</v>
      </c>
      <c r="N306" s="45">
        <v>-3</v>
      </c>
      <c r="O306" s="45">
        <v>-3</v>
      </c>
      <c r="P306" s="45">
        <f>+IF(O306&gt;0,INT(Fuelbeds_english!P306*2.471),O306)</f>
        <v>-3</v>
      </c>
      <c r="Q306" s="36">
        <f>+IF(O306&gt;0,INT(Fuelbeds_english!Q306*0.3048),O306)</f>
        <v>-3</v>
      </c>
      <c r="R306" s="45">
        <f>+IF(O306&gt;0,INT(Fuelbeds_english!R306*0.3048),O306)</f>
        <v>-3</v>
      </c>
      <c r="S306" s="45">
        <f>+IF(O306&gt;0,INT(Fuelbeds_english!S306*2.54),O306)</f>
        <v>-3</v>
      </c>
      <c r="T306" s="45">
        <v>-3</v>
      </c>
      <c r="U306" s="45">
        <v>-3</v>
      </c>
      <c r="V306" s="45">
        <v>-3</v>
      </c>
      <c r="W306" s="45">
        <v>-3</v>
      </c>
      <c r="X306" s="99">
        <v>-3</v>
      </c>
      <c r="Y306" s="81">
        <v>-3</v>
      </c>
      <c r="Z306" s="88">
        <f>+IF(Y306&gt;0,FIXED(Fuelbeds_english!Z306*0.3048,1,0),Y306)</f>
        <v>-3</v>
      </c>
      <c r="AA306" s="48">
        <v>-3</v>
      </c>
      <c r="AB306" s="10">
        <v>-3</v>
      </c>
      <c r="AC306" s="10">
        <v>-3</v>
      </c>
      <c r="AD306" s="10">
        <v>-3</v>
      </c>
      <c r="AE306" s="42">
        <v>100</v>
      </c>
      <c r="AF306" s="52" t="str">
        <f>+IF(AE306&gt;0,FIXED(Fuelbeds_english!AF306*0.3048,1,0),AE306)</f>
        <v>0.2</v>
      </c>
      <c r="AG306" s="62">
        <v>0</v>
      </c>
      <c r="AH306" s="52" t="str">
        <f>+IF(AE306&gt;0,FIXED(Fuelbeds_english!AH306*2.242,1,0),AE306)</f>
        <v>1.1</v>
      </c>
      <c r="AI306" s="45">
        <v>42269</v>
      </c>
      <c r="AJ306" s="45" t="s">
        <v>206</v>
      </c>
      <c r="AK306" s="45">
        <v>100</v>
      </c>
      <c r="AL306" s="34">
        <v>-3</v>
      </c>
      <c r="AM306" s="52">
        <f>+IF(AL306&gt;0,FIXED(Fuelbeds_english!AM306*2.54,1,0),AL306)</f>
        <v>-3</v>
      </c>
      <c r="AN306" s="52">
        <f>+IF(AM306&gt;0,FIXED(Fuelbeds_english!AN306*0.3048,1,0),AM306)</f>
        <v>-3</v>
      </c>
      <c r="AO306" s="52">
        <f>+IF(AN306&gt;0,FIXED(Fuelbeds_english!AO306*0.3048,1,0),AN306)</f>
        <v>-3</v>
      </c>
      <c r="AP306" s="52">
        <f>+IF(AO306&gt;0,FIXED(Fuelbeds_english!AP306*0.3048,1,0),AO306)</f>
        <v>-3</v>
      </c>
      <c r="AQ306" s="52">
        <f>+IF(AP306&gt;0,FIXED(Fuelbeds_english!AQ306*0.3048,1,0),AP306)</f>
        <v>-3</v>
      </c>
      <c r="AR306" s="36">
        <v>-3</v>
      </c>
      <c r="AS306" s="45">
        <v>-3</v>
      </c>
      <c r="AT306" s="45">
        <v>-3</v>
      </c>
      <c r="AU306" s="44">
        <v>-1</v>
      </c>
      <c r="AV306" s="52">
        <f>+IF(AU306&gt;0,FIXED(Fuelbeds_english!AV306*2.54,1,0),AU306)</f>
        <v>-1</v>
      </c>
      <c r="AW306" s="52">
        <v>-1</v>
      </c>
      <c r="AX306" s="52">
        <v>-1</v>
      </c>
      <c r="AY306" s="52">
        <f>+IF(AX306&gt;0,FIXED(Fuelbeds_english!AY306*2.54,1,0),AX306)</f>
        <v>-1</v>
      </c>
      <c r="AZ306" s="45">
        <v>2</v>
      </c>
      <c r="BA306" s="36">
        <v>65</v>
      </c>
      <c r="BB306" s="52" t="str">
        <f>+IF(BA306&gt;0,FIXED(Fuelbeds_english!BB306*2.54,1,0),BA306)</f>
        <v>1.3</v>
      </c>
      <c r="BC306" s="53">
        <v>-1</v>
      </c>
      <c r="BD306" s="53">
        <v>-1</v>
      </c>
      <c r="BE306" s="53">
        <v>-1</v>
      </c>
      <c r="BF306" s="53">
        <v>-1</v>
      </c>
      <c r="BG306" s="53">
        <v>-1</v>
      </c>
      <c r="BH306" s="53">
        <v>-1</v>
      </c>
      <c r="BI306" s="45">
        <v>100</v>
      </c>
      <c r="BJ306" s="28">
        <v>-1</v>
      </c>
      <c r="BK306" s="36">
        <v>-1</v>
      </c>
      <c r="BL306" s="52">
        <f>+IF(BK306&gt;0,FIXED(Fuelbeds_english!BL306*2.54,1,0),BK306)</f>
        <v>-1</v>
      </c>
      <c r="BM306" s="36">
        <v>-1</v>
      </c>
      <c r="BN306" s="36">
        <v>-1</v>
      </c>
      <c r="BO306" s="52">
        <f>+IF(BN306&gt;0,FIXED(Fuelbeds_english!BO306*2.54,1,0),BN306)</f>
        <v>-1</v>
      </c>
    </row>
    <row r="307" spans="1:67" s="50" customFormat="1" x14ac:dyDescent="0.25">
      <c r="A307" s="50">
        <v>306</v>
      </c>
      <c r="B307" s="36">
        <v>12018</v>
      </c>
      <c r="C307" s="46">
        <v>12018</v>
      </c>
      <c r="D307" s="36" t="s">
        <v>351</v>
      </c>
      <c r="E307" s="25" t="s">
        <v>418</v>
      </c>
      <c r="F307" s="39">
        <v>-3</v>
      </c>
      <c r="G307" s="45">
        <v>-3</v>
      </c>
      <c r="H307" s="45">
        <f>+IF(F307&gt;0,INT(Fuelbeds_english!H307*2.471),F307)</f>
        <v>-3</v>
      </c>
      <c r="I307" s="36">
        <f>+IF(F307&gt;0,INT(Fuelbeds_english!I307*0.3048),F307)</f>
        <v>-3</v>
      </c>
      <c r="J307" s="45">
        <f>+IF(F307&gt;0,INT(Fuelbeds_english!J307*0.3048),F307)</f>
        <v>-3</v>
      </c>
      <c r="K307" s="45">
        <f>+IF(F307&gt;0,INT(Fuelbeds_english!K307*2.54),F307)</f>
        <v>-3</v>
      </c>
      <c r="L307" s="45">
        <v>-3</v>
      </c>
      <c r="M307" s="45">
        <v>-3</v>
      </c>
      <c r="N307" s="45">
        <v>-3</v>
      </c>
      <c r="O307" s="45">
        <v>-3</v>
      </c>
      <c r="P307" s="45">
        <f>+IF(O307&gt;0,INT(Fuelbeds_english!P307*2.471),O307)</f>
        <v>-3</v>
      </c>
      <c r="Q307" s="36">
        <f>+IF(O307&gt;0,INT(Fuelbeds_english!Q307*0.3048),O307)</f>
        <v>-3</v>
      </c>
      <c r="R307" s="45">
        <f>+IF(O307&gt;0,INT(Fuelbeds_english!R307*0.3048),O307)</f>
        <v>-3</v>
      </c>
      <c r="S307" s="45">
        <f>+IF(O307&gt;0,INT(Fuelbeds_english!S307*2.54),O307)</f>
        <v>-3</v>
      </c>
      <c r="T307" s="45">
        <v>-3</v>
      </c>
      <c r="U307" s="45">
        <v>-3</v>
      </c>
      <c r="V307" s="45">
        <v>-3</v>
      </c>
      <c r="W307" s="45">
        <v>-3</v>
      </c>
      <c r="X307" s="99">
        <v>-3</v>
      </c>
      <c r="Y307" s="81">
        <v>-3</v>
      </c>
      <c r="Z307" s="88">
        <f>+IF(Y307&gt;0,FIXED(Fuelbeds_english!Z307*0.3048,1,0),Y307)</f>
        <v>-3</v>
      </c>
      <c r="AA307" s="48">
        <v>-3</v>
      </c>
      <c r="AB307" s="10">
        <v>-3</v>
      </c>
      <c r="AC307" s="10">
        <v>-3</v>
      </c>
      <c r="AD307" s="10">
        <v>-3</v>
      </c>
      <c r="AE307" s="42">
        <v>100</v>
      </c>
      <c r="AF307" s="52" t="str">
        <f>+IF(AE307&gt;0,FIXED(Fuelbeds_english!AF307*0.3048,1,0),AE307)</f>
        <v>0.2</v>
      </c>
      <c r="AG307" s="45">
        <v>0</v>
      </c>
      <c r="AH307" s="52" t="str">
        <f>+IF(AE307&gt;0,FIXED(Fuelbeds_english!AH307*2.242,1,0),AE307)</f>
        <v>0.4</v>
      </c>
      <c r="AI307" s="45">
        <v>41088</v>
      </c>
      <c r="AJ307" s="45" t="s">
        <v>420</v>
      </c>
      <c r="AK307" s="45">
        <v>100</v>
      </c>
      <c r="AL307" s="34">
        <v>-3</v>
      </c>
      <c r="AM307" s="52">
        <f>+IF(AL307&gt;0,FIXED(Fuelbeds_english!AM307*2.54,1,0),AL307)</f>
        <v>-3</v>
      </c>
      <c r="AN307" s="52">
        <f>+IF(AM307&gt;0,FIXED(Fuelbeds_english!AN307*0.3048,1,0),AM307)</f>
        <v>-3</v>
      </c>
      <c r="AO307" s="52">
        <f>+IF(AN307&gt;0,FIXED(Fuelbeds_english!AO307*0.3048,1,0),AN307)</f>
        <v>-3</v>
      </c>
      <c r="AP307" s="52">
        <f>+IF(AO307&gt;0,FIXED(Fuelbeds_english!AP307*0.3048,1,0),AO307)</f>
        <v>-3</v>
      </c>
      <c r="AQ307" s="52">
        <f>+IF(AP307&gt;0,FIXED(Fuelbeds_english!AQ307*0.3048,1,0),AP307)</f>
        <v>-3</v>
      </c>
      <c r="AR307" s="36">
        <v>-3</v>
      </c>
      <c r="AS307" s="45">
        <v>-3</v>
      </c>
      <c r="AT307" s="45">
        <v>-3</v>
      </c>
      <c r="AU307" s="44">
        <v>-1</v>
      </c>
      <c r="AV307" s="52">
        <f>+IF(AU307&gt;0,FIXED(Fuelbeds_english!AV307*2.54,1,0),AU307)</f>
        <v>-1</v>
      </c>
      <c r="AW307" s="52">
        <v>-1</v>
      </c>
      <c r="AX307" s="52">
        <v>-1</v>
      </c>
      <c r="AY307" s="52">
        <f>+IF(AX307&gt;0,FIXED(Fuelbeds_english!AY307*2.54,1,0),AX307)</f>
        <v>-1</v>
      </c>
      <c r="AZ307" s="45">
        <v>2</v>
      </c>
      <c r="BA307" s="36">
        <v>65</v>
      </c>
      <c r="BB307" s="52" t="str">
        <f>+IF(BA307&gt;0,FIXED(Fuelbeds_english!BB307*2.54,1,0),BA307)</f>
        <v>1.3</v>
      </c>
      <c r="BC307" s="53">
        <v>-1</v>
      </c>
      <c r="BD307" s="53">
        <v>-1</v>
      </c>
      <c r="BE307" s="53">
        <v>-1</v>
      </c>
      <c r="BF307" s="53">
        <v>-1</v>
      </c>
      <c r="BG307" s="53">
        <v>-1</v>
      </c>
      <c r="BH307" s="53">
        <v>-1</v>
      </c>
      <c r="BI307" s="45">
        <v>100</v>
      </c>
      <c r="BJ307" s="28">
        <v>-1</v>
      </c>
      <c r="BK307" s="36">
        <v>-1</v>
      </c>
      <c r="BL307" s="52">
        <f>+IF(BK307&gt;0,FIXED(Fuelbeds_english!BL307*2.54,1,0),BK307)</f>
        <v>-1</v>
      </c>
      <c r="BM307" s="36">
        <v>-1</v>
      </c>
      <c r="BN307" s="36">
        <v>-1</v>
      </c>
      <c r="BO307" s="52">
        <f>+IF(BN307&gt;0,FIXED(Fuelbeds_english!BO307*2.54,1,0),BN307)</f>
        <v>-1</v>
      </c>
    </row>
    <row r="308" spans="1:67" s="50" customFormat="1" x14ac:dyDescent="0.25">
      <c r="A308" s="50">
        <v>307</v>
      </c>
      <c r="B308" s="36">
        <v>12020</v>
      </c>
      <c r="C308" s="46">
        <v>12020</v>
      </c>
      <c r="D308" s="36" t="s">
        <v>351</v>
      </c>
      <c r="E308" s="38" t="s">
        <v>427</v>
      </c>
      <c r="F308" s="39">
        <v>5.4069399999999996</v>
      </c>
      <c r="G308" s="45">
        <v>5</v>
      </c>
      <c r="H308" s="45">
        <f>+IF(F308&gt;0,INT(Fuelbeds_english!H308*2.471),F308)</f>
        <v>14</v>
      </c>
      <c r="I308" s="36">
        <f>+IF(F308&gt;0,INT(Fuelbeds_english!I308*0.3048),F308)</f>
        <v>10</v>
      </c>
      <c r="J308" s="45">
        <f>+IF(F308&gt;0,INT(Fuelbeds_english!J308*0.3048),F308)</f>
        <v>0</v>
      </c>
      <c r="K308" s="45">
        <f>+IF(F308&gt;0,INT(Fuelbeds_english!K308*2.54),F308)</f>
        <v>30</v>
      </c>
      <c r="L308" s="36">
        <v>19276</v>
      </c>
      <c r="M308" s="36" t="s">
        <v>158</v>
      </c>
      <c r="N308" s="36">
        <v>100</v>
      </c>
      <c r="O308" s="36">
        <v>-1</v>
      </c>
      <c r="P308" s="45">
        <f>+IF(O308&gt;0,INT(Fuelbeds_english!P308*2.471),O308)</f>
        <v>-1</v>
      </c>
      <c r="Q308" s="36">
        <f>+IF(O308&gt;0,INT(Fuelbeds_english!Q308*0.3048),O308)</f>
        <v>-1</v>
      </c>
      <c r="R308" s="45">
        <f>+IF(O308&gt;0,INT(Fuelbeds_english!R308*0.3048),O308)</f>
        <v>-1</v>
      </c>
      <c r="S308" s="45">
        <f>+IF(O308&gt;0,INT(Fuelbeds_english!S308*2.54),O308)</f>
        <v>-1</v>
      </c>
      <c r="T308" s="36">
        <v>-1</v>
      </c>
      <c r="U308" s="36">
        <v>-1</v>
      </c>
      <c r="V308" s="36">
        <v>-1</v>
      </c>
      <c r="W308" s="36">
        <v>-1</v>
      </c>
      <c r="X308" s="98">
        <v>-1</v>
      </c>
      <c r="Y308" s="29">
        <v>14.593059999999994</v>
      </c>
      <c r="Z308" s="88" t="str">
        <f>+IF(Y308&gt;0,FIXED(Fuelbeds_english!Z308*0.3048,1,0),Y308)</f>
        <v>0.3</v>
      </c>
      <c r="AA308" s="36">
        <v>75</v>
      </c>
      <c r="AB308" s="50">
        <v>507263</v>
      </c>
      <c r="AC308" s="50" t="s">
        <v>364</v>
      </c>
      <c r="AD308" s="50">
        <v>100</v>
      </c>
      <c r="AE308" s="42">
        <v>60</v>
      </c>
      <c r="AF308" s="52" t="str">
        <f>+IF(AE308&gt;0,FIXED(Fuelbeds_english!AF308*0.3048,1,0),AE308)</f>
        <v>0.2</v>
      </c>
      <c r="AG308" s="45">
        <v>0</v>
      </c>
      <c r="AH308" s="52" t="str">
        <f>+IF(AE308&gt;0,FIXED(Fuelbeds_english!AH308*2.242,1,0),AE308)</f>
        <v>0.2</v>
      </c>
      <c r="AI308" s="45">
        <v>42236</v>
      </c>
      <c r="AJ308" s="45" t="s">
        <v>207</v>
      </c>
      <c r="AK308" s="45">
        <v>100</v>
      </c>
      <c r="AL308" s="34">
        <v>1.6666666666666663</v>
      </c>
      <c r="AM308" s="52" t="str">
        <f>+IF(AL308&gt;0,FIXED(Fuelbeds_english!AM308*2.54,1,0),AL308)</f>
        <v>2.5</v>
      </c>
      <c r="AN308" s="52" t="str">
        <f>+IF($AM308&gt;0,FIXED(Fuelbeds_english!AN308*2.242,1,0),$AM308)</f>
        <v>0.2</v>
      </c>
      <c r="AO308" s="52" t="str">
        <f>+IF($AM308&gt;0,FIXED(Fuelbeds_english!AO308*2.242,1,0),$AM308)</f>
        <v>0.4</v>
      </c>
      <c r="AP308" s="52" t="str">
        <f>+IF($AM308&gt;0,FIXED(Fuelbeds_english!AP308*2.242,1,0),$AM308)</f>
        <v>0.7</v>
      </c>
      <c r="AQ308" s="52" t="str">
        <f>+IF($AM308&gt;0,FIXED(Fuelbeds_english!AQ308*2.242,1,0),$AM308)</f>
        <v>0.9</v>
      </c>
      <c r="AR308" s="36">
        <v>19276</v>
      </c>
      <c r="AS308" s="45" t="s">
        <v>158</v>
      </c>
      <c r="AT308" s="45">
        <v>100</v>
      </c>
      <c r="AU308" s="44">
        <v>-1</v>
      </c>
      <c r="AV308" s="52">
        <f>+IF(AU308&gt;0,FIXED(Fuelbeds_english!AV308*2.54,1,0),AU308)</f>
        <v>-1</v>
      </c>
      <c r="AW308" s="52">
        <v>-1</v>
      </c>
      <c r="AX308" s="52">
        <v>-1</v>
      </c>
      <c r="AY308" s="52">
        <f>+IF(AX308&gt;0,FIXED(Fuelbeds_english!AY308*2.54,1,0),AX308)</f>
        <v>-1</v>
      </c>
      <c r="AZ308" s="45">
        <v>2</v>
      </c>
      <c r="BA308" s="36">
        <v>44</v>
      </c>
      <c r="BB308" s="52" t="str">
        <f>+IF(BA308&gt;0,FIXED(Fuelbeds_english!BB308*2.54,1,0),BA308)</f>
        <v>2.5</v>
      </c>
      <c r="BC308" s="53">
        <v>-1</v>
      </c>
      <c r="BD308" s="53">
        <v>-1</v>
      </c>
      <c r="BE308" s="53">
        <v>-1</v>
      </c>
      <c r="BF308" s="53">
        <v>40</v>
      </c>
      <c r="BG308" s="53">
        <v>-1</v>
      </c>
      <c r="BH308" s="53">
        <v>-1</v>
      </c>
      <c r="BI308" s="45">
        <v>60</v>
      </c>
      <c r="BJ308" s="28">
        <v>1</v>
      </c>
      <c r="BK308" s="55">
        <v>5</v>
      </c>
      <c r="BL308" s="52" t="str">
        <f>+IF(BK308&gt;0,FIXED(Fuelbeds_english!BL308*2.54,1,0),BK308)</f>
        <v>1.0</v>
      </c>
      <c r="BM308" s="53">
        <v>3</v>
      </c>
      <c r="BN308" s="55">
        <v>4</v>
      </c>
      <c r="BO308" s="52" t="str">
        <f>+IF(BN308&gt;0,FIXED(Fuelbeds_english!BO308*2.54,1,0),BN308)</f>
        <v>0.3</v>
      </c>
    </row>
    <row r="309" spans="1:67" s="50" customFormat="1" x14ac:dyDescent="0.25">
      <c r="A309" s="50">
        <v>308</v>
      </c>
      <c r="B309" s="36">
        <v>12022</v>
      </c>
      <c r="C309" s="46">
        <v>12022</v>
      </c>
      <c r="D309" s="36" t="s">
        <v>351</v>
      </c>
      <c r="E309" s="38" t="s">
        <v>428</v>
      </c>
      <c r="F309" s="39">
        <v>15.791600000000001</v>
      </c>
      <c r="G309" s="45">
        <v>16</v>
      </c>
      <c r="H309" s="45">
        <f>+IF(F309&gt;0,INT(Fuelbeds_english!H309*2.471),F309)</f>
        <v>42</v>
      </c>
      <c r="I309" s="36">
        <f>+IF(F309&gt;0,INT(Fuelbeds_english!I309*0.3048),F309)</f>
        <v>15</v>
      </c>
      <c r="J309" s="45">
        <f>+IF(F309&gt;0,INT(Fuelbeds_english!J309*0.3048),F309)</f>
        <v>1</v>
      </c>
      <c r="K309" s="45">
        <f>+IF(F309&gt;0,INT(Fuelbeds_english!K309*2.54),F309)</f>
        <v>45</v>
      </c>
      <c r="L309" s="36">
        <v>19276</v>
      </c>
      <c r="M309" s="36" t="s">
        <v>158</v>
      </c>
      <c r="N309" s="36">
        <v>100</v>
      </c>
      <c r="O309" s="36">
        <v>-1</v>
      </c>
      <c r="P309" s="45">
        <f>+IF(O309&gt;0,INT(Fuelbeds_english!P309*2.471),O309)</f>
        <v>-1</v>
      </c>
      <c r="Q309" s="36">
        <f>+IF(O309&gt;0,INT(Fuelbeds_english!Q309*0.3048),O309)</f>
        <v>-1</v>
      </c>
      <c r="R309" s="45">
        <f>+IF(O309&gt;0,INT(Fuelbeds_english!R309*0.3048),O309)</f>
        <v>-1</v>
      </c>
      <c r="S309" s="45">
        <f>+IF(O309&gt;0,INT(Fuelbeds_english!S309*2.54),O309)</f>
        <v>-1</v>
      </c>
      <c r="T309" s="36">
        <v>-1</v>
      </c>
      <c r="U309" s="36">
        <v>-1</v>
      </c>
      <c r="V309" s="36">
        <v>-1</v>
      </c>
      <c r="W309" s="36">
        <v>-1</v>
      </c>
      <c r="X309" s="98">
        <v>-1</v>
      </c>
      <c r="Y309" s="29">
        <v>4.2083999999999975</v>
      </c>
      <c r="Z309" s="88" t="str">
        <f>+IF(Y309&gt;0,FIXED(Fuelbeds_english!Z309*0.3048,1,0),Y309)</f>
        <v>0.3</v>
      </c>
      <c r="AA309" s="36">
        <v>75</v>
      </c>
      <c r="AB309" s="50">
        <v>507263</v>
      </c>
      <c r="AC309" s="50" t="s">
        <v>364</v>
      </c>
      <c r="AD309" s="50">
        <v>100</v>
      </c>
      <c r="AE309" s="42">
        <v>60</v>
      </c>
      <c r="AF309" s="52" t="str">
        <f>+IF(AE309&gt;0,FIXED(Fuelbeds_english!AF309*0.3048,1,0),AE309)</f>
        <v>0.2</v>
      </c>
      <c r="AG309" s="45">
        <v>0</v>
      </c>
      <c r="AH309" s="52" t="str">
        <f>+IF(AE309&gt;0,FIXED(Fuelbeds_english!AH309*2.242,1,0),AE309)</f>
        <v>0.6</v>
      </c>
      <c r="AI309" s="45">
        <v>42269</v>
      </c>
      <c r="AJ309" s="45" t="s">
        <v>206</v>
      </c>
      <c r="AK309" s="45">
        <v>100</v>
      </c>
      <c r="AL309" s="34">
        <v>1.6666666666666667</v>
      </c>
      <c r="AM309" s="52" t="str">
        <f>+IF(AL309&gt;0,FIXED(Fuelbeds_english!AM309*2.54,1,0),AL309)</f>
        <v>2.5</v>
      </c>
      <c r="AN309" s="52" t="str">
        <f>+IF($AM309&gt;0,FIXED(Fuelbeds_english!AN309*2.242,1,0),$AM309)</f>
        <v>0.2</v>
      </c>
      <c r="AO309" s="52" t="str">
        <f>+IF($AM309&gt;0,FIXED(Fuelbeds_english!AO309*2.242,1,0),$AM309)</f>
        <v>0.4</v>
      </c>
      <c r="AP309" s="52" t="str">
        <f>+IF($AM309&gt;0,FIXED(Fuelbeds_english!AP309*2.242,1,0),$AM309)</f>
        <v>0.7</v>
      </c>
      <c r="AQ309" s="52" t="str">
        <f>+IF($AM309&gt;0,FIXED(Fuelbeds_english!AQ309*2.242,1,0),$AM309)</f>
        <v>0.9</v>
      </c>
      <c r="AR309" s="36">
        <v>19276</v>
      </c>
      <c r="AS309" s="45" t="s">
        <v>158</v>
      </c>
      <c r="AT309" s="45">
        <v>100</v>
      </c>
      <c r="AU309" s="44">
        <v>-1</v>
      </c>
      <c r="AV309" s="52">
        <f>+IF(AU309&gt;0,FIXED(Fuelbeds_english!AV309*2.54,1,0),AU309)</f>
        <v>-1</v>
      </c>
      <c r="AW309" s="52">
        <v>-1</v>
      </c>
      <c r="AX309" s="52">
        <v>-1</v>
      </c>
      <c r="AY309" s="52">
        <f>+IF(AX309&gt;0,FIXED(Fuelbeds_english!AY309*2.54,1,0),AX309)</f>
        <v>-1</v>
      </c>
      <c r="AZ309" s="45">
        <v>2</v>
      </c>
      <c r="BA309" s="36">
        <v>55</v>
      </c>
      <c r="BB309" s="52" t="str">
        <f>+IF(BA309&gt;0,FIXED(Fuelbeds_english!BB309*2.54,1,0),BA309)</f>
        <v>2.5</v>
      </c>
      <c r="BC309" s="53">
        <v>-1</v>
      </c>
      <c r="BD309" s="53">
        <v>-1</v>
      </c>
      <c r="BE309" s="53">
        <v>-1</v>
      </c>
      <c r="BF309" s="53">
        <v>40</v>
      </c>
      <c r="BG309" s="53">
        <v>-1</v>
      </c>
      <c r="BH309" s="53">
        <v>-1</v>
      </c>
      <c r="BI309" s="45">
        <v>60</v>
      </c>
      <c r="BJ309" s="28">
        <v>1</v>
      </c>
      <c r="BK309" s="55">
        <v>16</v>
      </c>
      <c r="BL309" s="52" t="str">
        <f>+IF(BK309&gt;0,FIXED(Fuelbeds_english!BL309*2.54,1,0),BK309)</f>
        <v>1.0</v>
      </c>
      <c r="BM309" s="53">
        <v>3</v>
      </c>
      <c r="BN309" s="55">
        <v>11</v>
      </c>
      <c r="BO309" s="52" t="str">
        <f>+IF(BN309&gt;0,FIXED(Fuelbeds_english!BO309*2.54,1,0),BN309)</f>
        <v>0.3</v>
      </c>
    </row>
    <row r="310" spans="1:67" s="50" customFormat="1" x14ac:dyDescent="0.25">
      <c r="A310" s="50">
        <v>309</v>
      </c>
      <c r="B310" s="36">
        <v>12028</v>
      </c>
      <c r="C310" s="36">
        <v>12028</v>
      </c>
      <c r="D310" s="36" t="s">
        <v>351</v>
      </c>
      <c r="E310" s="38" t="s">
        <v>432</v>
      </c>
      <c r="F310" s="39">
        <v>9.4183500000000002</v>
      </c>
      <c r="G310" s="36">
        <v>9.4183500000000002</v>
      </c>
      <c r="H310" s="45">
        <f>+IF(F310&gt;0,INT(Fuelbeds_english!H310*2.471),F310)</f>
        <v>25</v>
      </c>
      <c r="I310" s="36">
        <f>+IF(F310&gt;0,INT(Fuelbeds_english!I310*0.3048),F310)</f>
        <v>11</v>
      </c>
      <c r="J310" s="45">
        <f>+IF(F310&gt;0,INT(Fuelbeds_english!J310*0.3048),F310)</f>
        <v>1</v>
      </c>
      <c r="K310" s="45">
        <f>+IF(F310&gt;0,INT(Fuelbeds_english!K310*2.54),F310)</f>
        <v>33</v>
      </c>
      <c r="L310" s="36">
        <v>19276</v>
      </c>
      <c r="M310" s="36" t="s">
        <v>158</v>
      </c>
      <c r="N310" s="36">
        <v>100</v>
      </c>
      <c r="O310" s="36">
        <v>-1</v>
      </c>
      <c r="P310" s="45">
        <f>+IF(O310&gt;0,INT(Fuelbeds_english!P310*2.471),O310)</f>
        <v>-1</v>
      </c>
      <c r="Q310" s="36">
        <f>+IF(O310&gt;0,INT(Fuelbeds_english!Q310*0.3048),O310)</f>
        <v>-1</v>
      </c>
      <c r="R310" s="45">
        <f>+IF(O310&gt;0,INT(Fuelbeds_english!R310*0.3048),O310)</f>
        <v>-1</v>
      </c>
      <c r="S310" s="45">
        <f>+IF(O310&gt;0,INT(Fuelbeds_english!S310*2.54),O310)</f>
        <v>-1</v>
      </c>
      <c r="T310" s="36">
        <v>-1</v>
      </c>
      <c r="U310" s="36">
        <v>-1</v>
      </c>
      <c r="V310" s="36">
        <v>-1</v>
      </c>
      <c r="W310" s="36">
        <v>-1</v>
      </c>
      <c r="X310" s="98">
        <v>-1</v>
      </c>
      <c r="Y310" s="29">
        <v>10.581649999999996</v>
      </c>
      <c r="Z310" s="88" t="str">
        <f>+IF(Y310&gt;0,FIXED(Fuelbeds_english!Z310*0.3048,1,0),Y310)</f>
        <v>0.3</v>
      </c>
      <c r="AA310" s="46">
        <v>75</v>
      </c>
      <c r="AB310" s="50">
        <v>507263</v>
      </c>
      <c r="AC310" s="50" t="s">
        <v>364</v>
      </c>
      <c r="AD310" s="50">
        <v>100</v>
      </c>
      <c r="AE310" s="42">
        <v>60</v>
      </c>
      <c r="AF310" s="52" t="str">
        <f>+IF(AE310&gt;0,FIXED(Fuelbeds_english!AF310*0.3048,1,0),AE310)</f>
        <v>0.2</v>
      </c>
      <c r="AG310" s="36">
        <v>0</v>
      </c>
      <c r="AH310" s="52" t="str">
        <f>+IF(AE310&gt;0,FIXED(Fuelbeds_english!AH310*2.242,1,0),AE310)</f>
        <v>0.2</v>
      </c>
      <c r="AI310" s="45">
        <v>41088</v>
      </c>
      <c r="AJ310" s="45" t="s">
        <v>420</v>
      </c>
      <c r="AK310" s="45">
        <v>100</v>
      </c>
      <c r="AL310" s="34">
        <v>1.6666666666666665</v>
      </c>
      <c r="AM310" s="52" t="str">
        <f>+IF(AL310&gt;0,FIXED(Fuelbeds_english!AM310*2.54,1,0),AL310)</f>
        <v>2.5</v>
      </c>
      <c r="AN310" s="52" t="str">
        <f>+IF($AM310&gt;0,FIXED(Fuelbeds_english!AN310*2.242,1,0),$AM310)</f>
        <v>0.2</v>
      </c>
      <c r="AO310" s="52" t="str">
        <f>+IF($AM310&gt;0,FIXED(Fuelbeds_english!AO310*2.242,1,0),$AM310)</f>
        <v>0.4</v>
      </c>
      <c r="AP310" s="52" t="str">
        <f>+IF($AM310&gt;0,FIXED(Fuelbeds_english!AP310*2.242,1,0),$AM310)</f>
        <v>0.7</v>
      </c>
      <c r="AQ310" s="52" t="str">
        <f>+IF($AM310&gt;0,FIXED(Fuelbeds_english!AQ310*2.242,1,0),$AM310)</f>
        <v>0.9</v>
      </c>
      <c r="AR310" s="36">
        <v>19276</v>
      </c>
      <c r="AS310" s="45" t="s">
        <v>158</v>
      </c>
      <c r="AT310" s="45">
        <v>100</v>
      </c>
      <c r="AU310" s="44">
        <v>-1</v>
      </c>
      <c r="AV310" s="52">
        <f>+IF(AU310&gt;0,FIXED(Fuelbeds_english!AV310*2.54,1,0),AU310)</f>
        <v>-1</v>
      </c>
      <c r="AW310" s="52">
        <v>-1</v>
      </c>
      <c r="AX310" s="52">
        <v>-1</v>
      </c>
      <c r="AY310" s="52">
        <f>+IF(AX310&gt;0,FIXED(Fuelbeds_english!AY310*2.54,1,0),AX310)</f>
        <v>-1</v>
      </c>
      <c r="AZ310" s="45">
        <v>2</v>
      </c>
      <c r="BA310" s="36">
        <v>48.418350000000004</v>
      </c>
      <c r="BB310" s="52" t="str">
        <f>+IF(BA310&gt;0,FIXED(Fuelbeds_english!BB310*2.54,1,0),BA310)</f>
        <v>2.5</v>
      </c>
      <c r="BC310" s="53">
        <v>-1</v>
      </c>
      <c r="BD310" s="53">
        <v>-1</v>
      </c>
      <c r="BE310" s="53">
        <v>-1</v>
      </c>
      <c r="BF310" s="53">
        <v>40</v>
      </c>
      <c r="BG310" s="53">
        <v>-1</v>
      </c>
      <c r="BH310" s="53">
        <v>-1</v>
      </c>
      <c r="BI310" s="45">
        <v>60</v>
      </c>
      <c r="BJ310" s="28">
        <v>1</v>
      </c>
      <c r="BK310" s="55">
        <v>9.4183500000000002</v>
      </c>
      <c r="BL310" s="52" t="str">
        <f>+IF(BK310&gt;0,FIXED(Fuelbeds_english!BL310*2.54,1,0),BK310)</f>
        <v>1.0</v>
      </c>
      <c r="BM310" s="45">
        <v>3</v>
      </c>
      <c r="BN310" s="55">
        <v>6.278900000000001</v>
      </c>
      <c r="BO310" s="52" t="str">
        <f>+IF(BN310&gt;0,FIXED(Fuelbeds_english!BO310*2.54,1,0),BN310)</f>
        <v>0.3</v>
      </c>
    </row>
    <row r="311" spans="1:67" s="50" customFormat="1" x14ac:dyDescent="0.25">
      <c r="A311" s="50">
        <v>310</v>
      </c>
      <c r="B311" s="36">
        <v>12030</v>
      </c>
      <c r="C311" s="36">
        <v>12030</v>
      </c>
      <c r="D311" s="36" t="s">
        <v>351</v>
      </c>
      <c r="E311" s="39" t="s">
        <v>461</v>
      </c>
      <c r="F311" s="39">
        <v>3.9637899999999999</v>
      </c>
      <c r="G311" s="36">
        <v>3.9637899999999999</v>
      </c>
      <c r="H311" s="45">
        <f>+IF(F311&gt;0,INT(Fuelbeds_english!H311*2.471),F311)</f>
        <v>10</v>
      </c>
      <c r="I311" s="36">
        <f>+IF(F311&gt;0,INT(Fuelbeds_english!I311*0.3048),F311)</f>
        <v>11</v>
      </c>
      <c r="J311" s="45">
        <f>+IF(F311&gt;0,INT(Fuelbeds_english!J311*0.3048),F311)</f>
        <v>1</v>
      </c>
      <c r="K311" s="45">
        <f>+IF(F311&gt;0,INT(Fuelbeds_english!K311*2.54),F311)</f>
        <v>33</v>
      </c>
      <c r="L311" s="36">
        <v>19276</v>
      </c>
      <c r="M311" s="36" t="s">
        <v>158</v>
      </c>
      <c r="N311" s="36">
        <v>100</v>
      </c>
      <c r="O311" s="36">
        <v>-1</v>
      </c>
      <c r="P311" s="45">
        <f>+IF(O311&gt;0,INT(Fuelbeds_english!P311*2.471),O311)</f>
        <v>-1</v>
      </c>
      <c r="Q311" s="36">
        <f>+IF(O311&gt;0,INT(Fuelbeds_english!Q311*0.3048),O311)</f>
        <v>-1</v>
      </c>
      <c r="R311" s="45">
        <f>+IF(O311&gt;0,INT(Fuelbeds_english!R311*0.3048),O311)</f>
        <v>-1</v>
      </c>
      <c r="S311" s="45">
        <f>+IF(O311&gt;0,INT(Fuelbeds_english!S311*2.54),O311)</f>
        <v>-1</v>
      </c>
      <c r="T311" s="36">
        <v>-1</v>
      </c>
      <c r="U311" s="36">
        <v>-1</v>
      </c>
      <c r="V311" s="36">
        <v>-1</v>
      </c>
      <c r="W311" s="36">
        <v>-1</v>
      </c>
      <c r="X311" s="98">
        <v>-1</v>
      </c>
      <c r="Y311" s="29">
        <v>46.036209999999997</v>
      </c>
      <c r="Z311" s="88" t="str">
        <f>+IF(Y311&gt;0,FIXED(Fuelbeds_english!Z311*0.3048,1,0),Y311)</f>
        <v>0.3</v>
      </c>
      <c r="AA311" s="46">
        <v>75</v>
      </c>
      <c r="AB311" s="50">
        <v>507263</v>
      </c>
      <c r="AC311" s="50" t="s">
        <v>364</v>
      </c>
      <c r="AD311" s="50">
        <v>100</v>
      </c>
      <c r="AE311" s="42">
        <v>30</v>
      </c>
      <c r="AF311" s="52" t="str">
        <f>+IF(AE311&gt;0,FIXED(Fuelbeds_english!AF311*0.3048,1,0),AE311)</f>
        <v>0.2</v>
      </c>
      <c r="AG311" s="36">
        <v>0</v>
      </c>
      <c r="AH311" s="52" t="str">
        <f>+IF(AE311&gt;0,FIXED(Fuelbeds_english!AH311*2.242,1,0),AE311)</f>
        <v>0.1</v>
      </c>
      <c r="AI311" s="45">
        <v>42236</v>
      </c>
      <c r="AJ311" s="45" t="s">
        <v>207</v>
      </c>
      <c r="AK311" s="45">
        <v>100</v>
      </c>
      <c r="AL311" s="34">
        <v>4.166666666666667</v>
      </c>
      <c r="AM311" s="52" t="str">
        <f>+IF(AL311&gt;0,FIXED(Fuelbeds_english!AM311*2.54,1,0),AL311)</f>
        <v>2.5</v>
      </c>
      <c r="AN311" s="52" t="str">
        <f>+IF($AM311&gt;0,FIXED(Fuelbeds_english!AN311*2.242,1,0),$AM311)</f>
        <v>0.5</v>
      </c>
      <c r="AO311" s="52" t="str">
        <f>+IF($AM311&gt;0,FIXED(Fuelbeds_english!AO311*2.242,1,0),$AM311)</f>
        <v>0.9</v>
      </c>
      <c r="AP311" s="52" t="str">
        <f>+IF($AM311&gt;0,FIXED(Fuelbeds_english!AP311*2.242,1,0),$AM311)</f>
        <v>1.7</v>
      </c>
      <c r="AQ311" s="52" t="str">
        <f>+IF($AM311&gt;0,FIXED(Fuelbeds_english!AQ311*2.242,1,0),$AM311)</f>
        <v>2.3</v>
      </c>
      <c r="AR311" s="36">
        <v>19276</v>
      </c>
      <c r="AS311" s="45" t="s">
        <v>158</v>
      </c>
      <c r="AT311" s="45">
        <v>100</v>
      </c>
      <c r="AU311" s="44">
        <v>-1</v>
      </c>
      <c r="AV311" s="52">
        <f>+IF(AU311&gt;0,FIXED(Fuelbeds_english!AV311*2.54,1,0),AU311)</f>
        <v>-1</v>
      </c>
      <c r="AW311" s="52">
        <v>-1</v>
      </c>
      <c r="AX311" s="52">
        <v>-1</v>
      </c>
      <c r="AY311" s="52">
        <f>+IF(AX311&gt;0,FIXED(Fuelbeds_english!AY311*2.54,1,0),AX311)</f>
        <v>-1</v>
      </c>
      <c r="AZ311" s="45">
        <v>1</v>
      </c>
      <c r="BA311" s="36">
        <v>22.963789999999999</v>
      </c>
      <c r="BB311" s="52" t="str">
        <f>+IF(BA311&gt;0,FIXED(Fuelbeds_english!BB311*2.54,1,0),BA311)</f>
        <v>2.5</v>
      </c>
      <c r="BC311" s="53">
        <v>-1</v>
      </c>
      <c r="BD311" s="53">
        <v>-1</v>
      </c>
      <c r="BE311" s="53">
        <v>-1</v>
      </c>
      <c r="BF311" s="53">
        <v>70</v>
      </c>
      <c r="BG311" s="53">
        <v>-1</v>
      </c>
      <c r="BH311" s="53">
        <v>-1</v>
      </c>
      <c r="BI311" s="45">
        <v>30</v>
      </c>
      <c r="BJ311" s="28">
        <v>1</v>
      </c>
      <c r="BK311" s="55">
        <v>3.9637899999999999</v>
      </c>
      <c r="BL311" s="52" t="str">
        <f>+IF(BK311&gt;0,FIXED(Fuelbeds_english!BL311*2.54,1,0),BK311)</f>
        <v>1.0</v>
      </c>
      <c r="BM311" s="45">
        <v>3</v>
      </c>
      <c r="BN311" s="55">
        <v>2.6425266666666669</v>
      </c>
      <c r="BO311" s="52" t="str">
        <f>+IF(BN311&gt;0,FIXED(Fuelbeds_english!BO311*2.54,1,0),BN311)</f>
        <v>0.3</v>
      </c>
    </row>
    <row r="312" spans="1:67" s="50" customFormat="1" x14ac:dyDescent="0.25">
      <c r="A312" s="50">
        <v>311</v>
      </c>
      <c r="B312" s="36">
        <v>12035</v>
      </c>
      <c r="C312" s="46">
        <v>12035</v>
      </c>
      <c r="D312" s="36" t="s">
        <v>351</v>
      </c>
      <c r="E312" s="33" t="s">
        <v>470</v>
      </c>
      <c r="F312" s="39">
        <v>5.7791100000000002</v>
      </c>
      <c r="G312" s="36">
        <v>5.7791100000000002</v>
      </c>
      <c r="H312" s="45">
        <f>+IF(F312&gt;0,INT(Fuelbeds_english!H312*2.471),F312)</f>
        <v>15</v>
      </c>
      <c r="I312" s="36">
        <f>+IF(F312&gt;0,INT(Fuelbeds_english!I312*0.3048),F312)</f>
        <v>12</v>
      </c>
      <c r="J312" s="45">
        <f>+IF(F312&gt;0,INT(Fuelbeds_english!J312*0.3048),F312)</f>
        <v>1</v>
      </c>
      <c r="K312" s="45">
        <f>+IF(F312&gt;0,INT(Fuelbeds_english!K312*2.54),F312)</f>
        <v>37</v>
      </c>
      <c r="L312" s="36">
        <v>19276</v>
      </c>
      <c r="M312" s="36" t="s">
        <v>158</v>
      </c>
      <c r="N312" s="36">
        <v>100</v>
      </c>
      <c r="O312" s="36">
        <v>-1</v>
      </c>
      <c r="P312" s="45">
        <f>+IF(O312&gt;0,INT(Fuelbeds_english!P312*2.471),O312)</f>
        <v>-1</v>
      </c>
      <c r="Q312" s="36">
        <f>+IF(O312&gt;0,INT(Fuelbeds_english!Q312*0.3048),O312)</f>
        <v>-1</v>
      </c>
      <c r="R312" s="45">
        <f>+IF(O312&gt;0,INT(Fuelbeds_english!R312*0.3048),O312)</f>
        <v>-1</v>
      </c>
      <c r="S312" s="45">
        <f>+IF(O312&gt;0,INT(Fuelbeds_english!S312*2.54),O312)</f>
        <v>-1</v>
      </c>
      <c r="T312" s="36">
        <v>-1</v>
      </c>
      <c r="U312" s="36">
        <v>-1</v>
      </c>
      <c r="V312" s="36">
        <v>-1</v>
      </c>
      <c r="W312" s="36">
        <v>-1</v>
      </c>
      <c r="X312" s="98">
        <v>-1</v>
      </c>
      <c r="Y312" s="29">
        <v>44.220889999999997</v>
      </c>
      <c r="Z312" s="88" t="str">
        <f>+IF(Y312&gt;0,FIXED(Fuelbeds_english!Z312*0.3048,1,0),Y312)</f>
        <v>0.3</v>
      </c>
      <c r="AA312" s="46">
        <v>75</v>
      </c>
      <c r="AB312" s="50">
        <v>507263</v>
      </c>
      <c r="AC312" s="50" t="s">
        <v>364</v>
      </c>
      <c r="AD312" s="50">
        <v>100</v>
      </c>
      <c r="AE312" s="42">
        <v>30</v>
      </c>
      <c r="AF312" s="52" t="str">
        <f>+IF(AE312&gt;0,FIXED(Fuelbeds_english!AF312*0.3048,1,0),AE312)</f>
        <v>0.2</v>
      </c>
      <c r="AG312" s="36">
        <v>0</v>
      </c>
      <c r="AH312" s="52" t="str">
        <f>+IF(AE312&gt;0,FIXED(Fuelbeds_english!AH312*2.242,1,0),AE312)</f>
        <v>0.5</v>
      </c>
      <c r="AI312" s="45">
        <v>21711</v>
      </c>
      <c r="AJ312" s="45" t="s">
        <v>425</v>
      </c>
      <c r="AK312" s="45">
        <v>100</v>
      </c>
      <c r="AL312" s="34">
        <v>4.166666666666667</v>
      </c>
      <c r="AM312" s="52" t="str">
        <f>+IF(AL312&gt;0,FIXED(Fuelbeds_english!AM312*2.54,1,0),AL312)</f>
        <v>2.5</v>
      </c>
      <c r="AN312" s="52" t="str">
        <f>+IF($AM312&gt;0,FIXED(Fuelbeds_english!AN312*2.242,1,0),$AM312)</f>
        <v>0.4</v>
      </c>
      <c r="AO312" s="52" t="str">
        <f>+IF($AM312&gt;0,FIXED(Fuelbeds_english!AO312*2.242,1,0),$AM312)</f>
        <v>0.4</v>
      </c>
      <c r="AP312" s="52" t="str">
        <f>+IF($AM312&gt;0,FIXED(Fuelbeds_english!AP312*2.242,1,0),$AM312)</f>
        <v>1.3</v>
      </c>
      <c r="AQ312" s="52" t="str">
        <f>+IF($AM312&gt;0,FIXED(Fuelbeds_english!AQ312*2.242,1,0),$AM312)</f>
        <v>1.9</v>
      </c>
      <c r="AR312" s="36">
        <v>19276</v>
      </c>
      <c r="AS312" s="45" t="s">
        <v>158</v>
      </c>
      <c r="AT312" s="45">
        <v>100</v>
      </c>
      <c r="AU312" s="44">
        <v>-1</v>
      </c>
      <c r="AV312" s="52">
        <f>+IF(AU312&gt;0,FIXED(Fuelbeds_english!AV312*2.54,1,0),AU312)</f>
        <v>-1</v>
      </c>
      <c r="AW312" s="52">
        <v>-1</v>
      </c>
      <c r="AX312" s="52">
        <v>-1</v>
      </c>
      <c r="AY312" s="52">
        <f>+IF(AX312&gt;0,FIXED(Fuelbeds_english!AY312*2.54,1,0),AX312)</f>
        <v>-1</v>
      </c>
      <c r="AZ312" s="45">
        <v>1</v>
      </c>
      <c r="BA312" s="36">
        <v>24.779109999999999</v>
      </c>
      <c r="BB312" s="52" t="str">
        <f>+IF(BA312&gt;0,FIXED(Fuelbeds_english!BB312*2.54,1,0),BA312)</f>
        <v>2.5</v>
      </c>
      <c r="BC312" s="53">
        <v>-1</v>
      </c>
      <c r="BD312" s="53">
        <v>-1</v>
      </c>
      <c r="BE312" s="53">
        <v>-1</v>
      </c>
      <c r="BF312" s="53">
        <v>70</v>
      </c>
      <c r="BG312" s="53">
        <v>-1</v>
      </c>
      <c r="BH312" s="53">
        <v>-1</v>
      </c>
      <c r="BI312" s="45">
        <v>30</v>
      </c>
      <c r="BJ312" s="28">
        <v>1</v>
      </c>
      <c r="BK312" s="55">
        <v>5.7791100000000002</v>
      </c>
      <c r="BL312" s="52" t="str">
        <f>+IF(BK312&gt;0,FIXED(Fuelbeds_english!BL312*2.54,1,0),BK312)</f>
        <v>1.0</v>
      </c>
      <c r="BM312" s="45">
        <v>3</v>
      </c>
      <c r="BN312" s="55">
        <v>3.8527399999999998</v>
      </c>
      <c r="BO312" s="52" t="str">
        <f>+IF(BN312&gt;0,FIXED(Fuelbeds_english!BO312*2.54,1,0),BN312)</f>
        <v>0.3</v>
      </c>
    </row>
    <row r="313" spans="1:67" s="50" customFormat="1" x14ac:dyDescent="0.25">
      <c r="A313" s="50">
        <v>312</v>
      </c>
      <c r="B313" s="36">
        <v>12036</v>
      </c>
      <c r="C313" s="71">
        <v>12036</v>
      </c>
      <c r="D313" s="36" t="s">
        <v>351</v>
      </c>
      <c r="E313" s="33" t="s">
        <v>464</v>
      </c>
      <c r="F313" s="39">
        <v>3.39405</v>
      </c>
      <c r="G313" s="36">
        <v>3.39405</v>
      </c>
      <c r="H313" s="45">
        <f>+IF(F313&gt;0,INT(Fuelbeds_english!H313*2.471),F313)</f>
        <v>1</v>
      </c>
      <c r="I313" s="36">
        <f>+IF(F313&gt;0,INT(Fuelbeds_english!I313*0.3048),F313)</f>
        <v>7</v>
      </c>
      <c r="J313" s="45">
        <f>+IF(F313&gt;0,INT(Fuelbeds_english!J313*0.3048),F313)</f>
        <v>4</v>
      </c>
      <c r="K313" s="45">
        <f>+IF(F313&gt;0,INT(Fuelbeds_english!K313*2.54),F313)</f>
        <v>23</v>
      </c>
      <c r="L313" s="36">
        <v>27189</v>
      </c>
      <c r="M313" s="36" t="s">
        <v>401</v>
      </c>
      <c r="N313" s="36">
        <v>100</v>
      </c>
      <c r="O313" s="36">
        <v>1.6162142857142858</v>
      </c>
      <c r="P313" s="45">
        <f>+IF(O313&gt;0,INT(Fuelbeds_english!P313*2.471),O313)</f>
        <v>9</v>
      </c>
      <c r="Q313" s="36">
        <f>+IF(O313&gt;0,INT(Fuelbeds_english!Q313*0.3048),O313)</f>
        <v>3</v>
      </c>
      <c r="R313" s="45">
        <f>+IF(O313&gt;0,INT(Fuelbeds_english!R313*0.3048),O313)</f>
        <v>1</v>
      </c>
      <c r="S313" s="45">
        <f>+IF(O313&gt;0,INT(Fuelbeds_english!S313*2.54),O313)</f>
        <v>8</v>
      </c>
      <c r="T313" s="36">
        <v>27189</v>
      </c>
      <c r="U313" s="36" t="s">
        <v>401</v>
      </c>
      <c r="V313" s="36">
        <v>100</v>
      </c>
      <c r="W313" s="36">
        <v>1</v>
      </c>
      <c r="X313" s="98">
        <v>4</v>
      </c>
      <c r="Y313" s="29">
        <v>47</v>
      </c>
      <c r="Z313" s="88" t="str">
        <f>+IF(Y313&gt;0,FIXED(Fuelbeds_english!Z313*0.3048,1,0),Y313)</f>
        <v>0.3</v>
      </c>
      <c r="AA313" s="46">
        <v>90</v>
      </c>
      <c r="AB313" s="50">
        <v>28675</v>
      </c>
      <c r="AC313" s="50" t="s">
        <v>375</v>
      </c>
      <c r="AD313" s="50">
        <v>100</v>
      </c>
      <c r="AE313" s="42">
        <v>30</v>
      </c>
      <c r="AF313" s="52" t="str">
        <f>+IF(AE313&gt;0,FIXED(Fuelbeds_english!AF313*0.3048,1,0),AE313)</f>
        <v>0.2</v>
      </c>
      <c r="AG313" s="36">
        <v>0</v>
      </c>
      <c r="AH313" s="52" t="str">
        <f>+IF(AE313&gt;0,FIXED(Fuelbeds_english!AH313*2.242,1,0),AE313)</f>
        <v>0.1</v>
      </c>
      <c r="AI313" s="45">
        <v>42236</v>
      </c>
      <c r="AJ313" s="45" t="s">
        <v>207</v>
      </c>
      <c r="AK313" s="45">
        <v>100</v>
      </c>
      <c r="AL313" s="34">
        <v>3.2324285714285717</v>
      </c>
      <c r="AM313" s="52" t="str">
        <f>+IF(AL313&gt;0,FIXED(Fuelbeds_english!AM313*2.54,1,0),AL313)</f>
        <v>7.6</v>
      </c>
      <c r="AN313" s="52" t="str">
        <f>+IF($AM313&gt;0,FIXED(Fuelbeds_english!AN313*2.242,1,0),$AM313)</f>
        <v>0.1</v>
      </c>
      <c r="AO313" s="52" t="str">
        <f>+IF($AM313&gt;0,FIXED(Fuelbeds_english!AO313*2.242,1,0),$AM313)</f>
        <v>0.3</v>
      </c>
      <c r="AP313" s="52" t="str">
        <f>+IF($AM313&gt;0,FIXED(Fuelbeds_english!AP313*2.242,1,0),$AM313)</f>
        <v>0.4</v>
      </c>
      <c r="AQ313" s="52" t="str">
        <f>+IF($AM313&gt;0,FIXED(Fuelbeds_english!AQ313*2.242,1,0),$AM313)</f>
        <v>0.4</v>
      </c>
      <c r="AR313" s="36">
        <v>27189</v>
      </c>
      <c r="AS313" s="45" t="s">
        <v>401</v>
      </c>
      <c r="AT313" s="45">
        <v>100</v>
      </c>
      <c r="AU313" s="44">
        <v>-1</v>
      </c>
      <c r="AV313" s="52">
        <f>+IF(AU313&gt;0,FIXED(Fuelbeds_english!AV313*2.54,1,0),AU313)</f>
        <v>-1</v>
      </c>
      <c r="AW313" s="52">
        <v>-1</v>
      </c>
      <c r="AX313" s="52">
        <v>-1</v>
      </c>
      <c r="AY313" s="52">
        <f>+IF(AX313&gt;0,FIXED(Fuelbeds_english!AY313*2.54,1,0),AX313)</f>
        <v>-1</v>
      </c>
      <c r="AZ313" s="45">
        <v>1</v>
      </c>
      <c r="BA313" s="36">
        <v>3.9597249999999997</v>
      </c>
      <c r="BB313" s="52" t="str">
        <f>+IF(BA313&gt;0,FIXED(Fuelbeds_english!BB313*2.54,1,0),BA313)</f>
        <v>4.6</v>
      </c>
      <c r="BC313" s="53">
        <v>-1</v>
      </c>
      <c r="BD313" s="53">
        <v>-1</v>
      </c>
      <c r="BE313" s="53">
        <v>-1</v>
      </c>
      <c r="BF313" s="53">
        <v>-1</v>
      </c>
      <c r="BG313" s="53">
        <v>100</v>
      </c>
      <c r="BH313" s="53">
        <v>-1</v>
      </c>
      <c r="BI313" s="45">
        <v>-1</v>
      </c>
      <c r="BJ313" s="28">
        <v>1</v>
      </c>
      <c r="BK313" s="55">
        <v>3.9597249999999997</v>
      </c>
      <c r="BL313" s="52" t="str">
        <f>+IF(BK313&gt;0,FIXED(Fuelbeds_english!BL313*2.54,1,0),BK313)</f>
        <v>5.1</v>
      </c>
      <c r="BM313" s="45">
        <v>3</v>
      </c>
      <c r="BN313" s="55">
        <v>3.9597249999999997</v>
      </c>
      <c r="BO313" s="52" t="str">
        <f>+IF(BN313&gt;0,FIXED(Fuelbeds_english!BO313*2.54,1,0),BN313)</f>
        <v>5.1</v>
      </c>
    </row>
    <row r="314" spans="1:67" s="50" customFormat="1" x14ac:dyDescent="0.25">
      <c r="A314" s="50">
        <v>313</v>
      </c>
      <c r="B314" s="52" t="s">
        <v>320</v>
      </c>
      <c r="C314" s="69">
        <v>9112043</v>
      </c>
      <c r="D314" s="36" t="s">
        <v>351</v>
      </c>
      <c r="E314" s="75" t="s">
        <v>404</v>
      </c>
      <c r="F314" s="39">
        <v>12</v>
      </c>
      <c r="G314" s="36">
        <v>12</v>
      </c>
      <c r="H314" s="45">
        <f>+IF(F314&gt;0,INT(Fuelbeds_english!H314*2.471),F314)</f>
        <v>4</v>
      </c>
      <c r="I314" s="36">
        <f>+IF(F314&gt;0,INT(Fuelbeds_english!I314*0.3048),F314)</f>
        <v>8</v>
      </c>
      <c r="J314" s="45">
        <f>+IF(F314&gt;0,INT(Fuelbeds_english!J314*0.3048),F314)</f>
        <v>5</v>
      </c>
      <c r="K314" s="45">
        <f>+IF(F314&gt;0,INT(Fuelbeds_english!K314*2.54),F314)</f>
        <v>25</v>
      </c>
      <c r="L314" s="36">
        <v>27189</v>
      </c>
      <c r="M314" s="36" t="s">
        <v>401</v>
      </c>
      <c r="N314" s="36">
        <v>100</v>
      </c>
      <c r="O314" s="36">
        <v>5.5238095238095237</v>
      </c>
      <c r="P314" s="45">
        <f>+IF(O314&gt;0,INT(Fuelbeds_english!P314*2.471),O314)</f>
        <v>34</v>
      </c>
      <c r="Q314" s="36">
        <f>+IF(O314&gt;0,INT(Fuelbeds_english!Q314*0.3048),O314)</f>
        <v>4</v>
      </c>
      <c r="R314" s="45">
        <f>+IF(O314&gt;0,INT(Fuelbeds_english!R314*0.3048),O314)</f>
        <v>1</v>
      </c>
      <c r="S314" s="45">
        <f>+IF(O314&gt;0,INT(Fuelbeds_english!S314*2.54),O314)</f>
        <v>9</v>
      </c>
      <c r="T314" s="36">
        <v>27189</v>
      </c>
      <c r="U314" s="36" t="s">
        <v>401</v>
      </c>
      <c r="V314" s="36">
        <v>100</v>
      </c>
      <c r="W314" s="36">
        <v>1</v>
      </c>
      <c r="X314" s="98">
        <v>4</v>
      </c>
      <c r="Y314" s="81">
        <v>-1</v>
      </c>
      <c r="Z314" s="88">
        <f>+IF(Y314&gt;0,FIXED(Fuelbeds_english!Z314*0.3048,1,0),Y314)</f>
        <v>-1</v>
      </c>
      <c r="AA314" s="48">
        <v>-1</v>
      </c>
      <c r="AB314" s="10">
        <v>-1</v>
      </c>
      <c r="AC314" s="10">
        <v>-1</v>
      </c>
      <c r="AD314" s="10">
        <v>-1</v>
      </c>
      <c r="AE314" s="42">
        <v>60</v>
      </c>
      <c r="AF314" s="52" t="str">
        <f>+IF(AE314&gt;0,FIXED(Fuelbeds_english!AF314*0.3048,1,0),AE314)</f>
        <v>0.2</v>
      </c>
      <c r="AG314" s="45">
        <v>80</v>
      </c>
      <c r="AH314" s="52" t="str">
        <f>+IF(AE314&gt;0,FIXED(Fuelbeds_english!AH314*2.242,1,0),AE314)</f>
        <v>1.1</v>
      </c>
      <c r="AI314" s="45">
        <v>39369</v>
      </c>
      <c r="AJ314" s="45" t="s">
        <v>391</v>
      </c>
      <c r="AK314" s="45">
        <v>100</v>
      </c>
      <c r="AL314" s="34">
        <v>11</v>
      </c>
      <c r="AM314" s="52" t="str">
        <f>+IF(AL314&gt;0,FIXED(Fuelbeds_english!AM314*2.54,1,0),AL314)</f>
        <v>7.6</v>
      </c>
      <c r="AN314" s="52" t="str">
        <f>+IF($AM314&gt;0,FIXED(Fuelbeds_english!AN314*2.242,1,0),$AM314)</f>
        <v>0.2</v>
      </c>
      <c r="AO314" s="52" t="str">
        <f>+IF($AM314&gt;0,FIXED(Fuelbeds_english!AO314*2.242,1,0),$AM314)</f>
        <v>1.1</v>
      </c>
      <c r="AP314" s="52" t="str">
        <f>+IF($AM314&gt;0,FIXED(Fuelbeds_english!AP314*2.242,1,0),$AM314)</f>
        <v>1.3</v>
      </c>
      <c r="AQ314" s="52" t="str">
        <f>+IF($AM314&gt;0,FIXED(Fuelbeds_english!AQ314*2.242,1,0),$AM314)</f>
        <v>1.3</v>
      </c>
      <c r="AR314" s="36">
        <v>27189</v>
      </c>
      <c r="AS314" s="45" t="s">
        <v>401</v>
      </c>
      <c r="AT314" s="45">
        <v>100</v>
      </c>
      <c r="AU314" s="44">
        <v>-1</v>
      </c>
      <c r="AV314" s="52">
        <f>+IF(AU314&gt;0,FIXED(Fuelbeds_english!AV314*2.54,1,0),AU314)</f>
        <v>-1</v>
      </c>
      <c r="AW314" s="52">
        <v>-1</v>
      </c>
      <c r="AX314" s="52">
        <v>-1</v>
      </c>
      <c r="AY314" s="52">
        <f>+IF(AX314&gt;0,FIXED(Fuelbeds_english!AY314*2.54,1,0),AX314)</f>
        <v>-1</v>
      </c>
      <c r="AZ314" s="45">
        <v>1</v>
      </c>
      <c r="BA314" s="36">
        <v>13</v>
      </c>
      <c r="BB314" s="52" t="str">
        <f>+IF(BA314&gt;0,FIXED(Fuelbeds_english!BB314*2.54,1,0),BA314)</f>
        <v>4.6</v>
      </c>
      <c r="BC314" s="45">
        <v>-1</v>
      </c>
      <c r="BD314" s="45">
        <v>-1</v>
      </c>
      <c r="BE314" s="45">
        <v>-1</v>
      </c>
      <c r="BF314" s="45">
        <v>-1</v>
      </c>
      <c r="BG314" s="45">
        <v>100</v>
      </c>
      <c r="BH314" s="45">
        <v>-1</v>
      </c>
      <c r="BI314" s="45">
        <v>-1</v>
      </c>
      <c r="BJ314" s="28">
        <v>1</v>
      </c>
      <c r="BK314" s="36">
        <v>13.5</v>
      </c>
      <c r="BL314" s="52" t="str">
        <f>+IF(BK314&gt;0,FIXED(Fuelbeds_english!BL314*2.54,1,0),BK314)</f>
        <v>5.1</v>
      </c>
      <c r="BM314" s="45">
        <v>3</v>
      </c>
      <c r="BN314" s="36">
        <v>13.5</v>
      </c>
      <c r="BO314" s="52" t="str">
        <f>+IF(BN314&gt;0,FIXED(Fuelbeds_english!BO314*2.54,1,0),BN314)</f>
        <v>5.1</v>
      </c>
    </row>
    <row r="315" spans="1:67" s="50" customFormat="1" x14ac:dyDescent="0.25">
      <c r="A315" s="50">
        <v>314</v>
      </c>
      <c r="B315" s="52" t="s">
        <v>321</v>
      </c>
      <c r="C315" s="69">
        <v>9212043</v>
      </c>
      <c r="D315" s="36" t="s">
        <v>351</v>
      </c>
      <c r="E315" s="75" t="s">
        <v>404</v>
      </c>
      <c r="F315" s="39">
        <v>51</v>
      </c>
      <c r="G315" s="36">
        <v>51</v>
      </c>
      <c r="H315" s="45">
        <f>+IF(F315&gt;0,INT(Fuelbeds_english!H315*2.471),F315)</f>
        <v>22</v>
      </c>
      <c r="I315" s="36">
        <f>+IF(F315&gt;0,INT(Fuelbeds_english!I315*0.3048),F315)</f>
        <v>17</v>
      </c>
      <c r="J315" s="45">
        <f>+IF(F315&gt;0,INT(Fuelbeds_english!J315*0.3048),F315)</f>
        <v>10</v>
      </c>
      <c r="K315" s="45">
        <f>+IF(F315&gt;0,INT(Fuelbeds_english!K315*2.54),F315)</f>
        <v>50</v>
      </c>
      <c r="L315" s="36">
        <v>27189</v>
      </c>
      <c r="M315" s="36" t="s">
        <v>401</v>
      </c>
      <c r="N315" s="36">
        <v>100</v>
      </c>
      <c r="O315" s="36">
        <v>24.047619047619047</v>
      </c>
      <c r="P315" s="45">
        <f>+IF(O315&gt;0,INT(Fuelbeds_english!P315*2.471),O315)</f>
        <v>148</v>
      </c>
      <c r="Q315" s="36">
        <f>+IF(O315&gt;0,INT(Fuelbeds_english!Q315*0.3048),O315)</f>
        <v>8</v>
      </c>
      <c r="R315" s="45">
        <f>+IF(O315&gt;0,INT(Fuelbeds_english!R315*0.3048),O315)</f>
        <v>3</v>
      </c>
      <c r="S315" s="45">
        <f>+IF(O315&gt;0,INT(Fuelbeds_english!S315*2.54),O315)</f>
        <v>19</v>
      </c>
      <c r="T315" s="36">
        <v>27189</v>
      </c>
      <c r="U315" s="36" t="s">
        <v>401</v>
      </c>
      <c r="V315" s="36">
        <v>100</v>
      </c>
      <c r="W315" s="36">
        <v>1</v>
      </c>
      <c r="X315" s="98">
        <v>4</v>
      </c>
      <c r="Y315" s="81">
        <v>-1</v>
      </c>
      <c r="Z315" s="88">
        <f>+IF(Y315&gt;0,FIXED(Fuelbeds_english!Z315*0.3048,1,0),Y315)</f>
        <v>-1</v>
      </c>
      <c r="AA315" s="48">
        <v>-1</v>
      </c>
      <c r="AB315" s="10">
        <v>-1</v>
      </c>
      <c r="AC315" s="10">
        <v>-1</v>
      </c>
      <c r="AD315" s="10">
        <v>-1</v>
      </c>
      <c r="AE315" s="42">
        <v>50</v>
      </c>
      <c r="AF315" s="52" t="str">
        <f>+IF(AE315&gt;0,FIXED(Fuelbeds_english!AF315*0.3048,1,0),AE315)</f>
        <v>0.2</v>
      </c>
      <c r="AG315" s="45">
        <v>80</v>
      </c>
      <c r="AH315" s="52" t="str">
        <f>+IF(AE315&gt;0,FIXED(Fuelbeds_english!AH315*2.242,1,0),AE315)</f>
        <v>0.9</v>
      </c>
      <c r="AI315" s="45">
        <v>39369</v>
      </c>
      <c r="AJ315" s="45" t="s">
        <v>391</v>
      </c>
      <c r="AK315" s="45">
        <v>100</v>
      </c>
      <c r="AL315" s="34">
        <v>48.1</v>
      </c>
      <c r="AM315" s="52" t="str">
        <f>+IF(AL315&gt;0,FIXED(Fuelbeds_english!AM315*2.54,1,0),AL315)</f>
        <v>7.6</v>
      </c>
      <c r="AN315" s="52" t="str">
        <f>+IF($AM315&gt;0,FIXED(Fuelbeds_english!AN315*2.242,1,0),$AM315)</f>
        <v>1.1</v>
      </c>
      <c r="AO315" s="52" t="str">
        <f>+IF($AM315&gt;0,FIXED(Fuelbeds_english!AO315*2.242,1,0),$AM315)</f>
        <v>4.5</v>
      </c>
      <c r="AP315" s="52" t="str">
        <f>+IF($AM315&gt;0,FIXED(Fuelbeds_english!AP315*2.242,1,0),$AM315)</f>
        <v>5.6</v>
      </c>
      <c r="AQ315" s="52" t="str">
        <f>+IF($AM315&gt;0,FIXED(Fuelbeds_english!AQ315*2.242,1,0),$AM315)</f>
        <v>5.4</v>
      </c>
      <c r="AR315" s="36">
        <v>27189</v>
      </c>
      <c r="AS315" s="45" t="s">
        <v>401</v>
      </c>
      <c r="AT315" s="45">
        <v>100</v>
      </c>
      <c r="AU315" s="44">
        <v>-1</v>
      </c>
      <c r="AV315" s="52">
        <f>+IF(AU315&gt;0,FIXED(Fuelbeds_english!AV315*2.54,1,0),AU315)</f>
        <v>-1</v>
      </c>
      <c r="AW315" s="52">
        <v>-1</v>
      </c>
      <c r="AX315" s="52">
        <v>-1</v>
      </c>
      <c r="AY315" s="52">
        <f>+IF(AX315&gt;0,FIXED(Fuelbeds_english!AY315*2.54,1,0),AX315)</f>
        <v>-1</v>
      </c>
      <c r="AZ315" s="45">
        <v>1</v>
      </c>
      <c r="BA315" s="36">
        <v>59</v>
      </c>
      <c r="BB315" s="52" t="str">
        <f>+IF(BA315&gt;0,FIXED(Fuelbeds_english!BB315*2.54,1,0),BA315)</f>
        <v>4.6</v>
      </c>
      <c r="BC315" s="45">
        <v>-1</v>
      </c>
      <c r="BD315" s="45">
        <v>-1</v>
      </c>
      <c r="BE315" s="45">
        <v>-1</v>
      </c>
      <c r="BF315" s="45">
        <v>-1</v>
      </c>
      <c r="BG315" s="45">
        <v>100</v>
      </c>
      <c r="BH315" s="45">
        <v>-1</v>
      </c>
      <c r="BI315" s="45">
        <v>-1</v>
      </c>
      <c r="BJ315" s="28">
        <v>1</v>
      </c>
      <c r="BK315" s="36">
        <v>58.9</v>
      </c>
      <c r="BL315" s="52" t="str">
        <f>+IF(BK315&gt;0,FIXED(Fuelbeds_english!BL315*2.54,1,0),BK315)</f>
        <v>5.1</v>
      </c>
      <c r="BM315" s="45">
        <v>3</v>
      </c>
      <c r="BN315" s="36">
        <v>58.9</v>
      </c>
      <c r="BO315" s="52" t="str">
        <f>+IF(BN315&gt;0,FIXED(Fuelbeds_english!BO315*2.54,1,0),BN315)</f>
        <v>5.1</v>
      </c>
    </row>
    <row r="316" spans="1:67" s="50" customFormat="1" x14ac:dyDescent="0.25">
      <c r="A316" s="50">
        <v>315</v>
      </c>
      <c r="B316" s="52" t="s">
        <v>322</v>
      </c>
      <c r="C316" s="68">
        <v>9112061</v>
      </c>
      <c r="D316" s="36" t="s">
        <v>351</v>
      </c>
      <c r="E316" s="11" t="s">
        <v>16</v>
      </c>
      <c r="F316" s="39">
        <v>20.3</v>
      </c>
      <c r="G316" s="36">
        <v>20.3</v>
      </c>
      <c r="H316" s="45">
        <f>+IF(F316&gt;0,INT(Fuelbeds_english!H316*2.471),F316)</f>
        <v>54</v>
      </c>
      <c r="I316" s="36">
        <f>+IF(F316&gt;0,INT(Fuelbeds_english!I316*0.3048),F316)</f>
        <v>19</v>
      </c>
      <c r="J316" s="45">
        <f>+IF(F316&gt;0,INT(Fuelbeds_english!J316*0.3048),F316)</f>
        <v>1</v>
      </c>
      <c r="K316" s="45">
        <f>+IF(F316&gt;0,INT(Fuelbeds_english!K316*2.54),F316)</f>
        <v>56</v>
      </c>
      <c r="L316" s="36">
        <v>19276</v>
      </c>
      <c r="M316" s="36" t="s">
        <v>158</v>
      </c>
      <c r="N316" s="36">
        <v>100</v>
      </c>
      <c r="O316" s="36">
        <v>-1</v>
      </c>
      <c r="P316" s="45">
        <f>+IF(O316&gt;0,INT(Fuelbeds_english!P316*2.471),O316)</f>
        <v>-1</v>
      </c>
      <c r="Q316" s="36">
        <f>+IF(O316&gt;0,INT(Fuelbeds_english!Q316*0.3048),O316)</f>
        <v>-1</v>
      </c>
      <c r="R316" s="45">
        <f>+IF(O316&gt;0,INT(Fuelbeds_english!R316*0.3048),O316)</f>
        <v>-1</v>
      </c>
      <c r="S316" s="45">
        <f>+IF(O316&gt;0,INT(Fuelbeds_english!S316*2.54),O316)</f>
        <v>-1</v>
      </c>
      <c r="T316" s="36">
        <v>-1</v>
      </c>
      <c r="U316" s="36">
        <v>-1</v>
      </c>
      <c r="V316" s="36">
        <v>-1</v>
      </c>
      <c r="W316" s="36">
        <v>-1</v>
      </c>
      <c r="X316" s="98">
        <v>-1</v>
      </c>
      <c r="Y316" s="29">
        <v>11</v>
      </c>
      <c r="Z316" s="88" t="str">
        <f>+IF(Y316&gt;0,FIXED(Fuelbeds_english!Z316*0.3048,1,0),Y316)</f>
        <v>0.3</v>
      </c>
      <c r="AA316" s="46">
        <v>75</v>
      </c>
      <c r="AB316" s="50">
        <v>507263</v>
      </c>
      <c r="AC316" s="50" t="s">
        <v>364</v>
      </c>
      <c r="AD316" s="50">
        <v>100</v>
      </c>
      <c r="AE316" s="42">
        <v>55</v>
      </c>
      <c r="AF316" s="52" t="str">
        <f>+IF(AE316&gt;0,FIXED(Fuelbeds_english!AF316*0.3048,1,0),AE316)</f>
        <v>0.3</v>
      </c>
      <c r="AG316" s="36">
        <v>80</v>
      </c>
      <c r="AH316" s="52" t="str">
        <f>+IF(AE316&gt;0,FIXED(Fuelbeds_english!AH316*2.242,1,0),AE316)</f>
        <v>0.2</v>
      </c>
      <c r="AI316" s="45">
        <v>40792</v>
      </c>
      <c r="AJ316" s="45" t="s">
        <v>365</v>
      </c>
      <c r="AK316" s="45">
        <v>100</v>
      </c>
      <c r="AL316" s="34">
        <v>1.7</v>
      </c>
      <c r="AM316" s="52" t="str">
        <f>+IF(AL316&gt;0,FIXED(Fuelbeds_english!AM316*2.54,1,0),AL316)</f>
        <v>2.5</v>
      </c>
      <c r="AN316" s="52" t="str">
        <f>+IF($AM316&gt;0,FIXED(Fuelbeds_english!AN316*2.242,1,0),$AM316)</f>
        <v>0.2</v>
      </c>
      <c r="AO316" s="52" t="str">
        <f>+IF($AM316&gt;0,FIXED(Fuelbeds_english!AO316*2.242,1,0),$AM316)</f>
        <v>0.4</v>
      </c>
      <c r="AP316" s="52" t="str">
        <f>+IF($AM316&gt;0,FIXED(Fuelbeds_english!AP316*2.242,1,0),$AM316)</f>
        <v>0.7</v>
      </c>
      <c r="AQ316" s="52" t="str">
        <f>+IF($AM316&gt;0,FIXED(Fuelbeds_english!AQ316*2.242,1,0),$AM316)</f>
        <v>0.9</v>
      </c>
      <c r="AR316" s="36">
        <v>19276</v>
      </c>
      <c r="AS316" s="36" t="s">
        <v>158</v>
      </c>
      <c r="AT316" s="36">
        <v>100</v>
      </c>
      <c r="AU316" s="44">
        <v>-1</v>
      </c>
      <c r="AV316" s="52">
        <f>+IF(AU316&gt;0,FIXED(Fuelbeds_english!AV316*2.54,1,0),AU316)</f>
        <v>-1</v>
      </c>
      <c r="AW316" s="52">
        <v>-1</v>
      </c>
      <c r="AX316" s="52">
        <v>-1</v>
      </c>
      <c r="AY316" s="52">
        <f>+IF(AX316&gt;0,FIXED(Fuelbeds_english!AY316*2.54,1,0),AX316)</f>
        <v>-1</v>
      </c>
      <c r="AZ316" s="45">
        <v>1</v>
      </c>
      <c r="BA316" s="36">
        <v>20.3</v>
      </c>
      <c r="BB316" s="52" t="str">
        <f>+IF(BA316&gt;0,FIXED(Fuelbeds_english!BB316*2.54,1,0),BA316)</f>
        <v>3.8</v>
      </c>
      <c r="BC316" s="45">
        <v>-1</v>
      </c>
      <c r="BD316" s="45">
        <v>-1</v>
      </c>
      <c r="BE316" s="45">
        <v>-1</v>
      </c>
      <c r="BF316" s="45">
        <v>75</v>
      </c>
      <c r="BG316" s="45">
        <v>-1</v>
      </c>
      <c r="BH316" s="45">
        <v>-1</v>
      </c>
      <c r="BI316" s="45">
        <v>25</v>
      </c>
      <c r="BJ316" s="28">
        <v>1</v>
      </c>
      <c r="BK316" s="36">
        <v>20.3</v>
      </c>
      <c r="BL316" s="52" t="str">
        <f>+IF(BK316&gt;0,FIXED(Fuelbeds_english!BL316*2.54,1,0),BK316)</f>
        <v>1.0</v>
      </c>
      <c r="BM316" s="45">
        <v>3</v>
      </c>
      <c r="BN316" s="36">
        <v>13.5</v>
      </c>
      <c r="BO316" s="52" t="str">
        <f>+IF(BN316&gt;0,FIXED(Fuelbeds_english!BO316*2.54,1,0),BN316)</f>
        <v>0.3</v>
      </c>
    </row>
    <row r="317" spans="1:67" s="50" customFormat="1" x14ac:dyDescent="0.25">
      <c r="A317" s="50">
        <v>316</v>
      </c>
      <c r="B317" s="52" t="s">
        <v>323</v>
      </c>
      <c r="C317" s="68">
        <v>9212061</v>
      </c>
      <c r="D317" s="36" t="s">
        <v>351</v>
      </c>
      <c r="E317" s="11" t="s">
        <v>16</v>
      </c>
      <c r="F317" s="39">
        <v>53.7</v>
      </c>
      <c r="G317" s="36">
        <v>53.7</v>
      </c>
      <c r="H317" s="45">
        <f>+IF(F317&gt;0,INT(Fuelbeds_english!H317*2.471),F317)</f>
        <v>143</v>
      </c>
      <c r="I317" s="36">
        <f>+IF(F317&gt;0,INT(Fuelbeds_english!I317*0.3048),F317)</f>
        <v>22</v>
      </c>
      <c r="J317" s="45">
        <f>+IF(F317&gt;0,INT(Fuelbeds_english!J317*0.3048),F317)</f>
        <v>2</v>
      </c>
      <c r="K317" s="45">
        <f>+IF(F317&gt;0,INT(Fuelbeds_english!K317*2.54),F317)</f>
        <v>65</v>
      </c>
      <c r="L317" s="36">
        <v>19276</v>
      </c>
      <c r="M317" s="36" t="s">
        <v>158</v>
      </c>
      <c r="N317" s="36">
        <v>100</v>
      </c>
      <c r="O317" s="36">
        <v>-1</v>
      </c>
      <c r="P317" s="45">
        <f>+IF(O317&gt;0,INT(Fuelbeds_english!P317*2.471),O317)</f>
        <v>-1</v>
      </c>
      <c r="Q317" s="36">
        <f>+IF(O317&gt;0,INT(Fuelbeds_english!Q317*0.3048),O317)</f>
        <v>-1</v>
      </c>
      <c r="R317" s="45">
        <f>+IF(O317&gt;0,INT(Fuelbeds_english!R317*0.3048),O317)</f>
        <v>-1</v>
      </c>
      <c r="S317" s="45">
        <f>+IF(O317&gt;0,INT(Fuelbeds_english!S317*2.54),O317)</f>
        <v>-1</v>
      </c>
      <c r="T317" s="36">
        <v>-1</v>
      </c>
      <c r="U317" s="36">
        <v>-1</v>
      </c>
      <c r="V317" s="36">
        <v>-1</v>
      </c>
      <c r="W317" s="36">
        <v>-1</v>
      </c>
      <c r="X317" s="98">
        <v>-1</v>
      </c>
      <c r="Y317" s="29">
        <v>7.3</v>
      </c>
      <c r="Z317" s="88" t="str">
        <f>+IF(Y317&gt;0,FIXED(Fuelbeds_english!Z317*0.3048,1,0),Y317)</f>
        <v>0.3</v>
      </c>
      <c r="AA317" s="46">
        <v>75</v>
      </c>
      <c r="AB317" s="50">
        <v>507263</v>
      </c>
      <c r="AC317" s="50" t="s">
        <v>364</v>
      </c>
      <c r="AD317" s="50">
        <v>100</v>
      </c>
      <c r="AE317" s="42">
        <v>37</v>
      </c>
      <c r="AF317" s="52" t="str">
        <f>+IF(AE317&gt;0,FIXED(Fuelbeds_english!AF317*0.3048,1,0),AE317)</f>
        <v>0.3</v>
      </c>
      <c r="AG317" s="36">
        <v>80</v>
      </c>
      <c r="AH317" s="52" t="str">
        <f>+IF(AE317&gt;0,FIXED(Fuelbeds_english!AH317*2.242,1,0),AE317)</f>
        <v>0.2</v>
      </c>
      <c r="AI317" s="45">
        <v>40792</v>
      </c>
      <c r="AJ317" s="45" t="s">
        <v>365</v>
      </c>
      <c r="AK317" s="45">
        <v>100</v>
      </c>
      <c r="AL317" s="34">
        <v>4.5</v>
      </c>
      <c r="AM317" s="52" t="str">
        <f>+IF(AL317&gt;0,FIXED(Fuelbeds_english!AM317*2.54,1,0),AL317)</f>
        <v>2.5</v>
      </c>
      <c r="AN317" s="52" t="str">
        <f>+IF($AM317&gt;0,FIXED(Fuelbeds_english!AN317*2.242,1,0),$AM317)</f>
        <v>0.5</v>
      </c>
      <c r="AO317" s="52" t="str">
        <f>+IF($AM317&gt;0,FIXED(Fuelbeds_english!AO317*2.242,1,0),$AM317)</f>
        <v>1.0</v>
      </c>
      <c r="AP317" s="52" t="str">
        <f>+IF($AM317&gt;0,FIXED(Fuelbeds_english!AP317*2.242,1,0),$AM317)</f>
        <v>1.8</v>
      </c>
      <c r="AQ317" s="52" t="str">
        <f>+IF($AM317&gt;0,FIXED(Fuelbeds_english!AQ317*2.242,1,0),$AM317)</f>
        <v>2.5</v>
      </c>
      <c r="AR317" s="36">
        <v>19276</v>
      </c>
      <c r="AS317" s="36" t="s">
        <v>158</v>
      </c>
      <c r="AT317" s="36">
        <v>100</v>
      </c>
      <c r="AU317" s="44">
        <v>-1</v>
      </c>
      <c r="AV317" s="52">
        <f>+IF(AU317&gt;0,FIXED(Fuelbeds_english!AV317*2.54,1,0),AU317)</f>
        <v>-1</v>
      </c>
      <c r="AW317" s="52">
        <v>-1</v>
      </c>
      <c r="AX317" s="52">
        <v>-1</v>
      </c>
      <c r="AY317" s="52">
        <f>+IF(AX317&gt;0,FIXED(Fuelbeds_english!AY317*2.54,1,0),AX317)</f>
        <v>-1</v>
      </c>
      <c r="AZ317" s="45">
        <v>1</v>
      </c>
      <c r="BA317" s="36">
        <v>53.7</v>
      </c>
      <c r="BB317" s="52" t="str">
        <f>+IF(BA317&gt;0,FIXED(Fuelbeds_english!BB317*2.54,1,0),BA317)</f>
        <v>3.8</v>
      </c>
      <c r="BC317" s="45">
        <v>-1</v>
      </c>
      <c r="BD317" s="45">
        <v>-1</v>
      </c>
      <c r="BE317" s="45">
        <v>-1</v>
      </c>
      <c r="BF317" s="45">
        <v>75</v>
      </c>
      <c r="BG317" s="45">
        <v>-1</v>
      </c>
      <c r="BH317" s="45">
        <v>-1</v>
      </c>
      <c r="BI317" s="45">
        <v>25</v>
      </c>
      <c r="BJ317" s="28">
        <v>1</v>
      </c>
      <c r="BK317" s="36">
        <v>53.7</v>
      </c>
      <c r="BL317" s="52" t="str">
        <f>+IF(BK317&gt;0,FIXED(Fuelbeds_english!BL317*2.54,1,0),BK317)</f>
        <v>1.0</v>
      </c>
      <c r="BM317" s="45">
        <v>3</v>
      </c>
      <c r="BN317" s="36">
        <v>35.799999999999997</v>
      </c>
      <c r="BO317" s="52" t="str">
        <f>+IF(BN317&gt;0,FIXED(Fuelbeds_english!BO317*2.54,1,0),BN317)</f>
        <v>0.3</v>
      </c>
    </row>
    <row r="318" spans="1:67" s="50" customFormat="1" x14ac:dyDescent="0.25">
      <c r="A318" s="50">
        <v>317</v>
      </c>
      <c r="B318" s="52" t="s">
        <v>324</v>
      </c>
      <c r="C318" s="68">
        <v>9112091</v>
      </c>
      <c r="D318" s="36" t="s">
        <v>351</v>
      </c>
      <c r="E318" s="24" t="s">
        <v>353</v>
      </c>
      <c r="F318" s="39">
        <v>22.4</v>
      </c>
      <c r="G318" s="36">
        <v>22.4</v>
      </c>
      <c r="H318" s="45">
        <f>+IF(F318&gt;0,INT(Fuelbeds_english!H318*2.471),F318)</f>
        <v>110</v>
      </c>
      <c r="I318" s="36">
        <f>+IF(F318&gt;0,INT(Fuelbeds_english!I318*0.3048),F318)</f>
        <v>10</v>
      </c>
      <c r="J318" s="45">
        <f>+IF(F318&gt;0,INT(Fuelbeds_english!J318*0.3048),F318)</f>
        <v>4</v>
      </c>
      <c r="K318" s="45">
        <f>+IF(F318&gt;0,INT(Fuelbeds_english!K318*2.54),F318)</f>
        <v>25</v>
      </c>
      <c r="L318" s="36">
        <v>18035</v>
      </c>
      <c r="M318" s="36" t="s">
        <v>370</v>
      </c>
      <c r="N318" s="36">
        <v>100</v>
      </c>
      <c r="O318" s="36">
        <v>11.419607843137255</v>
      </c>
      <c r="P318" s="45">
        <f>+IF(O318&gt;0,INT(Fuelbeds_english!P318*2.471),O318)</f>
        <v>176</v>
      </c>
      <c r="Q318" s="36">
        <f>+IF(O318&gt;0,INT(Fuelbeds_english!Q318*0.3048),O318)</f>
        <v>7</v>
      </c>
      <c r="R318" s="45">
        <f>+IF(O318&gt;0,INT(Fuelbeds_english!R318*0.3048),O318)</f>
        <v>1</v>
      </c>
      <c r="S318" s="45">
        <f>+IF(O318&gt;0,INT(Fuelbeds_english!S318*2.54),O318)</f>
        <v>16</v>
      </c>
      <c r="T318" s="36">
        <v>18035</v>
      </c>
      <c r="U318" s="36" t="s">
        <v>370</v>
      </c>
      <c r="V318" s="36">
        <v>100</v>
      </c>
      <c r="W318" s="36">
        <v>1</v>
      </c>
      <c r="X318" s="98">
        <v>4</v>
      </c>
      <c r="Y318" s="29">
        <v>26.76</v>
      </c>
      <c r="Z318" s="88" t="str">
        <f>+IF(Y318&gt;0,FIXED(Fuelbeds_english!Z318*0.3048,1,0),Y318)</f>
        <v>0.7</v>
      </c>
      <c r="AA318" s="46">
        <v>88</v>
      </c>
      <c r="AB318" s="50">
        <v>507263</v>
      </c>
      <c r="AC318" s="50" t="s">
        <v>364</v>
      </c>
      <c r="AD318" s="50">
        <v>100</v>
      </c>
      <c r="AE318" s="42">
        <v>42</v>
      </c>
      <c r="AF318" s="52" t="str">
        <f>+IF(AE318&gt;0,FIXED(Fuelbeds_english!AF318*0.3048,1,0),AE318)</f>
        <v>0.2</v>
      </c>
      <c r="AG318" s="36">
        <v>67</v>
      </c>
      <c r="AH318" s="52" t="str">
        <f>+IF(AE318&gt;0,FIXED(Fuelbeds_english!AH318*2.242,1,0),AE318)</f>
        <v>0.6</v>
      </c>
      <c r="AI318" s="45">
        <v>39369</v>
      </c>
      <c r="AJ318" s="45" t="s">
        <v>367</v>
      </c>
      <c r="AK318" s="45">
        <v>100</v>
      </c>
      <c r="AL318" s="34">
        <v>14.1</v>
      </c>
      <c r="AM318" s="52" t="str">
        <f>+IF(AL318&gt;0,FIXED(Fuelbeds_english!AM318*2.54,1,0),AL318)</f>
        <v>3.8</v>
      </c>
      <c r="AN318" s="52" t="str">
        <f>+IF($AM318&gt;0,FIXED(Fuelbeds_english!AN318*2.242,1,0),$AM318)</f>
        <v>0.2</v>
      </c>
      <c r="AO318" s="52" t="str">
        <f>+IF($AM318&gt;0,FIXED(Fuelbeds_english!AO318*2.242,1,0),$AM318)</f>
        <v>0.9</v>
      </c>
      <c r="AP318" s="52" t="str">
        <f>+IF($AM318&gt;0,FIXED(Fuelbeds_english!AP318*2.242,1,0),$AM318)</f>
        <v>1.4</v>
      </c>
      <c r="AQ318" s="52" t="str">
        <f>+IF($AM318&gt;0,FIXED(Fuelbeds_english!AQ318*2.242,1,0),$AM318)</f>
        <v>4.0</v>
      </c>
      <c r="AR318" s="36">
        <v>18035</v>
      </c>
      <c r="AS318" s="36" t="s">
        <v>366</v>
      </c>
      <c r="AT318" s="36">
        <v>100</v>
      </c>
      <c r="AU318" s="44">
        <v>-1</v>
      </c>
      <c r="AV318" s="52">
        <f>+IF(AU318&gt;0,FIXED(Fuelbeds_english!AV318*2.54,1,0),AU318)</f>
        <v>-1</v>
      </c>
      <c r="AW318" s="88">
        <v>2</v>
      </c>
      <c r="AX318" s="52">
        <v>1.63</v>
      </c>
      <c r="AY318" s="52" t="str">
        <f>+IF(AX318&gt;0,FIXED(Fuelbeds_english!AY318*2.54,1,0),AX318)</f>
        <v>0.8</v>
      </c>
      <c r="AZ318" s="45">
        <v>1</v>
      </c>
      <c r="BA318" s="36">
        <v>28.9</v>
      </c>
      <c r="BB318" s="52" t="str">
        <f>+IF(BA318&gt;0,FIXED(Fuelbeds_english!BB318*2.54,1,0),BA318)</f>
        <v>1.8</v>
      </c>
      <c r="BC318" s="45">
        <v>45</v>
      </c>
      <c r="BD318" s="45">
        <v>45</v>
      </c>
      <c r="BE318" s="45">
        <v>-1</v>
      </c>
      <c r="BF318" s="45">
        <v>-1</v>
      </c>
      <c r="BG318" s="45">
        <v>-1</v>
      </c>
      <c r="BH318" s="45">
        <v>-1</v>
      </c>
      <c r="BI318" s="45">
        <v>10</v>
      </c>
      <c r="BJ318" s="28">
        <v>1</v>
      </c>
      <c r="BK318" s="36">
        <v>29.3</v>
      </c>
      <c r="BL318" s="52" t="str">
        <f>+IF(BK318&gt;0,FIXED(Fuelbeds_english!BL318*2.54,1,0),BK318)</f>
        <v>1.7</v>
      </c>
      <c r="BM318" s="45">
        <v>3</v>
      </c>
      <c r="BN318" s="36">
        <v>26.9</v>
      </c>
      <c r="BO318" s="52" t="str">
        <f>+IF(BN318&gt;0,FIXED(Fuelbeds_english!BO318*2.54,1,0),BN318)</f>
        <v>2.1</v>
      </c>
    </row>
    <row r="319" spans="1:67" s="50" customFormat="1" x14ac:dyDescent="0.25">
      <c r="A319" s="50">
        <v>318</v>
      </c>
      <c r="B319" s="52" t="s">
        <v>325</v>
      </c>
      <c r="C319" s="68">
        <v>9212091</v>
      </c>
      <c r="D319" s="36" t="s">
        <v>351</v>
      </c>
      <c r="E319" s="24" t="s">
        <v>353</v>
      </c>
      <c r="F319" s="39">
        <v>52.6</v>
      </c>
      <c r="G319" s="36">
        <v>52.6</v>
      </c>
      <c r="H319" s="45">
        <f>+IF(F319&gt;0,INT(Fuelbeds_english!H319*2.471),F319)</f>
        <v>259</v>
      </c>
      <c r="I319" s="36">
        <f>+IF(F319&gt;0,INT(Fuelbeds_english!I319*0.3048),F319)</f>
        <v>22</v>
      </c>
      <c r="J319" s="45">
        <f>+IF(F319&gt;0,INT(Fuelbeds_english!J319*0.3048),F319)</f>
        <v>8</v>
      </c>
      <c r="K319" s="45">
        <f>+IF(F319&gt;0,INT(Fuelbeds_english!K319*2.54),F319)</f>
        <v>51</v>
      </c>
      <c r="L319" s="36">
        <v>18035</v>
      </c>
      <c r="M319" s="36" t="s">
        <v>370</v>
      </c>
      <c r="N319" s="36">
        <v>100</v>
      </c>
      <c r="O319" s="36">
        <v>26.815686274509808</v>
      </c>
      <c r="P319" s="45">
        <f>+IF(O319&gt;0,INT(Fuelbeds_english!P319*2.471),O319)</f>
        <v>415</v>
      </c>
      <c r="Q319" s="36">
        <f>+IF(O319&gt;0,INT(Fuelbeds_english!Q319*0.3048),O319)</f>
        <v>15</v>
      </c>
      <c r="R319" s="45">
        <f>+IF(O319&gt;0,INT(Fuelbeds_english!R319*0.3048),O319)</f>
        <v>3</v>
      </c>
      <c r="S319" s="45">
        <f>+IF(O319&gt;0,INT(Fuelbeds_english!S319*2.54),O319)</f>
        <v>34</v>
      </c>
      <c r="T319" s="36">
        <v>18035</v>
      </c>
      <c r="U319" s="36" t="s">
        <v>370</v>
      </c>
      <c r="V319" s="36">
        <v>100</v>
      </c>
      <c r="W319" s="36">
        <v>1</v>
      </c>
      <c r="X319" s="98">
        <v>4</v>
      </c>
      <c r="Y319" s="29">
        <v>18.55</v>
      </c>
      <c r="Z319" s="88" t="str">
        <f>+IF(Y319&gt;0,FIXED(Fuelbeds_english!Z319*0.3048,1,0),Y319)</f>
        <v>0.7</v>
      </c>
      <c r="AA319" s="46">
        <v>88</v>
      </c>
      <c r="AB319" s="50">
        <v>507263</v>
      </c>
      <c r="AC319" s="50" t="s">
        <v>364</v>
      </c>
      <c r="AD319" s="50">
        <v>100</v>
      </c>
      <c r="AE319" s="42">
        <v>29</v>
      </c>
      <c r="AF319" s="52" t="str">
        <f>+IF(AE319&gt;0,FIXED(Fuelbeds_english!AF319*0.3048,1,0),AE319)</f>
        <v>0.2</v>
      </c>
      <c r="AG319" s="36">
        <v>67</v>
      </c>
      <c r="AH319" s="52" t="str">
        <f>+IF(AE319&gt;0,FIXED(Fuelbeds_english!AH319*2.242,1,0),AE319)</f>
        <v>0.4</v>
      </c>
      <c r="AI319" s="45">
        <v>39369</v>
      </c>
      <c r="AJ319" s="45" t="s">
        <v>367</v>
      </c>
      <c r="AK319" s="45">
        <v>100</v>
      </c>
      <c r="AL319" s="34">
        <v>33.1</v>
      </c>
      <c r="AM319" s="52" t="str">
        <f>+IF(AL319&gt;0,FIXED(Fuelbeds_english!AM319*2.54,1,0),AL319)</f>
        <v>3.8</v>
      </c>
      <c r="AN319" s="52" t="str">
        <f>+IF($AM319&gt;0,FIXED(Fuelbeds_english!AN319*2.242,1,0),$AM319)</f>
        <v>0.4</v>
      </c>
      <c r="AO319" s="52" t="str">
        <f>+IF($AM319&gt;0,FIXED(Fuelbeds_english!AO319*2.242,1,0),$AM319)</f>
        <v>2.0</v>
      </c>
      <c r="AP319" s="52" t="str">
        <f>+IF($AM319&gt;0,FIXED(Fuelbeds_english!AP319*2.242,1,0),$AM319)</f>
        <v>3.3</v>
      </c>
      <c r="AQ319" s="52" t="str">
        <f>+IF($AM319&gt;0,FIXED(Fuelbeds_english!AQ319*2.242,1,0),$AM319)</f>
        <v>9.5</v>
      </c>
      <c r="AR319" s="36">
        <v>18035</v>
      </c>
      <c r="AS319" s="36" t="s">
        <v>366</v>
      </c>
      <c r="AT319" s="36">
        <v>100</v>
      </c>
      <c r="AU319" s="44">
        <v>-1</v>
      </c>
      <c r="AV319" s="52">
        <f>+IF(AU319&gt;0,FIXED(Fuelbeds_english!AV319*2.54,1,0),AU319)</f>
        <v>-1</v>
      </c>
      <c r="AW319" s="88">
        <v>2</v>
      </c>
      <c r="AX319" s="52">
        <v>1.63</v>
      </c>
      <c r="AY319" s="52" t="str">
        <f>+IF(AX319&gt;0,FIXED(Fuelbeds_english!AY319*2.54,1,0),AX319)</f>
        <v>0.8</v>
      </c>
      <c r="AZ319" s="45">
        <v>1</v>
      </c>
      <c r="BA319" s="36">
        <v>67.8</v>
      </c>
      <c r="BB319" s="52" t="str">
        <f>+IF(BA319&gt;0,FIXED(Fuelbeds_english!BB319*2.54,1,0),BA319)</f>
        <v>1.8</v>
      </c>
      <c r="BC319" s="45">
        <v>45</v>
      </c>
      <c r="BD319" s="45">
        <v>45</v>
      </c>
      <c r="BE319" s="45">
        <v>-1</v>
      </c>
      <c r="BF319" s="45">
        <v>-1</v>
      </c>
      <c r="BG319" s="45">
        <v>-1</v>
      </c>
      <c r="BH319" s="45">
        <v>-1</v>
      </c>
      <c r="BI319" s="45">
        <v>10</v>
      </c>
      <c r="BJ319" s="28">
        <v>1</v>
      </c>
      <c r="BK319" s="36">
        <v>68.900000000000006</v>
      </c>
      <c r="BL319" s="52" t="str">
        <f>+IF(BK319&gt;0,FIXED(Fuelbeds_english!BL319*2.54,1,0),BK319)</f>
        <v>1.7</v>
      </c>
      <c r="BM319" s="45">
        <v>3</v>
      </c>
      <c r="BN319" s="36">
        <v>63.2</v>
      </c>
      <c r="BO319" s="52" t="str">
        <f>+IF(BN319&gt;0,FIXED(Fuelbeds_english!BO319*2.54,1,0),BN319)</f>
        <v>2.1</v>
      </c>
    </row>
    <row r="320" spans="1:67" s="50" customFormat="1" x14ac:dyDescent="0.25">
      <c r="A320" s="50">
        <v>319</v>
      </c>
      <c r="B320" s="36">
        <v>12100</v>
      </c>
      <c r="C320" s="36">
        <v>12100</v>
      </c>
      <c r="D320" s="36" t="s">
        <v>351</v>
      </c>
      <c r="E320" s="17" t="s">
        <v>134</v>
      </c>
      <c r="F320" s="39">
        <v>40.700000000000003</v>
      </c>
      <c r="G320" s="36">
        <v>40.700000000000003</v>
      </c>
      <c r="H320" s="45">
        <f>+IF(F320&gt;0,INT(Fuelbeds_english!H320*2.471),F320)</f>
        <v>36</v>
      </c>
      <c r="I320" s="36">
        <f>+IF(F320&gt;0,INT(Fuelbeds_english!I320*0.3048),F320)</f>
        <v>21</v>
      </c>
      <c r="J320" s="45">
        <f>+IF(F320&gt;0,INT(Fuelbeds_english!J320*0.3048),F320)</f>
        <v>9</v>
      </c>
      <c r="K320" s="45">
        <f>+IF(F320&gt;0,INT(Fuelbeds_english!K320*2.54),F320)</f>
        <v>80</v>
      </c>
      <c r="L320" s="36">
        <v>18035</v>
      </c>
      <c r="M320" s="36" t="s">
        <v>370</v>
      </c>
      <c r="N320" s="36">
        <v>100</v>
      </c>
      <c r="O320" s="36">
        <v>24.14406779661017</v>
      </c>
      <c r="P320" s="45">
        <f>+IF(O320&gt;0,INT(Fuelbeds_english!P320*2.471),O320)</f>
        <v>90</v>
      </c>
      <c r="Q320" s="36">
        <f>+IF(O320&gt;0,INT(Fuelbeds_english!Q320*0.3048),O320)</f>
        <v>12</v>
      </c>
      <c r="R320" s="45">
        <f>+IF(O320&gt;0,INT(Fuelbeds_english!R320*0.3048),O320)</f>
        <v>4</v>
      </c>
      <c r="S320" s="45">
        <f>+IF(O320&gt;0,INT(Fuelbeds_english!S320*2.54),O320)</f>
        <v>30</v>
      </c>
      <c r="T320" s="36">
        <v>19276</v>
      </c>
      <c r="U320" s="36" t="s">
        <v>158</v>
      </c>
      <c r="V320" s="36">
        <v>100</v>
      </c>
      <c r="W320" s="36">
        <v>1</v>
      </c>
      <c r="X320" s="98">
        <v>4</v>
      </c>
      <c r="Y320" s="29">
        <v>28</v>
      </c>
      <c r="Z320" s="88" t="str">
        <f>+IF(Y320&gt;0,FIXED(Fuelbeds_english!Z320*0.3048,1,0),Y320)</f>
        <v>1.1</v>
      </c>
      <c r="AA320" s="46">
        <v>84</v>
      </c>
      <c r="AB320" s="46">
        <v>5</v>
      </c>
      <c r="AC320" s="46" t="s">
        <v>368</v>
      </c>
      <c r="AD320" s="50">
        <v>100</v>
      </c>
      <c r="AE320" s="42">
        <v>25</v>
      </c>
      <c r="AF320" s="52" t="str">
        <f>+IF(AE320&gt;0,FIXED(Fuelbeds_english!AF320*0.3048,1,0),AE320)</f>
        <v>0.4</v>
      </c>
      <c r="AG320" s="36">
        <v>77</v>
      </c>
      <c r="AH320" s="52" t="str">
        <f>+IF(AE320&gt;0,FIXED(Fuelbeds_english!AH320*2.242,1,0),AE320)</f>
        <v>0.4</v>
      </c>
      <c r="AI320" s="45">
        <v>40792</v>
      </c>
      <c r="AJ320" s="45" t="s">
        <v>365</v>
      </c>
      <c r="AK320" s="45">
        <v>100</v>
      </c>
      <c r="AL320" s="34">
        <v>46.356610169491532</v>
      </c>
      <c r="AM320" s="52" t="str">
        <f>+IF(AL320&gt;0,FIXED(Fuelbeds_english!AM320*2.54,1,0),AL320)</f>
        <v>6.8</v>
      </c>
      <c r="AN320" s="52" t="str">
        <f>+IF($AM320&gt;0,FIXED(Fuelbeds_english!AN320*2.242,1,0),$AM320)</f>
        <v>0.6</v>
      </c>
      <c r="AO320" s="52" t="str">
        <f>+IF($AM320&gt;0,FIXED(Fuelbeds_english!AO320*2.242,1,0),$AM320)</f>
        <v>2.4</v>
      </c>
      <c r="AP320" s="52" t="str">
        <f>+IF($AM320&gt;0,FIXED(Fuelbeds_english!AP320*2.242,1,0),$AM320)</f>
        <v>2.1</v>
      </c>
      <c r="AQ320" s="52" t="str">
        <f>+IF($AM320&gt;0,FIXED(Fuelbeds_english!AQ320*2.242,1,0),$AM320)</f>
        <v>2.4</v>
      </c>
      <c r="AR320" s="36">
        <v>18035</v>
      </c>
      <c r="AS320" s="45" t="s">
        <v>366</v>
      </c>
      <c r="AT320" s="45">
        <v>100</v>
      </c>
      <c r="AU320" s="44">
        <v>-1</v>
      </c>
      <c r="AV320" s="52">
        <f>+IF(AU320&gt;0,FIXED(Fuelbeds_english!AV320*2.54,1,0),AU320)</f>
        <v>-1</v>
      </c>
      <c r="AW320" s="88">
        <v>2</v>
      </c>
      <c r="AX320" s="52">
        <v>2.8</v>
      </c>
      <c r="AY320" s="52" t="str">
        <f>+IF(AX320&gt;0,FIXED(Fuelbeds_english!AY320*2.54,1,0),AX320)</f>
        <v>0.6</v>
      </c>
      <c r="AZ320" s="45">
        <v>1</v>
      </c>
      <c r="BA320" s="36">
        <v>59</v>
      </c>
      <c r="BB320" s="52" t="str">
        <f>+IF(BA320&gt;0,FIXED(Fuelbeds_english!BB320*2.54,1,0),BA320)</f>
        <v>1.4</v>
      </c>
      <c r="BC320" s="45">
        <v>40</v>
      </c>
      <c r="BD320" s="45">
        <v>40</v>
      </c>
      <c r="BE320" s="45">
        <v>-1</v>
      </c>
      <c r="BF320" s="45">
        <v>20</v>
      </c>
      <c r="BG320" s="45">
        <v>-1</v>
      </c>
      <c r="BH320" s="45">
        <v>-1</v>
      </c>
      <c r="BI320" s="45">
        <v>-1</v>
      </c>
      <c r="BJ320" s="28">
        <v>1</v>
      </c>
      <c r="BK320" s="36">
        <v>60.4</v>
      </c>
      <c r="BL320" s="52" t="str">
        <f>+IF(BK320&gt;0,FIXED(Fuelbeds_english!BL320*2.54,1,0),BK320)</f>
        <v>0.8</v>
      </c>
      <c r="BM320" s="45">
        <v>3</v>
      </c>
      <c r="BN320" s="36">
        <v>60.4</v>
      </c>
      <c r="BO320" s="52" t="str">
        <f>+IF(BN320&gt;0,FIXED(Fuelbeds_english!BO320*2.54,1,0),BN320)</f>
        <v>1.2</v>
      </c>
    </row>
    <row r="321" spans="1:67" s="50" customFormat="1" x14ac:dyDescent="0.25">
      <c r="A321" s="50">
        <v>320</v>
      </c>
      <c r="B321" s="36">
        <v>12110</v>
      </c>
      <c r="C321" s="36">
        <v>12110</v>
      </c>
      <c r="D321" s="36" t="s">
        <v>351</v>
      </c>
      <c r="E321" s="12" t="s">
        <v>9</v>
      </c>
      <c r="F321" s="39">
        <v>7.1</v>
      </c>
      <c r="G321" s="36">
        <v>7.1</v>
      </c>
      <c r="H321" s="45">
        <f>+IF(F321&gt;0,INT(Fuelbeds_english!H321*2.471),F321)</f>
        <v>6</v>
      </c>
      <c r="I321" s="36">
        <f>+IF(F321&gt;0,INT(Fuelbeds_english!I321*0.3048),F321)</f>
        <v>12</v>
      </c>
      <c r="J321" s="45">
        <f>+IF(F321&gt;0,INT(Fuelbeds_english!J321*0.3048),F321)</f>
        <v>5</v>
      </c>
      <c r="K321" s="45">
        <f>+IF(F321&gt;0,INT(Fuelbeds_english!K321*2.54),F321)</f>
        <v>46</v>
      </c>
      <c r="L321" s="36">
        <v>18035</v>
      </c>
      <c r="M321" s="36" t="s">
        <v>370</v>
      </c>
      <c r="N321" s="36">
        <v>100</v>
      </c>
      <c r="O321" s="36">
        <v>4.2118644067796609</v>
      </c>
      <c r="P321" s="45">
        <f>+IF(O321&gt;0,INT(Fuelbeds_english!P321*2.471),O321)</f>
        <v>15</v>
      </c>
      <c r="Q321" s="36">
        <f>+IF(O321&gt;0,INT(Fuelbeds_english!Q321*0.3048),O321)</f>
        <v>7</v>
      </c>
      <c r="R321" s="45">
        <f>+IF(O321&gt;0,INT(Fuelbeds_english!R321*0.3048),O321)</f>
        <v>2</v>
      </c>
      <c r="S321" s="45">
        <f>+IF(O321&gt;0,INT(Fuelbeds_english!S321*2.54),O321)</f>
        <v>17</v>
      </c>
      <c r="T321" s="36">
        <v>19276</v>
      </c>
      <c r="U321" s="36" t="s">
        <v>158</v>
      </c>
      <c r="V321" s="36">
        <v>100</v>
      </c>
      <c r="W321" s="36">
        <v>1</v>
      </c>
      <c r="X321" s="98">
        <v>4</v>
      </c>
      <c r="Y321" s="29">
        <v>32</v>
      </c>
      <c r="Z321" s="88" t="str">
        <f>+IF(Y321&gt;0,FIXED(Fuelbeds_english!Z321*0.3048,1,0),Y321)</f>
        <v>1.1</v>
      </c>
      <c r="AA321" s="46">
        <v>84</v>
      </c>
      <c r="AB321" s="46">
        <v>5</v>
      </c>
      <c r="AC321" s="46" t="s">
        <v>368</v>
      </c>
      <c r="AD321" s="50">
        <v>100</v>
      </c>
      <c r="AE321" s="42">
        <v>28</v>
      </c>
      <c r="AF321" s="52" t="str">
        <f>+IF(AE321&gt;0,FIXED(Fuelbeds_english!AF321*0.3048,1,0),AE321)</f>
        <v>0.4</v>
      </c>
      <c r="AG321" s="36">
        <v>77</v>
      </c>
      <c r="AH321" s="52" t="str">
        <f>+IF(AE321&gt;0,FIXED(Fuelbeds_english!AH321*2.242,1,0),AE321)</f>
        <v>0.5</v>
      </c>
      <c r="AI321" s="45">
        <v>40792</v>
      </c>
      <c r="AJ321" s="45" t="s">
        <v>365</v>
      </c>
      <c r="AK321" s="45">
        <v>100</v>
      </c>
      <c r="AL321" s="34">
        <v>8.0867796610169496</v>
      </c>
      <c r="AM321" s="52" t="str">
        <f>+IF(AL321&gt;0,FIXED(Fuelbeds_english!AM321*2.54,1,0),AL321)</f>
        <v>6.8</v>
      </c>
      <c r="AN321" s="52" t="str">
        <f>+IF($AM321&gt;0,FIXED(Fuelbeds_english!AN321*2.242,1,0),$AM321)</f>
        <v>0.1</v>
      </c>
      <c r="AO321" s="52" t="str">
        <f>+IF($AM321&gt;0,FIXED(Fuelbeds_english!AO321*2.242,1,0),$AM321)</f>
        <v>0.4</v>
      </c>
      <c r="AP321" s="52" t="str">
        <f>+IF($AM321&gt;0,FIXED(Fuelbeds_english!AP321*2.242,1,0),$AM321)</f>
        <v>0.4</v>
      </c>
      <c r="AQ321" s="52" t="str">
        <f>+IF($AM321&gt;0,FIXED(Fuelbeds_english!AQ321*2.242,1,0),$AM321)</f>
        <v>0.4</v>
      </c>
      <c r="AR321" s="36">
        <v>18035</v>
      </c>
      <c r="AS321" s="45" t="s">
        <v>366</v>
      </c>
      <c r="AT321" s="45">
        <v>100</v>
      </c>
      <c r="AU321" s="44">
        <v>-1</v>
      </c>
      <c r="AV321" s="52">
        <f>+IF(AU321&gt;0,FIXED(Fuelbeds_english!AV321*2.54,1,0),AU321)</f>
        <v>-1</v>
      </c>
      <c r="AW321" s="88">
        <v>2</v>
      </c>
      <c r="AX321" s="52">
        <v>2.8</v>
      </c>
      <c r="AY321" s="52" t="str">
        <f>+IF(AX321&gt;0,FIXED(Fuelbeds_english!AY321*2.54,1,0),AX321)</f>
        <v>0.6</v>
      </c>
      <c r="AZ321" s="45">
        <v>1</v>
      </c>
      <c r="BA321" s="36">
        <v>10.3</v>
      </c>
      <c r="BB321" s="52" t="str">
        <f>+IF(BA321&gt;0,FIXED(Fuelbeds_english!BB321*2.54,1,0),BA321)</f>
        <v>1.4</v>
      </c>
      <c r="BC321" s="45">
        <v>40</v>
      </c>
      <c r="BD321" s="45">
        <v>40</v>
      </c>
      <c r="BE321" s="45">
        <v>-1</v>
      </c>
      <c r="BF321" s="45">
        <v>20</v>
      </c>
      <c r="BG321" s="45">
        <v>-1</v>
      </c>
      <c r="BH321" s="45">
        <v>-1</v>
      </c>
      <c r="BI321" s="45">
        <v>-1</v>
      </c>
      <c r="BJ321" s="28">
        <v>1</v>
      </c>
      <c r="BK321" s="36">
        <v>10.5</v>
      </c>
      <c r="BL321" s="52" t="str">
        <f>+IF(BK321&gt;0,FIXED(Fuelbeds_english!BL321*2.54,1,0),BK321)</f>
        <v>0.8</v>
      </c>
      <c r="BM321" s="45">
        <v>3</v>
      </c>
      <c r="BN321" s="36">
        <v>10.5</v>
      </c>
      <c r="BO321" s="52" t="str">
        <f>+IF(BN321&gt;0,FIXED(Fuelbeds_english!BO321*2.54,1,0),BN321)</f>
        <v>1.2</v>
      </c>
    </row>
    <row r="322" spans="1:67" s="50" customFormat="1" x14ac:dyDescent="0.25">
      <c r="A322" s="50">
        <v>321</v>
      </c>
      <c r="B322" s="36">
        <v>12113</v>
      </c>
      <c r="C322" s="71">
        <v>12113</v>
      </c>
      <c r="D322" s="36" t="s">
        <v>351</v>
      </c>
      <c r="E322" s="34" t="s">
        <v>408</v>
      </c>
      <c r="F322" s="39">
        <v>5</v>
      </c>
      <c r="G322" s="36">
        <v>5</v>
      </c>
      <c r="H322" s="45">
        <f>+IF(F322&gt;0,INT(Fuelbeds_english!H322*2.471),F322)</f>
        <v>2</v>
      </c>
      <c r="I322" s="36">
        <f>+IF(F322&gt;0,INT(Fuelbeds_english!I322*0.3048),F322)</f>
        <v>6</v>
      </c>
      <c r="J322" s="45">
        <f>+IF(F322&gt;0,INT(Fuelbeds_english!J322*0.3048),F322)</f>
        <v>4</v>
      </c>
      <c r="K322" s="45">
        <f>+IF(F322&gt;0,INT(Fuelbeds_english!K322*2.54),F322)</f>
        <v>20</v>
      </c>
      <c r="L322" s="36">
        <v>27189</v>
      </c>
      <c r="M322" s="36" t="s">
        <v>401</v>
      </c>
      <c r="N322" s="36">
        <v>100</v>
      </c>
      <c r="O322" s="36">
        <v>2.4285714285714284</v>
      </c>
      <c r="P322" s="45">
        <f>+IF(O322&gt;0,INT(Fuelbeds_english!P322*2.471),O322)</f>
        <v>15</v>
      </c>
      <c r="Q322" s="36">
        <f>+IF(O322&gt;0,INT(Fuelbeds_english!Q322*0.3048),O322)</f>
        <v>3</v>
      </c>
      <c r="R322" s="45">
        <f>+IF(O322&gt;0,INT(Fuelbeds_english!R322*0.3048),O322)</f>
        <v>1</v>
      </c>
      <c r="S322" s="45">
        <f>+IF(O322&gt;0,INT(Fuelbeds_english!S322*2.54),O322)</f>
        <v>7</v>
      </c>
      <c r="T322" s="36">
        <v>27189</v>
      </c>
      <c r="U322" s="36" t="s">
        <v>401</v>
      </c>
      <c r="V322" s="36">
        <v>100</v>
      </c>
      <c r="W322" s="36">
        <v>1</v>
      </c>
      <c r="X322" s="98">
        <v>4</v>
      </c>
      <c r="Y322" s="81">
        <v>-1</v>
      </c>
      <c r="Z322" s="88">
        <f>+IF(Y322&gt;0,FIXED(Fuelbeds_english!Z322*0.3048,1,0),Y322)</f>
        <v>-1</v>
      </c>
      <c r="AA322" s="48">
        <v>-1</v>
      </c>
      <c r="AB322" s="10">
        <v>-1</v>
      </c>
      <c r="AC322" s="10">
        <v>-1</v>
      </c>
      <c r="AD322" s="10">
        <v>-1</v>
      </c>
      <c r="AE322" s="42">
        <v>67</v>
      </c>
      <c r="AF322" s="52" t="str">
        <f>+IF(AE322&gt;0,FIXED(Fuelbeds_english!AF322*0.3048,1,0),AE322)</f>
        <v>0.2</v>
      </c>
      <c r="AG322" s="45">
        <v>80</v>
      </c>
      <c r="AH322" s="52" t="str">
        <f>+IF(AE322&gt;0,FIXED(Fuelbeds_english!AH322*2.242,1,0),AE322)</f>
        <v>1.3</v>
      </c>
      <c r="AI322" s="45">
        <v>39369</v>
      </c>
      <c r="AJ322" s="45" t="s">
        <v>391</v>
      </c>
      <c r="AK322" s="45">
        <v>100</v>
      </c>
      <c r="AL322" s="34">
        <v>4.9000000000000004</v>
      </c>
      <c r="AM322" s="52" t="str">
        <f>+IF(AL322&gt;0,FIXED(Fuelbeds_english!AM322*2.54,1,0),AL322)</f>
        <v>7.6</v>
      </c>
      <c r="AN322" s="52" t="str">
        <f>+IF($AM322&gt;0,FIXED(Fuelbeds_english!AN322*2.242,1,0),$AM322)</f>
        <v>0.0</v>
      </c>
      <c r="AO322" s="52" t="str">
        <f>+IF($AM322&gt;0,FIXED(Fuelbeds_english!AO322*2.242,1,0),$AM322)</f>
        <v>0.4</v>
      </c>
      <c r="AP322" s="52" t="str">
        <f>+IF($AM322&gt;0,FIXED(Fuelbeds_english!AP322*2.242,1,0),$AM322)</f>
        <v>0.7</v>
      </c>
      <c r="AQ322" s="52" t="str">
        <f>+IF($AM322&gt;0,FIXED(Fuelbeds_english!AQ322*2.242,1,0),$AM322)</f>
        <v>0.4</v>
      </c>
      <c r="AR322" s="36">
        <v>27189</v>
      </c>
      <c r="AS322" s="45" t="s">
        <v>401</v>
      </c>
      <c r="AT322" s="45">
        <v>100</v>
      </c>
      <c r="AU322" s="44">
        <v>-1</v>
      </c>
      <c r="AV322" s="52">
        <f>+IF(AU322&gt;0,FIXED(Fuelbeds_english!AV322*2.54,1,0),AU322)</f>
        <v>-1</v>
      </c>
      <c r="AW322" s="52">
        <v>-1</v>
      </c>
      <c r="AX322" s="52">
        <v>-1</v>
      </c>
      <c r="AY322" s="52">
        <f>+IF(AX322&gt;0,FIXED(Fuelbeds_english!AY322*2.54,1,0),AX322)</f>
        <v>-1</v>
      </c>
      <c r="AZ322" s="45">
        <v>1</v>
      </c>
      <c r="BA322" s="36">
        <v>6</v>
      </c>
      <c r="BB322" s="52" t="str">
        <f>+IF(BA322&gt;0,FIXED(Fuelbeds_english!BB322*2.54,1,0),BA322)</f>
        <v>4.6</v>
      </c>
      <c r="BC322" s="45">
        <v>-1</v>
      </c>
      <c r="BD322" s="45">
        <v>-1</v>
      </c>
      <c r="BE322" s="45">
        <v>-1</v>
      </c>
      <c r="BF322" s="45">
        <v>-1</v>
      </c>
      <c r="BG322" s="45">
        <v>100</v>
      </c>
      <c r="BH322" s="45">
        <v>-1</v>
      </c>
      <c r="BI322" s="45">
        <v>-1</v>
      </c>
      <c r="BJ322" s="28">
        <v>1</v>
      </c>
      <c r="BK322" s="36">
        <v>6</v>
      </c>
      <c r="BL322" s="52" t="str">
        <f>+IF(BK322&gt;0,FIXED(Fuelbeds_english!BL322*2.54,1,0),BK322)</f>
        <v>5.1</v>
      </c>
      <c r="BM322" s="45">
        <v>3</v>
      </c>
      <c r="BN322" s="36">
        <v>6</v>
      </c>
      <c r="BO322" s="52" t="str">
        <f>+IF(BN322&gt;0,FIXED(Fuelbeds_english!BO322*2.54,1,0),BN322)</f>
        <v>5.1</v>
      </c>
    </row>
    <row r="323" spans="1:67" s="50" customFormat="1" x14ac:dyDescent="0.25">
      <c r="A323" s="50">
        <v>322</v>
      </c>
      <c r="B323" s="36">
        <v>12123</v>
      </c>
      <c r="C323" s="71">
        <v>12123</v>
      </c>
      <c r="D323" s="36" t="s">
        <v>351</v>
      </c>
      <c r="E323" s="32" t="s">
        <v>403</v>
      </c>
      <c r="F323" s="39">
        <v>8</v>
      </c>
      <c r="G323" s="36">
        <v>8</v>
      </c>
      <c r="H323" s="45">
        <f>+IF(F323&gt;0,INT(Fuelbeds_english!H323*2.471),F323)</f>
        <v>2</v>
      </c>
      <c r="I323" s="36">
        <f>+IF(F323&gt;0,INT(Fuelbeds_english!I323*0.3048),F323)</f>
        <v>6</v>
      </c>
      <c r="J323" s="45">
        <f>+IF(F323&gt;0,INT(Fuelbeds_english!J323*0.3048),F323)</f>
        <v>3</v>
      </c>
      <c r="K323" s="45">
        <f>+IF(F323&gt;0,INT(Fuelbeds_english!K323*2.54),F323)</f>
        <v>20</v>
      </c>
      <c r="L323" s="36">
        <v>27189</v>
      </c>
      <c r="M323" s="36" t="s">
        <v>401</v>
      </c>
      <c r="N323" s="36">
        <v>100</v>
      </c>
      <c r="O323" s="36">
        <v>3.6666666666666665</v>
      </c>
      <c r="P323" s="45">
        <f>+IF(O323&gt;0,INT(Fuelbeds_english!P323*2.471),O323)</f>
        <v>22</v>
      </c>
      <c r="Q323" s="36">
        <f>+IF(O323&gt;0,INT(Fuelbeds_english!Q323*0.3048),O323)</f>
        <v>3</v>
      </c>
      <c r="R323" s="45">
        <f>+IF(O323&gt;0,INT(Fuelbeds_english!R323*0.3048),O323)</f>
        <v>1</v>
      </c>
      <c r="S323" s="45">
        <f>+IF(O323&gt;0,INT(Fuelbeds_english!S323*2.54),O323)</f>
        <v>7</v>
      </c>
      <c r="T323" s="36">
        <v>27189</v>
      </c>
      <c r="U323" s="36" t="s">
        <v>401</v>
      </c>
      <c r="V323" s="36">
        <v>100</v>
      </c>
      <c r="W323" s="36">
        <v>1</v>
      </c>
      <c r="X323" s="98">
        <v>4</v>
      </c>
      <c r="Y323" s="81">
        <v>-1</v>
      </c>
      <c r="Z323" s="88">
        <f>+IF(Y323&gt;0,FIXED(Fuelbeds_english!Z323*0.3048,1,0),Y323)</f>
        <v>-1</v>
      </c>
      <c r="AA323" s="48">
        <v>-1</v>
      </c>
      <c r="AB323" s="10">
        <v>-1</v>
      </c>
      <c r="AC323" s="10">
        <v>-1</v>
      </c>
      <c r="AD323" s="10">
        <v>-1</v>
      </c>
      <c r="AE323" s="42">
        <v>64</v>
      </c>
      <c r="AF323" s="52" t="str">
        <f>+IF(AE323&gt;0,FIXED(Fuelbeds_english!AF323*0.3048,1,0),AE323)</f>
        <v>0.2</v>
      </c>
      <c r="AG323" s="45">
        <v>80</v>
      </c>
      <c r="AH323" s="52" t="str">
        <f>+IF(AE323&gt;0,FIXED(Fuelbeds_english!AH323*2.242,1,0),AE323)</f>
        <v>1.2</v>
      </c>
      <c r="AI323" s="45">
        <v>39369</v>
      </c>
      <c r="AJ323" s="45" t="s">
        <v>391</v>
      </c>
      <c r="AK323" s="45">
        <v>100</v>
      </c>
      <c r="AL323" s="34">
        <v>7.3</v>
      </c>
      <c r="AM323" s="52" t="str">
        <f>+IF(AL323&gt;0,FIXED(Fuelbeds_english!AM323*2.54,1,0),AL323)</f>
        <v>7.6</v>
      </c>
      <c r="AN323" s="52" t="str">
        <f>+IF($AM323&gt;0,FIXED(Fuelbeds_english!AN323*2.242,1,0),$AM323)</f>
        <v>0.2</v>
      </c>
      <c r="AO323" s="52" t="str">
        <f>+IF($AM323&gt;0,FIXED(Fuelbeds_english!AO323*2.242,1,0),$AM323)</f>
        <v>0.7</v>
      </c>
      <c r="AP323" s="52" t="str">
        <f>+IF($AM323&gt;0,FIXED(Fuelbeds_english!AP323*2.242,1,0),$AM323)</f>
        <v>0.9</v>
      </c>
      <c r="AQ323" s="52" t="str">
        <f>+IF($AM323&gt;0,FIXED(Fuelbeds_english!AQ323*2.242,1,0),$AM323)</f>
        <v>0.9</v>
      </c>
      <c r="AR323" s="36">
        <v>27189</v>
      </c>
      <c r="AS323" s="45" t="s">
        <v>401</v>
      </c>
      <c r="AT323" s="45">
        <v>100</v>
      </c>
      <c r="AU323" s="44">
        <v>-1</v>
      </c>
      <c r="AV323" s="52">
        <f>+IF(AU323&gt;0,FIXED(Fuelbeds_english!AV323*2.54,1,0),AU323)</f>
        <v>-1</v>
      </c>
      <c r="AW323" s="52">
        <v>-1</v>
      </c>
      <c r="AX323" s="52">
        <v>-1</v>
      </c>
      <c r="AY323" s="52">
        <f>+IF(AX323&gt;0,FIXED(Fuelbeds_english!AY323*2.54,1,0),AX323)</f>
        <v>-1</v>
      </c>
      <c r="AZ323" s="45">
        <v>1</v>
      </c>
      <c r="BA323" s="36">
        <v>9</v>
      </c>
      <c r="BB323" s="52" t="str">
        <f>+IF(BA323&gt;0,FIXED(Fuelbeds_english!BB323*2.54,1,0),BA323)</f>
        <v>4.6</v>
      </c>
      <c r="BC323" s="45">
        <v>-1</v>
      </c>
      <c r="BD323" s="45">
        <v>-1</v>
      </c>
      <c r="BE323" s="45">
        <v>-1</v>
      </c>
      <c r="BF323" s="45">
        <v>-1</v>
      </c>
      <c r="BG323" s="45">
        <v>100</v>
      </c>
      <c r="BH323" s="45">
        <v>-1</v>
      </c>
      <c r="BI323" s="45">
        <v>-1</v>
      </c>
      <c r="BJ323" s="28">
        <v>1</v>
      </c>
      <c r="BK323" s="36">
        <v>9</v>
      </c>
      <c r="BL323" s="52" t="str">
        <f>+IF(BK323&gt;0,FIXED(Fuelbeds_english!BL323*2.54,1,0),BK323)</f>
        <v>5.1</v>
      </c>
      <c r="BM323" s="45">
        <v>3</v>
      </c>
      <c r="BN323" s="36">
        <v>9</v>
      </c>
      <c r="BO323" s="52" t="str">
        <f>+IF(BN323&gt;0,FIXED(Fuelbeds_english!BO323*2.54,1,0),BN323)</f>
        <v>5.1</v>
      </c>
    </row>
    <row r="324" spans="1:67" s="50" customFormat="1" x14ac:dyDescent="0.25">
      <c r="A324" s="50">
        <v>323</v>
      </c>
      <c r="B324" s="36">
        <v>12130</v>
      </c>
      <c r="C324" s="46">
        <v>12130</v>
      </c>
      <c r="D324" s="36" t="s">
        <v>351</v>
      </c>
      <c r="E324" s="14" t="s">
        <v>10</v>
      </c>
      <c r="F324" s="39">
        <v>-3</v>
      </c>
      <c r="G324" s="36">
        <v>-3</v>
      </c>
      <c r="H324" s="45">
        <f>+IF(F324&gt;0,INT(Fuelbeds_english!H324*2.471),F324)</f>
        <v>-3</v>
      </c>
      <c r="I324" s="36">
        <f>+IF(F324&gt;0,INT(Fuelbeds_english!I324*0.3048),F324)</f>
        <v>-3</v>
      </c>
      <c r="J324" s="45">
        <f>+IF(F324&gt;0,INT(Fuelbeds_english!J324*0.3048),F324)</f>
        <v>-3</v>
      </c>
      <c r="K324" s="45">
        <f>+IF(F324&gt;0,INT(Fuelbeds_english!K324*2.54),F324)</f>
        <v>-3</v>
      </c>
      <c r="L324" s="45">
        <v>-3</v>
      </c>
      <c r="M324" s="45">
        <v>-3</v>
      </c>
      <c r="N324" s="45">
        <v>-3</v>
      </c>
      <c r="O324" s="36">
        <v>-3</v>
      </c>
      <c r="P324" s="45">
        <f>+IF(O324&gt;0,INT(Fuelbeds_english!P324*2.471),O324)</f>
        <v>-3</v>
      </c>
      <c r="Q324" s="36">
        <f>+IF(O324&gt;0,INT(Fuelbeds_english!Q324*0.3048),O324)</f>
        <v>-3</v>
      </c>
      <c r="R324" s="45">
        <f>+IF(O324&gt;0,INT(Fuelbeds_english!R324*0.3048),O324)</f>
        <v>-3</v>
      </c>
      <c r="S324" s="45">
        <f>+IF(O324&gt;0,INT(Fuelbeds_english!S324*2.54),O324)</f>
        <v>-3</v>
      </c>
      <c r="T324" s="45">
        <v>-3</v>
      </c>
      <c r="U324" s="45">
        <v>-3</v>
      </c>
      <c r="V324" s="45">
        <v>-3</v>
      </c>
      <c r="W324" s="45">
        <v>-3</v>
      </c>
      <c r="X324" s="99">
        <v>-3</v>
      </c>
      <c r="Y324" s="29">
        <v>70</v>
      </c>
      <c r="Z324" s="88" t="str">
        <f>+IF(Y324&gt;0,FIXED(Fuelbeds_english!Z324*0.3048,1,0),Y324)</f>
        <v>2.3</v>
      </c>
      <c r="AA324" s="46">
        <v>75</v>
      </c>
      <c r="AB324" s="46">
        <v>5</v>
      </c>
      <c r="AC324" s="46" t="s">
        <v>368</v>
      </c>
      <c r="AD324" s="50">
        <v>100</v>
      </c>
      <c r="AE324" s="42">
        <v>-3</v>
      </c>
      <c r="AF324" s="52">
        <f>+IF(AE324&gt;0,FIXED(Fuelbeds_english!AF324*0.3048,1,0),AE324)</f>
        <v>-3</v>
      </c>
      <c r="AG324" s="45">
        <v>-3</v>
      </c>
      <c r="AH324" s="52">
        <f>+IF(AE324&gt;0,FIXED(Fuelbeds_english!AH324*2.242,1,0),AE324)</f>
        <v>-3</v>
      </c>
      <c r="AI324" s="45">
        <v>-3</v>
      </c>
      <c r="AJ324" s="45">
        <v>-3</v>
      </c>
      <c r="AK324" s="45">
        <v>-3</v>
      </c>
      <c r="AL324" s="34">
        <v>25.714285714285715</v>
      </c>
      <c r="AM324" s="52" t="str">
        <f>+IF(AL324&gt;0,FIXED(Fuelbeds_english!AM324*2.54,1,0),AL324)</f>
        <v>1.1</v>
      </c>
      <c r="AN324" s="52" t="str">
        <f>+IF($AM324&gt;0,FIXED(Fuelbeds_english!AN324*2.242,1,0),$AM324)</f>
        <v>0.8</v>
      </c>
      <c r="AO324" s="52" t="str">
        <f>+IF($AM324&gt;0,FIXED(Fuelbeds_english!AO324*2.242,1,0),$AM324)</f>
        <v>0.9</v>
      </c>
      <c r="AP324" s="52" t="str">
        <f>+IF($AM324&gt;0,FIXED(Fuelbeds_english!AP324*2.242,1,0),$AM324)</f>
        <v>0.8</v>
      </c>
      <c r="AQ324" s="52" t="str">
        <f>+IF($AM324&gt;0,FIXED(Fuelbeds_english!AQ324*2.242,1,0),$AM324)</f>
        <v>0.0</v>
      </c>
      <c r="AR324" s="36">
        <v>5</v>
      </c>
      <c r="AS324" s="36" t="s">
        <v>368</v>
      </c>
      <c r="AT324" s="45">
        <v>100</v>
      </c>
      <c r="AU324" s="44">
        <v>-1</v>
      </c>
      <c r="AV324" s="52">
        <f>+IF(AU324&gt;0,FIXED(Fuelbeds_english!AV324*2.54,1,0),AU324)</f>
        <v>-1</v>
      </c>
      <c r="AW324" s="52">
        <v>-1</v>
      </c>
      <c r="AX324" s="52">
        <v>-1</v>
      </c>
      <c r="AY324" s="52">
        <f>+IF(AX324&gt;0,FIXED(Fuelbeds_english!AY324*2.54,1,0),AX324)</f>
        <v>-1</v>
      </c>
      <c r="AZ324" s="45">
        <v>1</v>
      </c>
      <c r="BA324" s="36">
        <v>90</v>
      </c>
      <c r="BB324" s="52" t="str">
        <f>+IF(BA324&gt;0,FIXED(Fuelbeds_english!BB324*2.54,1,0),BA324)</f>
        <v>5.7</v>
      </c>
      <c r="BC324" s="45">
        <v>-1</v>
      </c>
      <c r="BD324" s="45">
        <v>-1</v>
      </c>
      <c r="BE324" s="45">
        <v>-1</v>
      </c>
      <c r="BF324" s="45">
        <v>-1</v>
      </c>
      <c r="BG324" s="45">
        <v>100</v>
      </c>
      <c r="BH324" s="45">
        <v>-1</v>
      </c>
      <c r="BI324" s="45">
        <v>-1</v>
      </c>
      <c r="BJ324" s="28">
        <v>1</v>
      </c>
      <c r="BK324" s="36">
        <v>48</v>
      </c>
      <c r="BL324" s="52" t="str">
        <f>+IF(BK324&gt;0,FIXED(Fuelbeds_english!BL324*2.54,1,0),BK324)</f>
        <v>0.2</v>
      </c>
      <c r="BM324" s="45">
        <v>3</v>
      </c>
      <c r="BN324" s="36">
        <v>48</v>
      </c>
      <c r="BO324" s="52" t="str">
        <f>+IF(BN324&gt;0,FIXED(Fuelbeds_english!BO324*2.54,1,0),BN324)</f>
        <v>0.1</v>
      </c>
    </row>
    <row r="325" spans="1:67" s="50" customFormat="1" x14ac:dyDescent="0.25">
      <c r="A325" s="50">
        <v>324</v>
      </c>
      <c r="B325" s="36">
        <v>12133</v>
      </c>
      <c r="C325" s="71">
        <v>12133</v>
      </c>
      <c r="D325" s="36" t="s">
        <v>351</v>
      </c>
      <c r="E325" s="31" t="s">
        <v>405</v>
      </c>
      <c r="F325" s="39">
        <v>-3</v>
      </c>
      <c r="G325" s="45">
        <v>-3</v>
      </c>
      <c r="H325" s="45">
        <f>+IF(F325&gt;0,INT(Fuelbeds_english!H325*2.471),F325)</f>
        <v>-3</v>
      </c>
      <c r="I325" s="36">
        <f>+IF(F325&gt;0,INT(Fuelbeds_english!I325*0.3048),F325)</f>
        <v>-3</v>
      </c>
      <c r="J325" s="45">
        <f>+IF(F325&gt;0,INT(Fuelbeds_english!J325*0.3048),F325)</f>
        <v>-3</v>
      </c>
      <c r="K325" s="45">
        <f>+IF(F325&gt;0,INT(Fuelbeds_english!K325*2.54),F325)</f>
        <v>-3</v>
      </c>
      <c r="L325" s="45">
        <v>-3</v>
      </c>
      <c r="M325" s="45">
        <v>-3</v>
      </c>
      <c r="N325" s="45">
        <v>-3</v>
      </c>
      <c r="O325" s="45">
        <v>-3</v>
      </c>
      <c r="P325" s="45">
        <f>+IF(O325&gt;0,INT(Fuelbeds_english!P325*2.471),O325)</f>
        <v>-3</v>
      </c>
      <c r="Q325" s="36">
        <f>+IF(O325&gt;0,INT(Fuelbeds_english!Q325*0.3048),O325)</f>
        <v>-3</v>
      </c>
      <c r="R325" s="45">
        <f>+IF(O325&gt;0,INT(Fuelbeds_english!R325*0.3048),O325)</f>
        <v>-3</v>
      </c>
      <c r="S325" s="45">
        <f>+IF(O325&gt;0,INT(Fuelbeds_english!S325*2.54),O325)</f>
        <v>-3</v>
      </c>
      <c r="T325" s="45">
        <v>-3</v>
      </c>
      <c r="U325" s="45">
        <v>-3</v>
      </c>
      <c r="V325" s="45">
        <v>-3</v>
      </c>
      <c r="W325" s="45">
        <v>-3</v>
      </c>
      <c r="X325" s="99">
        <v>-3</v>
      </c>
      <c r="Y325" s="29">
        <v>65.349999999999994</v>
      </c>
      <c r="Z325" s="88" t="str">
        <f>+IF(Y325&gt;0,FIXED(Fuelbeds_english!Z325*0.3048,1,0),Y325)</f>
        <v>1.5</v>
      </c>
      <c r="AA325" s="46">
        <v>80</v>
      </c>
      <c r="AB325" s="50">
        <v>26417</v>
      </c>
      <c r="AC325" s="50" t="s">
        <v>147</v>
      </c>
      <c r="AD325" s="50">
        <v>100</v>
      </c>
      <c r="AE325" s="42">
        <v>-3</v>
      </c>
      <c r="AF325" s="52">
        <f>+IF(AE325&gt;0,FIXED(Fuelbeds_english!AF325*0.3048,1,0),AE325)</f>
        <v>-3</v>
      </c>
      <c r="AG325" s="45">
        <v>-3</v>
      </c>
      <c r="AH325" s="52">
        <f>+IF(AE325&gt;0,FIXED(Fuelbeds_english!AH325*2.242,1,0),AE325)</f>
        <v>-3</v>
      </c>
      <c r="AI325" s="45">
        <v>-3</v>
      </c>
      <c r="AJ325" s="45">
        <v>-3</v>
      </c>
      <c r="AK325" s="45">
        <v>-3</v>
      </c>
      <c r="AL325" s="34">
        <v>21.426328703703703</v>
      </c>
      <c r="AM325" s="52" t="str">
        <f>+IF(AL325&gt;0,FIXED(Fuelbeds_english!AM325*2.54,1,0),AL325)</f>
        <v>3.8</v>
      </c>
      <c r="AN325" s="52" t="str">
        <f>+IF($AM325&gt;0,FIXED(Fuelbeds_english!AN325*2.242,1,0),$AM325)</f>
        <v>0.9</v>
      </c>
      <c r="AO325" s="52" t="str">
        <f>+IF($AM325&gt;0,FIXED(Fuelbeds_english!AO325*2.242,1,0),$AM325)</f>
        <v>1.5</v>
      </c>
      <c r="AP325" s="52" t="str">
        <f>+IF($AM325&gt;0,FIXED(Fuelbeds_english!AP325*2.242,1,0),$AM325)</f>
        <v>0.7</v>
      </c>
      <c r="AQ325" s="52" t="str">
        <f>+IF($AM325&gt;0,FIXED(Fuelbeds_english!AQ325*2.242,1,0),$AM325)</f>
        <v>0.1</v>
      </c>
      <c r="AR325" s="45">
        <v>26417</v>
      </c>
      <c r="AS325" s="45" t="s">
        <v>147</v>
      </c>
      <c r="AT325" s="45">
        <v>100</v>
      </c>
      <c r="AU325" s="44">
        <v>-1</v>
      </c>
      <c r="AV325" s="52">
        <f>+IF(AU325&gt;0,FIXED(Fuelbeds_english!AV325*2.54,1,0),AU325)</f>
        <v>-1</v>
      </c>
      <c r="AW325" s="52">
        <v>-1</v>
      </c>
      <c r="AX325" s="52">
        <v>-1</v>
      </c>
      <c r="AY325" s="52">
        <f>+IF(AX325&gt;0,FIXED(Fuelbeds_english!AY325*2.54,1,0),AX325)</f>
        <v>-1</v>
      </c>
      <c r="AZ325" s="45">
        <v>1</v>
      </c>
      <c r="BA325" s="36">
        <v>100</v>
      </c>
      <c r="BB325" s="52" t="str">
        <f>+IF(BA325&gt;0,FIXED(Fuelbeds_english!BB325*2.54,1,0),BA325)</f>
        <v>1.9</v>
      </c>
      <c r="BC325" s="45">
        <v>-1</v>
      </c>
      <c r="BD325" s="45">
        <v>-1</v>
      </c>
      <c r="BE325" s="45">
        <v>-1</v>
      </c>
      <c r="BF325" s="45">
        <v>-1</v>
      </c>
      <c r="BG325" s="45">
        <v>100</v>
      </c>
      <c r="BH325" s="45">
        <v>-1</v>
      </c>
      <c r="BI325" s="45">
        <v>-1</v>
      </c>
      <c r="BJ325" s="28">
        <v>-1</v>
      </c>
      <c r="BK325" s="36">
        <v>-1</v>
      </c>
      <c r="BL325" s="52">
        <f>+IF(BK325&gt;0,FIXED(Fuelbeds_english!BL325*2.54,1,0),BK325)</f>
        <v>-1</v>
      </c>
      <c r="BM325" s="36">
        <v>-1</v>
      </c>
      <c r="BN325" s="36">
        <v>-1</v>
      </c>
      <c r="BO325" s="52">
        <f>+IF(BN325&gt;0,FIXED(Fuelbeds_english!BO325*2.54,1,0),BN325)</f>
        <v>-1</v>
      </c>
    </row>
    <row r="326" spans="1:67" s="50" customFormat="1" x14ac:dyDescent="0.25">
      <c r="A326" s="50">
        <v>325</v>
      </c>
      <c r="B326" s="36">
        <v>12140</v>
      </c>
      <c r="C326" s="46">
        <v>12140</v>
      </c>
      <c r="D326" s="36" t="s">
        <v>351</v>
      </c>
      <c r="E326" s="15" t="s">
        <v>14</v>
      </c>
      <c r="F326" s="39">
        <v>-3</v>
      </c>
      <c r="G326" s="36">
        <v>-3</v>
      </c>
      <c r="H326" s="45">
        <f>+IF(F326&gt;0,INT(Fuelbeds_english!H326*2.471),F326)</f>
        <v>-3</v>
      </c>
      <c r="I326" s="36">
        <f>+IF(F326&gt;0,INT(Fuelbeds_english!I326*0.3048),F326)</f>
        <v>-3</v>
      </c>
      <c r="J326" s="45">
        <f>+IF(F326&gt;0,INT(Fuelbeds_english!J326*0.3048),F326)</f>
        <v>-3</v>
      </c>
      <c r="K326" s="45">
        <f>+IF(F326&gt;0,INT(Fuelbeds_english!K326*2.54),F326)</f>
        <v>-3</v>
      </c>
      <c r="L326" s="45">
        <v>-3</v>
      </c>
      <c r="M326" s="45">
        <v>-3</v>
      </c>
      <c r="N326" s="45">
        <v>-3</v>
      </c>
      <c r="O326" s="36">
        <v>-3</v>
      </c>
      <c r="P326" s="45">
        <f>+IF(O326&gt;0,INT(Fuelbeds_english!P326*2.471),O326)</f>
        <v>-3</v>
      </c>
      <c r="Q326" s="36">
        <f>+IF(O326&gt;0,INT(Fuelbeds_english!Q326*0.3048),O326)</f>
        <v>-3</v>
      </c>
      <c r="R326" s="45">
        <f>+IF(O326&gt;0,INT(Fuelbeds_english!R326*0.3048),O326)</f>
        <v>-3</v>
      </c>
      <c r="S326" s="45">
        <f>+IF(O326&gt;0,INT(Fuelbeds_english!S326*2.54),O326)</f>
        <v>-3</v>
      </c>
      <c r="T326" s="45">
        <v>-3</v>
      </c>
      <c r="U326" s="45">
        <v>-3</v>
      </c>
      <c r="V326" s="45">
        <v>-3</v>
      </c>
      <c r="W326" s="45">
        <v>-3</v>
      </c>
      <c r="X326" s="99">
        <v>-3</v>
      </c>
      <c r="Y326" s="81">
        <v>-3</v>
      </c>
      <c r="Z326" s="88">
        <f>+IF(Y326&gt;0,FIXED(Fuelbeds_english!Z326*0.3048,1,0),Y326)</f>
        <v>-3</v>
      </c>
      <c r="AA326" s="48">
        <v>-3</v>
      </c>
      <c r="AB326" s="10">
        <v>-3</v>
      </c>
      <c r="AC326" s="10">
        <v>-3</v>
      </c>
      <c r="AD326" s="10">
        <v>-3</v>
      </c>
      <c r="AE326" s="42">
        <v>65</v>
      </c>
      <c r="AF326" s="52" t="str">
        <f>+IF(AE326&gt;0,FIXED(Fuelbeds_english!AF326*0.3048,1,0),AE326)</f>
        <v>0.4</v>
      </c>
      <c r="AG326" s="36">
        <v>90</v>
      </c>
      <c r="AH326" s="52" t="str">
        <f>+IF(AE326&gt;0,FIXED(Fuelbeds_english!AH326*2.242,1,0),AE326)</f>
        <v>2.2</v>
      </c>
      <c r="AI326" s="45">
        <v>40792</v>
      </c>
      <c r="AJ326" s="45" t="s">
        <v>365</v>
      </c>
      <c r="AK326" s="45">
        <v>100</v>
      </c>
      <c r="AL326" s="34">
        <v>-3</v>
      </c>
      <c r="AM326" s="52">
        <f>+IF(AL326&gt;0,FIXED(Fuelbeds_english!AM326*2.54,1,0),AL326)</f>
        <v>-3</v>
      </c>
      <c r="AN326" s="52">
        <f>+IF(AM326&gt;0,FIXED(Fuelbeds_english!AN326*0.3048,1,0),AM326)</f>
        <v>-3</v>
      </c>
      <c r="AO326" s="52">
        <f>+IF(AN326&gt;0,FIXED(Fuelbeds_english!AO326*0.3048,1,0),AN326)</f>
        <v>-3</v>
      </c>
      <c r="AP326" s="52">
        <f>+IF(AO326&gt;0,FIXED(Fuelbeds_english!AP326*0.3048,1,0),AO326)</f>
        <v>-3</v>
      </c>
      <c r="AQ326" s="52">
        <f>+IF(AP326&gt;0,FIXED(Fuelbeds_english!AQ326*0.3048,1,0),AP326)</f>
        <v>-3</v>
      </c>
      <c r="AR326" s="36">
        <v>-3</v>
      </c>
      <c r="AS326" s="45">
        <v>-3</v>
      </c>
      <c r="AT326" s="45">
        <v>-3</v>
      </c>
      <c r="AU326" s="44">
        <v>-1</v>
      </c>
      <c r="AV326" s="52">
        <f>+IF(AU326&gt;0,FIXED(Fuelbeds_english!AV326*2.54,1,0),AU326)</f>
        <v>-1</v>
      </c>
      <c r="AW326" s="88">
        <v>2</v>
      </c>
      <c r="AX326" s="52">
        <v>18.5</v>
      </c>
      <c r="AY326" s="52" t="str">
        <f>+IF(AX326&gt;0,FIXED(Fuelbeds_english!AY326*2.54,1,0),AX326)</f>
        <v>0.1</v>
      </c>
      <c r="AZ326" s="45">
        <v>1</v>
      </c>
      <c r="BA326" s="36">
        <v>55.4</v>
      </c>
      <c r="BB326" s="52" t="str">
        <f>+IF(BA326&gt;0,FIXED(Fuelbeds_english!BB326*2.54,1,0),BA326)</f>
        <v>0.9</v>
      </c>
      <c r="BC326" s="45">
        <v>-1</v>
      </c>
      <c r="BD326" s="45">
        <v>-1</v>
      </c>
      <c r="BE326" s="45">
        <v>-1</v>
      </c>
      <c r="BF326" s="45">
        <v>-1</v>
      </c>
      <c r="BG326" s="45">
        <v>-1</v>
      </c>
      <c r="BH326" s="45">
        <v>-1</v>
      </c>
      <c r="BI326" s="45">
        <v>100</v>
      </c>
      <c r="BJ326" s="28">
        <v>1</v>
      </c>
      <c r="BK326" s="36">
        <v>43.3</v>
      </c>
      <c r="BL326" s="52" t="str">
        <f>+IF(BK326&gt;0,FIXED(Fuelbeds_english!BL326*2.54,1,0),BK326)</f>
        <v>0.1</v>
      </c>
      <c r="BM326" s="45">
        <v>3</v>
      </c>
      <c r="BN326" s="36">
        <v>43.3</v>
      </c>
      <c r="BO326" s="52" t="str">
        <f>+IF(BN326&gt;0,FIXED(Fuelbeds_english!BO326*2.54,1,0),BN326)</f>
        <v>0.1</v>
      </c>
    </row>
    <row r="327" spans="1:67" s="50" customFormat="1" x14ac:dyDescent="0.25">
      <c r="A327" s="50">
        <v>326</v>
      </c>
      <c r="B327" s="36">
        <v>12150</v>
      </c>
      <c r="C327" s="46">
        <v>12150</v>
      </c>
      <c r="D327" s="36" t="s">
        <v>351</v>
      </c>
      <c r="E327" s="18" t="s">
        <v>15</v>
      </c>
      <c r="F327" s="39">
        <v>-3</v>
      </c>
      <c r="G327" s="36">
        <v>-3</v>
      </c>
      <c r="H327" s="45">
        <f>+IF(F327&gt;0,INT(Fuelbeds_english!H327*2.471),F327)</f>
        <v>-3</v>
      </c>
      <c r="I327" s="36">
        <f>+IF(F327&gt;0,INT(Fuelbeds_english!I327*0.3048),F327)</f>
        <v>-3</v>
      </c>
      <c r="J327" s="45">
        <f>+IF(F327&gt;0,INT(Fuelbeds_english!J327*0.3048),F327)</f>
        <v>-3</v>
      </c>
      <c r="K327" s="45">
        <f>+IF(F327&gt;0,INT(Fuelbeds_english!K327*2.54),F327)</f>
        <v>-3</v>
      </c>
      <c r="L327" s="45">
        <v>-3</v>
      </c>
      <c r="M327" s="45">
        <v>-3</v>
      </c>
      <c r="N327" s="45">
        <v>-3</v>
      </c>
      <c r="O327" s="36">
        <v>-3</v>
      </c>
      <c r="P327" s="45">
        <f>+IF(O327&gt;0,INT(Fuelbeds_english!P327*2.471),O327)</f>
        <v>-3</v>
      </c>
      <c r="Q327" s="36">
        <f>+IF(O327&gt;0,INT(Fuelbeds_english!Q327*0.3048),O327)</f>
        <v>-3</v>
      </c>
      <c r="R327" s="45">
        <f>+IF(O327&gt;0,INT(Fuelbeds_english!R327*0.3048),O327)</f>
        <v>-3</v>
      </c>
      <c r="S327" s="45">
        <f>+IF(O327&gt;0,INT(Fuelbeds_english!S327*2.54),O327)</f>
        <v>-3</v>
      </c>
      <c r="T327" s="45">
        <v>-3</v>
      </c>
      <c r="U327" s="45">
        <v>-3</v>
      </c>
      <c r="V327" s="45">
        <v>-3</v>
      </c>
      <c r="W327" s="45">
        <v>-3</v>
      </c>
      <c r="X327" s="99">
        <v>-3</v>
      </c>
      <c r="Y327" s="29">
        <v>7.1</v>
      </c>
      <c r="Z327" s="88" t="str">
        <f>+IF(Y327&gt;0,FIXED(Fuelbeds_english!Z327*0.3048,1,0),Y327)</f>
        <v>2.2</v>
      </c>
      <c r="AA327" s="46">
        <v>75</v>
      </c>
      <c r="AB327" s="46">
        <v>5</v>
      </c>
      <c r="AC327" s="46" t="s">
        <v>368</v>
      </c>
      <c r="AD327" s="50">
        <v>100</v>
      </c>
      <c r="AE327" s="42">
        <v>7.9</v>
      </c>
      <c r="AF327" s="52" t="str">
        <f>+IF(AE327&gt;0,FIXED(Fuelbeds_english!AF327*0.3048,1,0),AE327)</f>
        <v>0.4</v>
      </c>
      <c r="AG327" s="36">
        <v>90</v>
      </c>
      <c r="AH327" s="52" t="str">
        <f>+IF(AE327&gt;0,FIXED(Fuelbeds_english!AH327*2.242,1,0),AE327)</f>
        <v>0.3</v>
      </c>
      <c r="AI327" s="45">
        <v>40792</v>
      </c>
      <c r="AJ327" s="45" t="s">
        <v>365</v>
      </c>
      <c r="AK327" s="45">
        <v>100</v>
      </c>
      <c r="AL327" s="34">
        <v>2.6</v>
      </c>
      <c r="AM327" s="52" t="str">
        <f>+IF(AL327&gt;0,FIXED(Fuelbeds_english!AM327*2.54,1,0),AL327)</f>
        <v>1.1</v>
      </c>
      <c r="AN327" s="52" t="str">
        <f>+IF($AM327&gt;0,FIXED(Fuelbeds_english!AN327*2.242,1,0),$AM327)</f>
        <v>0.1</v>
      </c>
      <c r="AO327" s="52" t="str">
        <f>+IF($AM327&gt;0,FIXED(Fuelbeds_english!AO327*2.242,1,0),$AM327)</f>
        <v>0.1</v>
      </c>
      <c r="AP327" s="52" t="str">
        <f>+IF($AM327&gt;0,FIXED(Fuelbeds_english!AP327*2.242,1,0),$AM327)</f>
        <v>0.1</v>
      </c>
      <c r="AQ327" s="52" t="str">
        <f>+IF($AM327&gt;0,FIXED(Fuelbeds_english!AQ327*2.242,1,0),$AM327)</f>
        <v>0.0</v>
      </c>
      <c r="AR327" s="36">
        <v>5</v>
      </c>
      <c r="AS327" s="36" t="s">
        <v>368</v>
      </c>
      <c r="AT327" s="45">
        <v>100</v>
      </c>
      <c r="AU327" s="44">
        <v>-1</v>
      </c>
      <c r="AV327" s="52">
        <f>+IF(AU327&gt;0,FIXED(Fuelbeds_english!AV327*2.54,1,0),AU327)</f>
        <v>-1</v>
      </c>
      <c r="AW327" s="52">
        <v>-1</v>
      </c>
      <c r="AX327" s="52">
        <v>-1</v>
      </c>
      <c r="AY327" s="52">
        <f>+IF(AX327&gt;0,FIXED(Fuelbeds_english!AY327*2.54,1,0),AX327)</f>
        <v>-1</v>
      </c>
      <c r="AZ327" s="45">
        <v>1</v>
      </c>
      <c r="BA327" s="36">
        <v>6.7</v>
      </c>
      <c r="BB327" s="52" t="str">
        <f>+IF(BA327&gt;0,FIXED(Fuelbeds_english!BB327*2.54,1,0),BA327)</f>
        <v>0.9</v>
      </c>
      <c r="BC327" s="45">
        <v>-1</v>
      </c>
      <c r="BD327" s="45">
        <v>-1</v>
      </c>
      <c r="BE327" s="45">
        <v>-1</v>
      </c>
      <c r="BF327" s="45">
        <v>-1</v>
      </c>
      <c r="BG327" s="45">
        <v>50</v>
      </c>
      <c r="BH327" s="45">
        <v>-1</v>
      </c>
      <c r="BI327" s="45">
        <v>50</v>
      </c>
      <c r="BJ327" s="28">
        <v>1</v>
      </c>
      <c r="BK327" s="36">
        <v>5.24</v>
      </c>
      <c r="BL327" s="52" t="str">
        <f>+IF(BK327&gt;0,FIXED(Fuelbeds_english!BL327*2.54,1,0),BK327)</f>
        <v>0.1</v>
      </c>
      <c r="BM327" s="45">
        <v>3</v>
      </c>
      <c r="BN327" s="36">
        <v>5.2</v>
      </c>
      <c r="BO327" s="52" t="str">
        <f>+IF(BN327&gt;0,FIXED(Fuelbeds_english!BO327*2.54,1,0),BN327)</f>
        <v>0.1</v>
      </c>
    </row>
    <row r="328" spans="1:67" s="50" customFormat="1" x14ac:dyDescent="0.25">
      <c r="A328" s="50">
        <v>327</v>
      </c>
      <c r="B328" s="36">
        <v>13010</v>
      </c>
      <c r="C328" s="46">
        <v>13010</v>
      </c>
      <c r="D328" s="22" t="s">
        <v>163</v>
      </c>
      <c r="E328" s="25" t="s">
        <v>410</v>
      </c>
      <c r="F328" s="39">
        <v>-3</v>
      </c>
      <c r="G328" s="45">
        <v>-3</v>
      </c>
      <c r="H328" s="45">
        <f>+IF(F328&gt;0,INT(Fuelbeds_english!H328*2.471),F328)</f>
        <v>-3</v>
      </c>
      <c r="I328" s="36">
        <f>+IF(F328&gt;0,INT(Fuelbeds_english!I328*0.3048),F328)</f>
        <v>-3</v>
      </c>
      <c r="J328" s="45">
        <f>+IF(F328&gt;0,INT(Fuelbeds_english!J328*0.3048),F328)</f>
        <v>-3</v>
      </c>
      <c r="K328" s="45">
        <f>+IF(F328&gt;0,INT(Fuelbeds_english!K328*2.54),F328)</f>
        <v>-3</v>
      </c>
      <c r="L328" s="45">
        <v>-3</v>
      </c>
      <c r="M328" s="45">
        <v>-3</v>
      </c>
      <c r="N328" s="45">
        <v>-3</v>
      </c>
      <c r="O328" s="45">
        <v>-3</v>
      </c>
      <c r="P328" s="45">
        <f>+IF(O328&gt;0,INT(Fuelbeds_english!P328*2.471),O328)</f>
        <v>-3</v>
      </c>
      <c r="Q328" s="36">
        <f>+IF(O328&gt;0,INT(Fuelbeds_english!Q328*0.3048),O328)</f>
        <v>-3</v>
      </c>
      <c r="R328" s="45">
        <f>+IF(O328&gt;0,INT(Fuelbeds_english!R328*0.3048),O328)</f>
        <v>-3</v>
      </c>
      <c r="S328" s="45">
        <f>+IF(O328&gt;0,INT(Fuelbeds_english!S328*2.54),O328)</f>
        <v>-3</v>
      </c>
      <c r="T328" s="45">
        <v>-3</v>
      </c>
      <c r="U328" s="45">
        <v>-3</v>
      </c>
      <c r="V328" s="45">
        <v>-3</v>
      </c>
      <c r="W328" s="45">
        <v>-3</v>
      </c>
      <c r="X328" s="99">
        <v>-3</v>
      </c>
      <c r="Y328" s="81">
        <v>-3</v>
      </c>
      <c r="Z328" s="88">
        <f>+IF(Y328&gt;0,FIXED(Fuelbeds_english!Z328*0.3048,1,0),Y328)</f>
        <v>-3</v>
      </c>
      <c r="AA328" s="48">
        <v>-3</v>
      </c>
      <c r="AB328" s="10">
        <v>-3</v>
      </c>
      <c r="AC328" s="10">
        <v>-3</v>
      </c>
      <c r="AD328" s="10">
        <v>-3</v>
      </c>
      <c r="AE328" s="42">
        <v>100</v>
      </c>
      <c r="AF328" s="52" t="str">
        <f>+IF(AE328&gt;0,FIXED(Fuelbeds_english!AF328*0.3048,1,0),AE328)</f>
        <v>0.2</v>
      </c>
      <c r="AG328" s="36">
        <v>0</v>
      </c>
      <c r="AH328" s="52" t="str">
        <f>+IF(AE328&gt;0,FIXED(Fuelbeds_english!AH328*2.242,1,0),AE328)</f>
        <v>0.4</v>
      </c>
      <c r="AI328" s="45">
        <v>42236</v>
      </c>
      <c r="AJ328" s="45" t="s">
        <v>207</v>
      </c>
      <c r="AK328" s="45">
        <v>100</v>
      </c>
      <c r="AL328" s="34">
        <v>-3</v>
      </c>
      <c r="AM328" s="52">
        <f>+IF(AL328&gt;0,FIXED(Fuelbeds_english!AM328*2.54,1,0),AL328)</f>
        <v>-3</v>
      </c>
      <c r="AN328" s="52">
        <f>+IF(AM328&gt;0,FIXED(Fuelbeds_english!AN328*0.3048,1,0),AM328)</f>
        <v>-3</v>
      </c>
      <c r="AO328" s="52">
        <f>+IF(AN328&gt;0,FIXED(Fuelbeds_english!AO328*0.3048,1,0),AN328)</f>
        <v>-3</v>
      </c>
      <c r="AP328" s="52">
        <f>+IF(AO328&gt;0,FIXED(Fuelbeds_english!AP328*0.3048,1,0),AO328)</f>
        <v>-3</v>
      </c>
      <c r="AQ328" s="52">
        <f>+IF(AP328&gt;0,FIXED(Fuelbeds_english!AQ328*0.3048,1,0),AP328)</f>
        <v>-3</v>
      </c>
      <c r="AR328" s="36">
        <v>-3</v>
      </c>
      <c r="AS328" s="45">
        <v>-3</v>
      </c>
      <c r="AT328" s="45">
        <v>-3</v>
      </c>
      <c r="AU328" s="44">
        <v>-1</v>
      </c>
      <c r="AV328" s="52">
        <f>+IF(AU328&gt;0,FIXED(Fuelbeds_english!AV328*2.54,1,0),AU328)</f>
        <v>-1</v>
      </c>
      <c r="AW328" s="52">
        <v>-1</v>
      </c>
      <c r="AX328" s="52">
        <v>-1</v>
      </c>
      <c r="AY328" s="52">
        <f>+IF(AX328&gt;0,FIXED(Fuelbeds_english!AY328*2.54,1,0),AX328)</f>
        <v>-1</v>
      </c>
      <c r="AZ328" s="45">
        <v>2</v>
      </c>
      <c r="BA328" s="36">
        <v>65</v>
      </c>
      <c r="BB328" s="52" t="str">
        <f>+IF(BA328&gt;0,FIXED(Fuelbeds_english!BB328*2.54,1,0),BA328)</f>
        <v>1.3</v>
      </c>
      <c r="BC328" s="53">
        <v>-1</v>
      </c>
      <c r="BD328" s="53">
        <v>-1</v>
      </c>
      <c r="BE328" s="53">
        <v>-1</v>
      </c>
      <c r="BF328" s="53">
        <v>-1</v>
      </c>
      <c r="BG328" s="53">
        <v>-1</v>
      </c>
      <c r="BH328" s="53">
        <v>-1</v>
      </c>
      <c r="BI328" s="45">
        <v>100</v>
      </c>
      <c r="BJ328" s="28">
        <v>-1</v>
      </c>
      <c r="BK328" s="36">
        <v>-1</v>
      </c>
      <c r="BL328" s="52">
        <f>+IF(BK328&gt;0,FIXED(Fuelbeds_english!BL328*2.54,1,0),BK328)</f>
        <v>-1</v>
      </c>
      <c r="BM328" s="36">
        <v>-1</v>
      </c>
      <c r="BN328" s="36">
        <v>-1</v>
      </c>
      <c r="BO328" s="52">
        <f>+IF(BN328&gt;0,FIXED(Fuelbeds_english!BO328*2.54,1,0),BN328)</f>
        <v>-1</v>
      </c>
    </row>
    <row r="329" spans="1:67" s="50" customFormat="1" x14ac:dyDescent="0.25">
      <c r="A329" s="50">
        <v>328</v>
      </c>
      <c r="B329" s="36">
        <v>13011</v>
      </c>
      <c r="C329" s="46">
        <v>13011</v>
      </c>
      <c r="D329" s="22" t="s">
        <v>163</v>
      </c>
      <c r="E329" s="25" t="s">
        <v>411</v>
      </c>
      <c r="F329" s="39">
        <v>-3</v>
      </c>
      <c r="G329" s="45">
        <v>-3</v>
      </c>
      <c r="H329" s="45">
        <f>+IF(F329&gt;0,INT(Fuelbeds_english!H329*2.471),F329)</f>
        <v>-3</v>
      </c>
      <c r="I329" s="36">
        <f>+IF(F329&gt;0,INT(Fuelbeds_english!I329*0.3048),F329)</f>
        <v>-3</v>
      </c>
      <c r="J329" s="45">
        <f>+IF(F329&gt;0,INT(Fuelbeds_english!J329*0.3048),F329)</f>
        <v>-3</v>
      </c>
      <c r="K329" s="45">
        <f>+IF(F329&gt;0,INT(Fuelbeds_english!K329*2.54),F329)</f>
        <v>-3</v>
      </c>
      <c r="L329" s="45">
        <v>-3</v>
      </c>
      <c r="M329" s="45">
        <v>-3</v>
      </c>
      <c r="N329" s="45">
        <v>-3</v>
      </c>
      <c r="O329" s="45">
        <v>-3</v>
      </c>
      <c r="P329" s="45">
        <f>+IF(O329&gt;0,INT(Fuelbeds_english!P329*2.471),O329)</f>
        <v>-3</v>
      </c>
      <c r="Q329" s="36">
        <f>+IF(O329&gt;0,INT(Fuelbeds_english!Q329*0.3048),O329)</f>
        <v>-3</v>
      </c>
      <c r="R329" s="45">
        <f>+IF(O329&gt;0,INT(Fuelbeds_english!R329*0.3048),O329)</f>
        <v>-3</v>
      </c>
      <c r="S329" s="45">
        <f>+IF(O329&gt;0,INT(Fuelbeds_english!S329*2.54),O329)</f>
        <v>-3</v>
      </c>
      <c r="T329" s="45">
        <v>-3</v>
      </c>
      <c r="U329" s="45">
        <v>-3</v>
      </c>
      <c r="V329" s="45">
        <v>-3</v>
      </c>
      <c r="W329" s="45">
        <v>-3</v>
      </c>
      <c r="X329" s="99">
        <v>-3</v>
      </c>
      <c r="Y329" s="81">
        <v>-3</v>
      </c>
      <c r="Z329" s="88">
        <f>+IF(Y329&gt;0,FIXED(Fuelbeds_english!Z329*0.3048,1,0),Y329)</f>
        <v>-3</v>
      </c>
      <c r="AA329" s="48">
        <v>-3</v>
      </c>
      <c r="AB329" s="10">
        <v>-3</v>
      </c>
      <c r="AC329" s="10">
        <v>-3</v>
      </c>
      <c r="AD329" s="10">
        <v>-3</v>
      </c>
      <c r="AE329" s="42">
        <v>100</v>
      </c>
      <c r="AF329" s="52" t="str">
        <f>+IF(AE329&gt;0,FIXED(Fuelbeds_english!AF329*0.3048,1,0),AE329)</f>
        <v>0.2</v>
      </c>
      <c r="AG329" s="45">
        <v>0</v>
      </c>
      <c r="AH329" s="52" t="str">
        <f>+IF(AE329&gt;0,FIXED(Fuelbeds_english!AH329*2.242,1,0),AE329)</f>
        <v>2.9</v>
      </c>
      <c r="AI329" s="45">
        <v>41976</v>
      </c>
      <c r="AJ329" s="45" t="s">
        <v>209</v>
      </c>
      <c r="AK329" s="45">
        <v>100</v>
      </c>
      <c r="AL329" s="34">
        <v>-3</v>
      </c>
      <c r="AM329" s="52">
        <f>+IF(AL329&gt;0,FIXED(Fuelbeds_english!AM329*2.54,1,0),AL329)</f>
        <v>-3</v>
      </c>
      <c r="AN329" s="52">
        <f>+IF(AM329&gt;0,FIXED(Fuelbeds_english!AN329*0.3048,1,0),AM329)</f>
        <v>-3</v>
      </c>
      <c r="AO329" s="52">
        <f>+IF(AN329&gt;0,FIXED(Fuelbeds_english!AO329*0.3048,1,0),AN329)</f>
        <v>-3</v>
      </c>
      <c r="AP329" s="52">
        <f>+IF(AO329&gt;0,FIXED(Fuelbeds_english!AP329*0.3048,1,0),AO329)</f>
        <v>-3</v>
      </c>
      <c r="AQ329" s="52">
        <f>+IF(AP329&gt;0,FIXED(Fuelbeds_english!AQ329*0.3048,1,0),AP329)</f>
        <v>-3</v>
      </c>
      <c r="AR329" s="36">
        <v>-3</v>
      </c>
      <c r="AS329" s="45">
        <v>-3</v>
      </c>
      <c r="AT329" s="45">
        <v>-3</v>
      </c>
      <c r="AU329" s="44">
        <v>-1</v>
      </c>
      <c r="AV329" s="52">
        <f>+IF(AU329&gt;0,FIXED(Fuelbeds_english!AV329*2.54,1,0),AU329)</f>
        <v>-1</v>
      </c>
      <c r="AW329" s="52">
        <v>-1</v>
      </c>
      <c r="AX329" s="52">
        <v>-1</v>
      </c>
      <c r="AY329" s="52">
        <f>+IF(AX329&gt;0,FIXED(Fuelbeds_english!AY329*2.54,1,0),AX329)</f>
        <v>-1</v>
      </c>
      <c r="AZ329" s="45">
        <v>2</v>
      </c>
      <c r="BA329" s="36">
        <v>65</v>
      </c>
      <c r="BB329" s="52" t="str">
        <f>+IF(BA329&gt;0,FIXED(Fuelbeds_english!BB329*2.54,1,0),BA329)</f>
        <v>1.3</v>
      </c>
      <c r="BC329" s="53">
        <v>-1</v>
      </c>
      <c r="BD329" s="53">
        <v>-1</v>
      </c>
      <c r="BE329" s="53">
        <v>-1</v>
      </c>
      <c r="BF329" s="53">
        <v>-1</v>
      </c>
      <c r="BG329" s="53">
        <v>-1</v>
      </c>
      <c r="BH329" s="53">
        <v>-1</v>
      </c>
      <c r="BI329" s="45">
        <v>100</v>
      </c>
      <c r="BJ329" s="28">
        <v>-1</v>
      </c>
      <c r="BK329" s="36">
        <v>-1</v>
      </c>
      <c r="BL329" s="52">
        <f>+IF(BK329&gt;0,FIXED(Fuelbeds_english!BL329*2.54,1,0),BK329)</f>
        <v>-1</v>
      </c>
      <c r="BM329" s="36">
        <v>-1</v>
      </c>
      <c r="BN329" s="36">
        <v>-1</v>
      </c>
      <c r="BO329" s="52">
        <f>+IF(BN329&gt;0,FIXED(Fuelbeds_english!BO329*2.54,1,0),BN329)</f>
        <v>-1</v>
      </c>
    </row>
    <row r="330" spans="1:67" s="50" customFormat="1" x14ac:dyDescent="0.25">
      <c r="A330" s="50">
        <v>329</v>
      </c>
      <c r="B330" s="36">
        <v>13012</v>
      </c>
      <c r="C330" s="46">
        <v>13012</v>
      </c>
      <c r="D330" s="22" t="s">
        <v>163</v>
      </c>
      <c r="E330" s="25" t="s">
        <v>412</v>
      </c>
      <c r="F330" s="39">
        <v>-3</v>
      </c>
      <c r="G330" s="45">
        <v>-3</v>
      </c>
      <c r="H330" s="45">
        <f>+IF(F330&gt;0,INT(Fuelbeds_english!H330*2.471),F330)</f>
        <v>-3</v>
      </c>
      <c r="I330" s="36">
        <f>+IF(F330&gt;0,INT(Fuelbeds_english!I330*0.3048),F330)</f>
        <v>-3</v>
      </c>
      <c r="J330" s="45">
        <f>+IF(F330&gt;0,INT(Fuelbeds_english!J330*0.3048),F330)</f>
        <v>-3</v>
      </c>
      <c r="K330" s="45">
        <f>+IF(F330&gt;0,INT(Fuelbeds_english!K330*2.54),F330)</f>
        <v>-3</v>
      </c>
      <c r="L330" s="45">
        <v>-3</v>
      </c>
      <c r="M330" s="45">
        <v>-3</v>
      </c>
      <c r="N330" s="45">
        <v>-3</v>
      </c>
      <c r="O330" s="45">
        <v>-3</v>
      </c>
      <c r="P330" s="45">
        <f>+IF(O330&gt;0,INT(Fuelbeds_english!P330*2.471),O330)</f>
        <v>-3</v>
      </c>
      <c r="Q330" s="36">
        <f>+IF(O330&gt;0,INT(Fuelbeds_english!Q330*0.3048),O330)</f>
        <v>-3</v>
      </c>
      <c r="R330" s="45">
        <f>+IF(O330&gt;0,INT(Fuelbeds_english!R330*0.3048),O330)</f>
        <v>-3</v>
      </c>
      <c r="S330" s="45">
        <f>+IF(O330&gt;0,INT(Fuelbeds_english!S330*2.54),O330)</f>
        <v>-3</v>
      </c>
      <c r="T330" s="45">
        <v>-3</v>
      </c>
      <c r="U330" s="45">
        <v>-3</v>
      </c>
      <c r="V330" s="45">
        <v>-3</v>
      </c>
      <c r="W330" s="45">
        <v>-3</v>
      </c>
      <c r="X330" s="99">
        <v>-3</v>
      </c>
      <c r="Y330" s="81">
        <v>-3</v>
      </c>
      <c r="Z330" s="88">
        <f>+IF(Y330&gt;0,FIXED(Fuelbeds_english!Z330*0.3048,1,0),Y330)</f>
        <v>-3</v>
      </c>
      <c r="AA330" s="48">
        <v>-3</v>
      </c>
      <c r="AB330" s="10">
        <v>-3</v>
      </c>
      <c r="AC330" s="10">
        <v>-3</v>
      </c>
      <c r="AD330" s="10">
        <v>-3</v>
      </c>
      <c r="AE330" s="42">
        <v>100</v>
      </c>
      <c r="AF330" s="52" t="str">
        <f>+IF(AE330&gt;0,FIXED(Fuelbeds_english!AF330*0.3048,1,0),AE330)</f>
        <v>0.2</v>
      </c>
      <c r="AG330" s="62">
        <v>0</v>
      </c>
      <c r="AH330" s="52" t="str">
        <f>+IF(AE330&gt;0,FIXED(Fuelbeds_english!AH330*2.242,1,0),AE330)</f>
        <v>1.1</v>
      </c>
      <c r="AI330" s="45">
        <v>42269</v>
      </c>
      <c r="AJ330" s="45" t="s">
        <v>206</v>
      </c>
      <c r="AK330" s="45">
        <v>100</v>
      </c>
      <c r="AL330" s="34">
        <v>-3</v>
      </c>
      <c r="AM330" s="52">
        <f>+IF(AL330&gt;0,FIXED(Fuelbeds_english!AM330*2.54,1,0),AL330)</f>
        <v>-3</v>
      </c>
      <c r="AN330" s="52">
        <f>+IF(AM330&gt;0,FIXED(Fuelbeds_english!AN330*0.3048,1,0),AM330)</f>
        <v>-3</v>
      </c>
      <c r="AO330" s="52">
        <f>+IF(AN330&gt;0,FIXED(Fuelbeds_english!AO330*0.3048,1,0),AN330)</f>
        <v>-3</v>
      </c>
      <c r="AP330" s="52">
        <f>+IF(AO330&gt;0,FIXED(Fuelbeds_english!AP330*0.3048,1,0),AO330)</f>
        <v>-3</v>
      </c>
      <c r="AQ330" s="52">
        <f>+IF(AP330&gt;0,FIXED(Fuelbeds_english!AQ330*0.3048,1,0),AP330)</f>
        <v>-3</v>
      </c>
      <c r="AR330" s="36">
        <v>-3</v>
      </c>
      <c r="AS330" s="45">
        <v>-3</v>
      </c>
      <c r="AT330" s="45">
        <v>-3</v>
      </c>
      <c r="AU330" s="44">
        <v>-1</v>
      </c>
      <c r="AV330" s="52">
        <f>+IF(AU330&gt;0,FIXED(Fuelbeds_english!AV330*2.54,1,0),AU330)</f>
        <v>-1</v>
      </c>
      <c r="AW330" s="52">
        <v>-1</v>
      </c>
      <c r="AX330" s="52">
        <v>-1</v>
      </c>
      <c r="AY330" s="52">
        <f>+IF(AX330&gt;0,FIXED(Fuelbeds_english!AY330*2.54,1,0),AX330)</f>
        <v>-1</v>
      </c>
      <c r="AZ330" s="45">
        <v>2</v>
      </c>
      <c r="BA330" s="36">
        <v>65</v>
      </c>
      <c r="BB330" s="52" t="str">
        <f>+IF(BA330&gt;0,FIXED(Fuelbeds_english!BB330*2.54,1,0),BA330)</f>
        <v>1.3</v>
      </c>
      <c r="BC330" s="53">
        <v>-1</v>
      </c>
      <c r="BD330" s="53">
        <v>-1</v>
      </c>
      <c r="BE330" s="53">
        <v>-1</v>
      </c>
      <c r="BF330" s="53">
        <v>-1</v>
      </c>
      <c r="BG330" s="53">
        <v>-1</v>
      </c>
      <c r="BH330" s="53">
        <v>-1</v>
      </c>
      <c r="BI330" s="45">
        <v>100</v>
      </c>
      <c r="BJ330" s="28">
        <v>-1</v>
      </c>
      <c r="BK330" s="36">
        <v>-1</v>
      </c>
      <c r="BL330" s="52">
        <f>+IF(BK330&gt;0,FIXED(Fuelbeds_english!BL330*2.54,1,0),BK330)</f>
        <v>-1</v>
      </c>
      <c r="BM330" s="36">
        <v>-1</v>
      </c>
      <c r="BN330" s="36">
        <v>-1</v>
      </c>
      <c r="BO330" s="52">
        <f>+IF(BN330&gt;0,FIXED(Fuelbeds_english!BO330*2.54,1,0),BN330)</f>
        <v>-1</v>
      </c>
    </row>
    <row r="331" spans="1:67" s="50" customFormat="1" x14ac:dyDescent="0.25">
      <c r="A331" s="50">
        <v>330</v>
      </c>
      <c r="B331" s="36">
        <v>13014</v>
      </c>
      <c r="C331" s="46">
        <v>13014</v>
      </c>
      <c r="D331" s="22" t="s">
        <v>163</v>
      </c>
      <c r="E331" s="25" t="s">
        <v>422</v>
      </c>
      <c r="F331" s="39">
        <v>-3</v>
      </c>
      <c r="G331" s="45">
        <v>-3</v>
      </c>
      <c r="H331" s="45">
        <f>+IF(F331&gt;0,INT(Fuelbeds_english!H331*2.471),F331)</f>
        <v>-3</v>
      </c>
      <c r="I331" s="36">
        <f>+IF(F331&gt;0,INT(Fuelbeds_english!I331*0.3048),F331)</f>
        <v>-3</v>
      </c>
      <c r="J331" s="45">
        <f>+IF(F331&gt;0,INT(Fuelbeds_english!J331*0.3048),F331)</f>
        <v>-3</v>
      </c>
      <c r="K331" s="45">
        <f>+IF(F331&gt;0,INT(Fuelbeds_english!K331*2.54),F331)</f>
        <v>-3</v>
      </c>
      <c r="L331" s="45">
        <v>-3</v>
      </c>
      <c r="M331" s="45">
        <v>-3</v>
      </c>
      <c r="N331" s="45">
        <v>-3</v>
      </c>
      <c r="O331" s="45">
        <v>-3</v>
      </c>
      <c r="P331" s="45">
        <f>+IF(O331&gt;0,INT(Fuelbeds_english!P331*2.471),O331)</f>
        <v>-3</v>
      </c>
      <c r="Q331" s="36">
        <f>+IF(O331&gt;0,INT(Fuelbeds_english!Q331*0.3048),O331)</f>
        <v>-3</v>
      </c>
      <c r="R331" s="45">
        <f>+IF(O331&gt;0,INT(Fuelbeds_english!R331*0.3048),O331)</f>
        <v>-3</v>
      </c>
      <c r="S331" s="45">
        <f>+IF(O331&gt;0,INT(Fuelbeds_english!S331*2.54),O331)</f>
        <v>-3</v>
      </c>
      <c r="T331" s="45">
        <v>-3</v>
      </c>
      <c r="U331" s="45">
        <v>-3</v>
      </c>
      <c r="V331" s="45">
        <v>-3</v>
      </c>
      <c r="W331" s="45">
        <v>-3</v>
      </c>
      <c r="X331" s="99">
        <v>-3</v>
      </c>
      <c r="Y331" s="81">
        <v>-3</v>
      </c>
      <c r="Z331" s="88">
        <f>+IF(Y331&gt;0,FIXED(Fuelbeds_english!Z331*0.3048,1,0),Y331)</f>
        <v>-3</v>
      </c>
      <c r="AA331" s="48">
        <v>-3</v>
      </c>
      <c r="AB331" s="10">
        <v>-3</v>
      </c>
      <c r="AC331" s="10">
        <v>-3</v>
      </c>
      <c r="AD331" s="10">
        <v>-3</v>
      </c>
      <c r="AE331" s="42">
        <v>100</v>
      </c>
      <c r="AF331" s="52" t="str">
        <f>+IF(AE331&gt;0,FIXED(Fuelbeds_english!AF331*0.3048,1,0),AE331)</f>
        <v>0.2</v>
      </c>
      <c r="AG331" s="62">
        <v>0</v>
      </c>
      <c r="AH331" s="52" t="str">
        <f>+IF(AE331&gt;0,FIXED(Fuelbeds_english!AH331*2.242,1,0),AE331)</f>
        <v>1.1</v>
      </c>
      <c r="AI331" s="45">
        <v>42013</v>
      </c>
      <c r="AJ331" s="45" t="s">
        <v>423</v>
      </c>
      <c r="AK331" s="62">
        <v>100</v>
      </c>
      <c r="AL331" s="34">
        <v>-3</v>
      </c>
      <c r="AM331" s="52">
        <f>+IF(AL331&gt;0,FIXED(Fuelbeds_english!AM331*2.54,1,0),AL331)</f>
        <v>-3</v>
      </c>
      <c r="AN331" s="52">
        <f>+IF(AM331&gt;0,FIXED(Fuelbeds_english!AN331*0.3048,1,0),AM331)</f>
        <v>-3</v>
      </c>
      <c r="AO331" s="52">
        <f>+IF(AN331&gt;0,FIXED(Fuelbeds_english!AO331*0.3048,1,0),AN331)</f>
        <v>-3</v>
      </c>
      <c r="AP331" s="52">
        <f>+IF(AO331&gt;0,FIXED(Fuelbeds_english!AP331*0.3048,1,0),AO331)</f>
        <v>-3</v>
      </c>
      <c r="AQ331" s="52">
        <f>+IF(AP331&gt;0,FIXED(Fuelbeds_english!AQ331*0.3048,1,0),AP331)</f>
        <v>-3</v>
      </c>
      <c r="AR331" s="36">
        <v>-3</v>
      </c>
      <c r="AS331" s="45">
        <v>-3</v>
      </c>
      <c r="AT331" s="45">
        <v>-3</v>
      </c>
      <c r="AU331" s="44">
        <v>-1</v>
      </c>
      <c r="AV331" s="52">
        <f>+IF(AU331&gt;0,FIXED(Fuelbeds_english!AV331*2.54,1,0),AU331)</f>
        <v>-1</v>
      </c>
      <c r="AW331" s="52">
        <v>-1</v>
      </c>
      <c r="AX331" s="52">
        <v>-1</v>
      </c>
      <c r="AY331" s="52">
        <f>+IF(AX331&gt;0,FIXED(Fuelbeds_english!AY331*2.54,1,0),AX331)</f>
        <v>-1</v>
      </c>
      <c r="AZ331" s="45">
        <v>2</v>
      </c>
      <c r="BA331" s="36">
        <v>65</v>
      </c>
      <c r="BB331" s="52" t="str">
        <f>+IF(BA331&gt;0,FIXED(Fuelbeds_english!BB331*2.54,1,0),BA331)</f>
        <v>1.3</v>
      </c>
      <c r="BC331" s="53">
        <v>-1</v>
      </c>
      <c r="BD331" s="53">
        <v>-1</v>
      </c>
      <c r="BE331" s="53">
        <v>-1</v>
      </c>
      <c r="BF331" s="53">
        <v>-1</v>
      </c>
      <c r="BG331" s="53">
        <v>-1</v>
      </c>
      <c r="BH331" s="53">
        <v>-1</v>
      </c>
      <c r="BI331" s="45">
        <v>100</v>
      </c>
      <c r="BJ331" s="28">
        <v>-1</v>
      </c>
      <c r="BK331" s="36">
        <v>-1</v>
      </c>
      <c r="BL331" s="52">
        <f>+IF(BK331&gt;0,FIXED(Fuelbeds_english!BL331*2.54,1,0),BK331)</f>
        <v>-1</v>
      </c>
      <c r="BM331" s="36">
        <v>-1</v>
      </c>
      <c r="BN331" s="36">
        <v>-1</v>
      </c>
      <c r="BO331" s="52">
        <f>+IF(BN331&gt;0,FIXED(Fuelbeds_english!BO331*2.54,1,0),BN331)</f>
        <v>-1</v>
      </c>
    </row>
    <row r="332" spans="1:67" s="50" customFormat="1" x14ac:dyDescent="0.25">
      <c r="A332" s="50">
        <v>331</v>
      </c>
      <c r="B332" s="36">
        <v>13015</v>
      </c>
      <c r="C332" s="46">
        <v>13015</v>
      </c>
      <c r="D332" s="22" t="s">
        <v>163</v>
      </c>
      <c r="E332" s="25" t="s">
        <v>424</v>
      </c>
      <c r="F332" s="39">
        <v>-3</v>
      </c>
      <c r="G332" s="45">
        <v>-3</v>
      </c>
      <c r="H332" s="45">
        <f>+IF(F332&gt;0,INT(Fuelbeds_english!H332*2.471),F332)</f>
        <v>-3</v>
      </c>
      <c r="I332" s="36">
        <f>+IF(F332&gt;0,INT(Fuelbeds_english!I332*0.3048),F332)</f>
        <v>-3</v>
      </c>
      <c r="J332" s="45">
        <f>+IF(F332&gt;0,INT(Fuelbeds_english!J332*0.3048),F332)</f>
        <v>-3</v>
      </c>
      <c r="K332" s="45">
        <f>+IF(F332&gt;0,INT(Fuelbeds_english!K332*2.54),F332)</f>
        <v>-3</v>
      </c>
      <c r="L332" s="45">
        <v>-3</v>
      </c>
      <c r="M332" s="45">
        <v>-3</v>
      </c>
      <c r="N332" s="45">
        <v>-3</v>
      </c>
      <c r="O332" s="45">
        <v>-3</v>
      </c>
      <c r="P332" s="45">
        <f>+IF(O332&gt;0,INT(Fuelbeds_english!P332*2.471),O332)</f>
        <v>-3</v>
      </c>
      <c r="Q332" s="36">
        <f>+IF(O332&gt;0,INT(Fuelbeds_english!Q332*0.3048),O332)</f>
        <v>-3</v>
      </c>
      <c r="R332" s="45">
        <f>+IF(O332&gt;0,INT(Fuelbeds_english!R332*0.3048),O332)</f>
        <v>-3</v>
      </c>
      <c r="S332" s="45">
        <f>+IF(O332&gt;0,INT(Fuelbeds_english!S332*2.54),O332)</f>
        <v>-3</v>
      </c>
      <c r="T332" s="45">
        <v>-3</v>
      </c>
      <c r="U332" s="45">
        <v>-3</v>
      </c>
      <c r="V332" s="45">
        <v>-3</v>
      </c>
      <c r="W332" s="45">
        <v>-3</v>
      </c>
      <c r="X332" s="99">
        <v>-3</v>
      </c>
      <c r="Y332" s="81">
        <v>-3</v>
      </c>
      <c r="Z332" s="88">
        <f>+IF(Y332&gt;0,FIXED(Fuelbeds_english!Z332*0.3048,1,0),Y332)</f>
        <v>-3</v>
      </c>
      <c r="AA332" s="48">
        <v>-3</v>
      </c>
      <c r="AB332" s="10">
        <v>-3</v>
      </c>
      <c r="AC332" s="10">
        <v>-3</v>
      </c>
      <c r="AD332" s="10">
        <v>-3</v>
      </c>
      <c r="AE332" s="42">
        <v>100</v>
      </c>
      <c r="AF332" s="52" t="str">
        <f>+IF(AE332&gt;0,FIXED(Fuelbeds_english!AF332*0.3048,1,0),AE332)</f>
        <v>0.2</v>
      </c>
      <c r="AG332" s="62">
        <v>0</v>
      </c>
      <c r="AH332" s="52" t="str">
        <f>+IF(AE332&gt;0,FIXED(Fuelbeds_english!AH332*2.242,1,0),AE332)</f>
        <v>1.5</v>
      </c>
      <c r="AI332" s="45">
        <v>21711</v>
      </c>
      <c r="AJ332" s="45" t="s">
        <v>425</v>
      </c>
      <c r="AK332" s="45">
        <v>100</v>
      </c>
      <c r="AL332" s="34">
        <v>-3</v>
      </c>
      <c r="AM332" s="52">
        <f>+IF(AL332&gt;0,FIXED(Fuelbeds_english!AM332*2.54,1,0),AL332)</f>
        <v>-3</v>
      </c>
      <c r="AN332" s="52">
        <f>+IF(AM332&gt;0,FIXED(Fuelbeds_english!AN332*0.3048,1,0),AM332)</f>
        <v>-3</v>
      </c>
      <c r="AO332" s="52">
        <f>+IF(AN332&gt;0,FIXED(Fuelbeds_english!AO332*0.3048,1,0),AN332)</f>
        <v>-3</v>
      </c>
      <c r="AP332" s="52">
        <f>+IF(AO332&gt;0,FIXED(Fuelbeds_english!AP332*0.3048,1,0),AO332)</f>
        <v>-3</v>
      </c>
      <c r="AQ332" s="52">
        <f>+IF(AP332&gt;0,FIXED(Fuelbeds_english!AQ332*0.3048,1,0),AP332)</f>
        <v>-3</v>
      </c>
      <c r="AR332" s="36">
        <v>-3</v>
      </c>
      <c r="AS332" s="45">
        <v>-3</v>
      </c>
      <c r="AT332" s="45">
        <v>-3</v>
      </c>
      <c r="AU332" s="44">
        <v>-1</v>
      </c>
      <c r="AV332" s="52">
        <f>+IF(AU332&gt;0,FIXED(Fuelbeds_english!AV332*2.54,1,0),AU332)</f>
        <v>-1</v>
      </c>
      <c r="AW332" s="52">
        <v>-1</v>
      </c>
      <c r="AX332" s="52">
        <v>-1</v>
      </c>
      <c r="AY332" s="52">
        <f>+IF(AX332&gt;0,FIXED(Fuelbeds_english!AY332*2.54,1,0),AX332)</f>
        <v>-1</v>
      </c>
      <c r="AZ332" s="45">
        <v>2</v>
      </c>
      <c r="BA332" s="36">
        <v>65</v>
      </c>
      <c r="BB332" s="52" t="str">
        <f>+IF(BA332&gt;0,FIXED(Fuelbeds_english!BB332*2.54,1,0),BA332)</f>
        <v>1.3</v>
      </c>
      <c r="BC332" s="53">
        <v>-1</v>
      </c>
      <c r="BD332" s="53">
        <v>-1</v>
      </c>
      <c r="BE332" s="53">
        <v>-1</v>
      </c>
      <c r="BF332" s="53">
        <v>-1</v>
      </c>
      <c r="BG332" s="53">
        <v>-1</v>
      </c>
      <c r="BH332" s="53">
        <v>-1</v>
      </c>
      <c r="BI332" s="45">
        <v>100</v>
      </c>
      <c r="BJ332" s="28">
        <v>-1</v>
      </c>
      <c r="BK332" s="36">
        <v>-1</v>
      </c>
      <c r="BL332" s="52">
        <f>+IF(BK332&gt;0,FIXED(Fuelbeds_english!BL332*2.54,1,0),BK332)</f>
        <v>-1</v>
      </c>
      <c r="BM332" s="36">
        <v>-1</v>
      </c>
      <c r="BN332" s="36">
        <v>-1</v>
      </c>
      <c r="BO332" s="52">
        <f>+IF(BN332&gt;0,FIXED(Fuelbeds_english!BO332*2.54,1,0),BN332)</f>
        <v>-1</v>
      </c>
    </row>
    <row r="333" spans="1:67" s="50" customFormat="1" x14ac:dyDescent="0.25">
      <c r="A333" s="50">
        <v>332</v>
      </c>
      <c r="B333" s="36">
        <v>13016</v>
      </c>
      <c r="C333" s="46">
        <v>13016</v>
      </c>
      <c r="D333" s="22" t="s">
        <v>163</v>
      </c>
      <c r="E333" s="25" t="s">
        <v>414</v>
      </c>
      <c r="F333" s="39">
        <v>-3</v>
      </c>
      <c r="G333" s="45">
        <v>-3</v>
      </c>
      <c r="H333" s="45">
        <f>+IF(F333&gt;0,INT(Fuelbeds_english!H333*2.471),F333)</f>
        <v>-3</v>
      </c>
      <c r="I333" s="36">
        <f>+IF(F333&gt;0,INT(Fuelbeds_english!I333*0.3048),F333)</f>
        <v>-3</v>
      </c>
      <c r="J333" s="45">
        <f>+IF(F333&gt;0,INT(Fuelbeds_english!J333*0.3048),F333)</f>
        <v>-3</v>
      </c>
      <c r="K333" s="45">
        <f>+IF(F333&gt;0,INT(Fuelbeds_english!K333*2.54),F333)</f>
        <v>-3</v>
      </c>
      <c r="L333" s="45">
        <v>-3</v>
      </c>
      <c r="M333" s="45">
        <v>-3</v>
      </c>
      <c r="N333" s="45">
        <v>-3</v>
      </c>
      <c r="O333" s="45">
        <v>-3</v>
      </c>
      <c r="P333" s="45">
        <f>+IF(O333&gt;0,INT(Fuelbeds_english!P333*2.471),O333)</f>
        <v>-3</v>
      </c>
      <c r="Q333" s="36">
        <f>+IF(O333&gt;0,INT(Fuelbeds_english!Q333*0.3048),O333)</f>
        <v>-3</v>
      </c>
      <c r="R333" s="45">
        <f>+IF(O333&gt;0,INT(Fuelbeds_english!R333*0.3048),O333)</f>
        <v>-3</v>
      </c>
      <c r="S333" s="45">
        <f>+IF(O333&gt;0,INT(Fuelbeds_english!S333*2.54),O333)</f>
        <v>-3</v>
      </c>
      <c r="T333" s="45">
        <v>-3</v>
      </c>
      <c r="U333" s="45">
        <v>-3</v>
      </c>
      <c r="V333" s="45">
        <v>-3</v>
      </c>
      <c r="W333" s="45">
        <v>-3</v>
      </c>
      <c r="X333" s="99">
        <v>-3</v>
      </c>
      <c r="Y333" s="81">
        <v>-3</v>
      </c>
      <c r="Z333" s="88">
        <f>+IF(Y333&gt;0,FIXED(Fuelbeds_english!Z333*0.3048,1,0),Y333)</f>
        <v>-3</v>
      </c>
      <c r="AA333" s="48">
        <v>-3</v>
      </c>
      <c r="AB333" s="10">
        <v>-3</v>
      </c>
      <c r="AC333" s="10">
        <v>-3</v>
      </c>
      <c r="AD333" s="10">
        <v>-3</v>
      </c>
      <c r="AE333" s="42">
        <v>100</v>
      </c>
      <c r="AF333" s="52" t="str">
        <f>+IF(AE333&gt;0,FIXED(Fuelbeds_english!AF333*0.3048,1,0),AE333)</f>
        <v>0.1</v>
      </c>
      <c r="AG333" s="62">
        <v>0</v>
      </c>
      <c r="AH333" s="52" t="str">
        <f>+IF(AE333&gt;0,FIXED(Fuelbeds_english!AH333*2.242,1,0),AE333)</f>
        <v>0.4</v>
      </c>
      <c r="AI333" s="62">
        <v>26857</v>
      </c>
      <c r="AJ333" s="43" t="s">
        <v>415</v>
      </c>
      <c r="AK333" s="62">
        <v>100</v>
      </c>
      <c r="AL333" s="34">
        <v>-3</v>
      </c>
      <c r="AM333" s="52">
        <f>+IF(AL333&gt;0,FIXED(Fuelbeds_english!AM333*2.54,1,0),AL333)</f>
        <v>-3</v>
      </c>
      <c r="AN333" s="52">
        <f>+IF(AM333&gt;0,FIXED(Fuelbeds_english!AN333*0.3048,1,0),AM333)</f>
        <v>-3</v>
      </c>
      <c r="AO333" s="52">
        <f>+IF(AN333&gt;0,FIXED(Fuelbeds_english!AO333*0.3048,1,0),AN333)</f>
        <v>-3</v>
      </c>
      <c r="AP333" s="52">
        <f>+IF(AO333&gt;0,FIXED(Fuelbeds_english!AP333*0.3048,1,0),AO333)</f>
        <v>-3</v>
      </c>
      <c r="AQ333" s="52">
        <f>+IF(AP333&gt;0,FIXED(Fuelbeds_english!AQ333*0.3048,1,0),AP333)</f>
        <v>-3</v>
      </c>
      <c r="AR333" s="36">
        <v>-3</v>
      </c>
      <c r="AS333" s="45">
        <v>-3</v>
      </c>
      <c r="AT333" s="45">
        <v>-3</v>
      </c>
      <c r="AU333" s="44">
        <v>-1</v>
      </c>
      <c r="AV333" s="52">
        <f>+IF(AU333&gt;0,FIXED(Fuelbeds_english!AV333*2.54,1,0),AU333)</f>
        <v>-1</v>
      </c>
      <c r="AW333" s="52">
        <v>-1</v>
      </c>
      <c r="AX333" s="52">
        <v>-1</v>
      </c>
      <c r="AY333" s="52">
        <f>+IF(AX333&gt;0,FIXED(Fuelbeds_english!AY333*2.54,1,0),AX333)</f>
        <v>-1</v>
      </c>
      <c r="AZ333" s="45">
        <v>2</v>
      </c>
      <c r="BA333" s="36">
        <v>65</v>
      </c>
      <c r="BB333" s="52" t="str">
        <f>+IF(BA333&gt;0,FIXED(Fuelbeds_english!BB333*2.54,1,0),BA333)</f>
        <v>1.3</v>
      </c>
      <c r="BC333" s="53">
        <v>-1</v>
      </c>
      <c r="BD333" s="53">
        <v>-1</v>
      </c>
      <c r="BE333" s="53">
        <v>-1</v>
      </c>
      <c r="BF333" s="53">
        <v>-1</v>
      </c>
      <c r="BG333" s="53">
        <v>-1</v>
      </c>
      <c r="BH333" s="53">
        <v>-1</v>
      </c>
      <c r="BI333" s="45">
        <v>100</v>
      </c>
      <c r="BJ333" s="28">
        <v>-1</v>
      </c>
      <c r="BK333" s="36">
        <v>-1</v>
      </c>
      <c r="BL333" s="52">
        <f>+IF(BK333&gt;0,FIXED(Fuelbeds_english!BL333*2.54,1,0),BK333)</f>
        <v>-1</v>
      </c>
      <c r="BM333" s="36">
        <v>-1</v>
      </c>
      <c r="BN333" s="36">
        <v>-1</v>
      </c>
      <c r="BO333" s="52">
        <f>+IF(BN333&gt;0,FIXED(Fuelbeds_english!BO333*2.54,1,0),BN333)</f>
        <v>-1</v>
      </c>
    </row>
    <row r="334" spans="1:67" s="50" customFormat="1" x14ac:dyDescent="0.25">
      <c r="A334" s="50">
        <v>333</v>
      </c>
      <c r="B334" s="36">
        <v>13017</v>
      </c>
      <c r="C334" s="46">
        <v>13017</v>
      </c>
      <c r="D334" s="22" t="s">
        <v>163</v>
      </c>
      <c r="E334" s="25" t="s">
        <v>416</v>
      </c>
      <c r="F334" s="39">
        <v>-3</v>
      </c>
      <c r="G334" s="45">
        <v>-3</v>
      </c>
      <c r="H334" s="45">
        <f>+IF(F334&gt;0,INT(Fuelbeds_english!H334*2.471),F334)</f>
        <v>-3</v>
      </c>
      <c r="I334" s="36">
        <f>+IF(F334&gt;0,INT(Fuelbeds_english!I334*0.3048),F334)</f>
        <v>-3</v>
      </c>
      <c r="J334" s="45">
        <f>+IF(F334&gt;0,INT(Fuelbeds_english!J334*0.3048),F334)</f>
        <v>-3</v>
      </c>
      <c r="K334" s="45">
        <f>+IF(F334&gt;0,INT(Fuelbeds_english!K334*2.54),F334)</f>
        <v>-3</v>
      </c>
      <c r="L334" s="45">
        <v>-3</v>
      </c>
      <c r="M334" s="45">
        <v>-3</v>
      </c>
      <c r="N334" s="45">
        <v>-3</v>
      </c>
      <c r="O334" s="45">
        <v>-3</v>
      </c>
      <c r="P334" s="45">
        <f>+IF(O334&gt;0,INT(Fuelbeds_english!P334*2.471),O334)</f>
        <v>-3</v>
      </c>
      <c r="Q334" s="36">
        <f>+IF(O334&gt;0,INT(Fuelbeds_english!Q334*0.3048),O334)</f>
        <v>-3</v>
      </c>
      <c r="R334" s="45">
        <f>+IF(O334&gt;0,INT(Fuelbeds_english!R334*0.3048),O334)</f>
        <v>-3</v>
      </c>
      <c r="S334" s="45">
        <f>+IF(O334&gt;0,INT(Fuelbeds_english!S334*2.54),O334)</f>
        <v>-3</v>
      </c>
      <c r="T334" s="45">
        <v>-3</v>
      </c>
      <c r="U334" s="45">
        <v>-3</v>
      </c>
      <c r="V334" s="45">
        <v>-3</v>
      </c>
      <c r="W334" s="45">
        <v>-3</v>
      </c>
      <c r="X334" s="99">
        <v>-3</v>
      </c>
      <c r="Y334" s="81">
        <v>-3</v>
      </c>
      <c r="Z334" s="88">
        <f>+IF(Y334&gt;0,FIXED(Fuelbeds_english!Z334*0.3048,1,0),Y334)</f>
        <v>-3</v>
      </c>
      <c r="AA334" s="48">
        <v>-3</v>
      </c>
      <c r="AB334" s="10">
        <v>-3</v>
      </c>
      <c r="AC334" s="10">
        <v>-3</v>
      </c>
      <c r="AD334" s="10">
        <v>-3</v>
      </c>
      <c r="AE334" s="42">
        <v>75</v>
      </c>
      <c r="AF334" s="52" t="str">
        <f>+IF(AE334&gt;0,FIXED(Fuelbeds_english!AF334*0.3048,1,0),AE334)</f>
        <v>0.0</v>
      </c>
      <c r="AG334" s="62">
        <v>0</v>
      </c>
      <c r="AH334" s="52" t="str">
        <f>+IF(AE334&gt;0,FIXED(Fuelbeds_english!AH334*2.242,1,0),AE334)</f>
        <v>0.0</v>
      </c>
      <c r="AI334" s="45">
        <v>505272</v>
      </c>
      <c r="AJ334" s="43" t="s">
        <v>417</v>
      </c>
      <c r="AK334" s="45">
        <v>100</v>
      </c>
      <c r="AL334" s="34">
        <v>-3</v>
      </c>
      <c r="AM334" s="52">
        <f>+IF(AL334&gt;0,FIXED(Fuelbeds_english!AM334*2.54,1,0),AL334)</f>
        <v>-3</v>
      </c>
      <c r="AN334" s="52">
        <f>+IF(AM334&gt;0,FIXED(Fuelbeds_english!AN334*0.3048,1,0),AM334)</f>
        <v>-3</v>
      </c>
      <c r="AO334" s="52">
        <f>+IF(AN334&gt;0,FIXED(Fuelbeds_english!AO334*0.3048,1,0),AN334)</f>
        <v>-3</v>
      </c>
      <c r="AP334" s="52">
        <f>+IF(AO334&gt;0,FIXED(Fuelbeds_english!AP334*0.3048,1,0),AO334)</f>
        <v>-3</v>
      </c>
      <c r="AQ334" s="52">
        <f>+IF(AP334&gt;0,FIXED(Fuelbeds_english!AQ334*0.3048,1,0),AP334)</f>
        <v>-3</v>
      </c>
      <c r="AR334" s="36">
        <v>-3</v>
      </c>
      <c r="AS334" s="45">
        <v>-3</v>
      </c>
      <c r="AT334" s="45">
        <v>-3</v>
      </c>
      <c r="AU334" s="44">
        <v>-1</v>
      </c>
      <c r="AV334" s="52">
        <f>+IF(AU334&gt;0,FIXED(Fuelbeds_english!AV334*2.54,1,0),AU334)</f>
        <v>-1</v>
      </c>
      <c r="AW334" s="52">
        <v>-1</v>
      </c>
      <c r="AX334" s="52">
        <v>-1</v>
      </c>
      <c r="AY334" s="52">
        <f>+IF(AX334&gt;0,FIXED(Fuelbeds_english!AY334*2.54,1,0),AX334)</f>
        <v>-1</v>
      </c>
      <c r="AZ334" s="45">
        <v>2</v>
      </c>
      <c r="BA334" s="36">
        <v>65</v>
      </c>
      <c r="BB334" s="52" t="str">
        <f>+IF(BA334&gt;0,FIXED(Fuelbeds_english!BB334*2.54,1,0),BA334)</f>
        <v>1.3</v>
      </c>
      <c r="BC334" s="53">
        <v>-1</v>
      </c>
      <c r="BD334" s="53">
        <v>-1</v>
      </c>
      <c r="BE334" s="53">
        <v>-1</v>
      </c>
      <c r="BF334" s="53">
        <v>-1</v>
      </c>
      <c r="BG334" s="53">
        <v>-1</v>
      </c>
      <c r="BH334" s="53">
        <v>-1</v>
      </c>
      <c r="BI334" s="45">
        <v>100</v>
      </c>
      <c r="BJ334" s="28">
        <v>-1</v>
      </c>
      <c r="BK334" s="36">
        <v>-1</v>
      </c>
      <c r="BL334" s="52">
        <f>+IF(BK334&gt;0,FIXED(Fuelbeds_english!BL334*2.54,1,0),BK334)</f>
        <v>-1</v>
      </c>
      <c r="BM334" s="36">
        <v>-1</v>
      </c>
      <c r="BN334" s="36">
        <v>-1</v>
      </c>
      <c r="BO334" s="52">
        <f>+IF(BN334&gt;0,FIXED(Fuelbeds_english!BO334*2.54,1,0),BN334)</f>
        <v>-1</v>
      </c>
    </row>
    <row r="335" spans="1:67" s="50" customFormat="1" x14ac:dyDescent="0.25">
      <c r="A335" s="50">
        <v>334</v>
      </c>
      <c r="B335" s="36">
        <v>13020</v>
      </c>
      <c r="C335" s="46">
        <v>13020</v>
      </c>
      <c r="D335" s="22" t="s">
        <v>163</v>
      </c>
      <c r="E335" s="38" t="s">
        <v>427</v>
      </c>
      <c r="F335" s="39">
        <v>3.16954</v>
      </c>
      <c r="G335" s="45">
        <v>3</v>
      </c>
      <c r="H335" s="45">
        <f>+IF(F335&gt;0,INT(Fuelbeds_english!H335*2.471),F335)</f>
        <v>12</v>
      </c>
      <c r="I335" s="36">
        <f>+IF(F335&gt;0,INT(Fuelbeds_english!I335*0.3048),F335)</f>
        <v>8</v>
      </c>
      <c r="J335" s="45">
        <f>+IF(F335&gt;0,INT(Fuelbeds_english!J335*0.3048),F335)</f>
        <v>0</v>
      </c>
      <c r="K335" s="45">
        <f>+IF(F335&gt;0,INT(Fuelbeds_english!K335*2.54),F335)</f>
        <v>45</v>
      </c>
      <c r="L335" s="36">
        <v>19276</v>
      </c>
      <c r="M335" s="36" t="s">
        <v>158</v>
      </c>
      <c r="N335" s="36">
        <v>100</v>
      </c>
      <c r="O335" s="36">
        <v>-1</v>
      </c>
      <c r="P335" s="45">
        <f>+IF(O335&gt;0,INT(Fuelbeds_english!P335*2.471),O335)</f>
        <v>-1</v>
      </c>
      <c r="Q335" s="36">
        <f>+IF(O335&gt;0,INT(Fuelbeds_english!Q335*0.3048),O335)</f>
        <v>-1</v>
      </c>
      <c r="R335" s="45">
        <f>+IF(O335&gt;0,INT(Fuelbeds_english!R335*0.3048),O335)</f>
        <v>-1</v>
      </c>
      <c r="S335" s="45">
        <f>+IF(O335&gt;0,INT(Fuelbeds_english!S335*2.54),O335)</f>
        <v>-1</v>
      </c>
      <c r="T335" s="36">
        <v>-1</v>
      </c>
      <c r="U335" s="36">
        <v>-1</v>
      </c>
      <c r="V335" s="36">
        <v>-1</v>
      </c>
      <c r="W335" s="36">
        <v>1</v>
      </c>
      <c r="X335" s="98">
        <v>4</v>
      </c>
      <c r="Y335" s="29">
        <v>16.830460000000002</v>
      </c>
      <c r="Z335" s="88" t="str">
        <f>+IF(Y335&gt;0,FIXED(Fuelbeds_english!Z335*0.3048,1,0),Y335)</f>
        <v>1.2</v>
      </c>
      <c r="AA335" s="36">
        <v>95</v>
      </c>
      <c r="AB335" s="50">
        <v>26417</v>
      </c>
      <c r="AC335" s="50" t="s">
        <v>147</v>
      </c>
      <c r="AD335" s="50">
        <v>100</v>
      </c>
      <c r="AE335" s="42">
        <v>60</v>
      </c>
      <c r="AF335" s="52" t="str">
        <f>+IF(AE335&gt;0,FIXED(Fuelbeds_english!AF335*0.3048,1,0),AE335)</f>
        <v>0.2</v>
      </c>
      <c r="AG335" s="45">
        <v>0</v>
      </c>
      <c r="AH335" s="52" t="str">
        <f>+IF(AE335&gt;0,FIXED(Fuelbeds_english!AH335*2.242,1,0),AE335)</f>
        <v>0.2</v>
      </c>
      <c r="AI335" s="45">
        <v>42236</v>
      </c>
      <c r="AJ335" s="45" t="s">
        <v>207</v>
      </c>
      <c r="AK335" s="45">
        <v>100</v>
      </c>
      <c r="AL335" s="34">
        <v>0.15847700000000001</v>
      </c>
      <c r="AM335" s="52" t="str">
        <f>+IF(AL335&gt;0,FIXED(Fuelbeds_english!AM335*2.54,1,0),AL335)</f>
        <v>15.2</v>
      </c>
      <c r="AN335" s="52" t="str">
        <f>+IF($AM335&gt;0,FIXED(Fuelbeds_english!AN335*2.242,1,0),$AM335)</f>
        <v>0.0</v>
      </c>
      <c r="AO335" s="52" t="str">
        <f>+IF($AM335&gt;0,FIXED(Fuelbeds_english!AO335*2.242,1,0),$AM335)</f>
        <v>0.1</v>
      </c>
      <c r="AP335" s="52" t="str">
        <f>+IF($AM335&gt;0,FIXED(Fuelbeds_english!AP335*2.242,1,0),$AM335)</f>
        <v>0.1</v>
      </c>
      <c r="AQ335" s="52" t="str">
        <f>+IF($AM335&gt;0,FIXED(Fuelbeds_english!AQ335*2.242,1,0),$AM335)</f>
        <v>0.2</v>
      </c>
      <c r="AR335" s="36">
        <v>19276</v>
      </c>
      <c r="AS335" s="36" t="s">
        <v>158</v>
      </c>
      <c r="AT335" s="36">
        <v>100</v>
      </c>
      <c r="AU335" s="44">
        <v>-1</v>
      </c>
      <c r="AV335" s="52">
        <f>+IF(AU335&gt;0,FIXED(Fuelbeds_english!AV335*2.54,1,0),AU335)</f>
        <v>-1</v>
      </c>
      <c r="AW335" s="52">
        <v>-1</v>
      </c>
      <c r="AX335" s="52">
        <v>-1</v>
      </c>
      <c r="AY335" s="52">
        <f>+IF(AX335&gt;0,FIXED(Fuelbeds_english!AY335*2.54,1,0),AX335)</f>
        <v>-1</v>
      </c>
      <c r="AZ335" s="45">
        <v>2</v>
      </c>
      <c r="BA335" s="36">
        <v>42</v>
      </c>
      <c r="BB335" s="52" t="str">
        <f>+IF(BA335&gt;0,FIXED(Fuelbeds_english!BB335*2.54,1,0),BA335)</f>
        <v>0.8</v>
      </c>
      <c r="BC335" s="53">
        <v>-1</v>
      </c>
      <c r="BD335" s="53">
        <v>-1</v>
      </c>
      <c r="BE335" s="53">
        <v>-1</v>
      </c>
      <c r="BF335" s="53">
        <v>40</v>
      </c>
      <c r="BG335" s="53">
        <v>-1</v>
      </c>
      <c r="BH335" s="53">
        <v>-1</v>
      </c>
      <c r="BI335" s="45">
        <v>60</v>
      </c>
      <c r="BJ335" s="28">
        <v>-1</v>
      </c>
      <c r="BK335" s="36">
        <v>-1</v>
      </c>
      <c r="BL335" s="52">
        <f>+IF(BK335&gt;0,FIXED(Fuelbeds_english!BL335*2.54,1,0),BK335)</f>
        <v>-1</v>
      </c>
      <c r="BM335" s="36">
        <v>-1</v>
      </c>
      <c r="BN335" s="36">
        <v>-1</v>
      </c>
      <c r="BO335" s="52">
        <f>+IF(BN335&gt;0,FIXED(Fuelbeds_english!BO335*2.54,1,0),BN335)</f>
        <v>-1</v>
      </c>
    </row>
    <row r="336" spans="1:67" s="50" customFormat="1" x14ac:dyDescent="0.25">
      <c r="A336" s="50">
        <v>335</v>
      </c>
      <c r="B336" s="36">
        <v>13022</v>
      </c>
      <c r="C336" s="46">
        <v>13022</v>
      </c>
      <c r="D336" s="22" t="s">
        <v>163</v>
      </c>
      <c r="E336" s="38" t="s">
        <v>428</v>
      </c>
      <c r="F336" s="39">
        <v>17.644300000000001</v>
      </c>
      <c r="G336" s="45">
        <v>18</v>
      </c>
      <c r="H336" s="45">
        <f>+IF(F336&gt;0,INT(Fuelbeds_english!H336*2.471),F336)</f>
        <v>64</v>
      </c>
      <c r="I336" s="36">
        <f>+IF(F336&gt;0,INT(Fuelbeds_english!I336*0.3048),F336)</f>
        <v>10</v>
      </c>
      <c r="J336" s="45">
        <f>+IF(F336&gt;0,INT(Fuelbeds_english!J336*0.3048),F336)</f>
        <v>0</v>
      </c>
      <c r="K336" s="45">
        <f>+IF(F336&gt;0,INT(Fuelbeds_english!K336*2.54),F336)</f>
        <v>55</v>
      </c>
      <c r="L336" s="36">
        <v>19276</v>
      </c>
      <c r="M336" s="36" t="s">
        <v>158</v>
      </c>
      <c r="N336" s="36">
        <v>100</v>
      </c>
      <c r="O336" s="36">
        <v>-1</v>
      </c>
      <c r="P336" s="45">
        <f>+IF(O336&gt;0,INT(Fuelbeds_english!P336*2.471),O336)</f>
        <v>-1</v>
      </c>
      <c r="Q336" s="36">
        <f>+IF(O336&gt;0,INT(Fuelbeds_english!Q336*0.3048),O336)</f>
        <v>-1</v>
      </c>
      <c r="R336" s="45">
        <f>+IF(O336&gt;0,INT(Fuelbeds_english!R336*0.3048),O336)</f>
        <v>-1</v>
      </c>
      <c r="S336" s="45">
        <f>+IF(O336&gt;0,INT(Fuelbeds_english!S336*2.54),O336)</f>
        <v>-1</v>
      </c>
      <c r="T336" s="36">
        <v>-1</v>
      </c>
      <c r="U336" s="36">
        <v>-1</v>
      </c>
      <c r="V336" s="36">
        <v>-1</v>
      </c>
      <c r="W336" s="36">
        <v>1</v>
      </c>
      <c r="X336" s="98">
        <v>4</v>
      </c>
      <c r="Y336" s="29">
        <v>2.3556999999999988</v>
      </c>
      <c r="Z336" s="88" t="str">
        <f>+IF(Y336&gt;0,FIXED(Fuelbeds_english!Z336*0.3048,1,0),Y336)</f>
        <v>1.2</v>
      </c>
      <c r="AA336" s="36">
        <v>95</v>
      </c>
      <c r="AB336" s="50">
        <v>26417</v>
      </c>
      <c r="AC336" s="50" t="s">
        <v>147</v>
      </c>
      <c r="AD336" s="50">
        <v>100</v>
      </c>
      <c r="AE336" s="42">
        <v>60</v>
      </c>
      <c r="AF336" s="52" t="str">
        <f>+IF(AE336&gt;0,FIXED(Fuelbeds_english!AF336*0.3048,1,0),AE336)</f>
        <v>0.2</v>
      </c>
      <c r="AG336" s="45">
        <v>0</v>
      </c>
      <c r="AH336" s="52" t="str">
        <f>+IF(AE336&gt;0,FIXED(Fuelbeds_english!AH336*2.242,1,0),AE336)</f>
        <v>0.6</v>
      </c>
      <c r="AI336" s="45">
        <v>42269</v>
      </c>
      <c r="AJ336" s="45" t="s">
        <v>206</v>
      </c>
      <c r="AK336" s="45">
        <v>100</v>
      </c>
      <c r="AL336" s="34">
        <v>0.88221500000000008</v>
      </c>
      <c r="AM336" s="52" t="str">
        <f>+IF(AL336&gt;0,FIXED(Fuelbeds_english!AM336*2.54,1,0),AL336)</f>
        <v>15.2</v>
      </c>
      <c r="AN336" s="52" t="str">
        <f>+IF($AM336&gt;0,FIXED(Fuelbeds_english!AN336*2.242,1,0),$AM336)</f>
        <v>0.1</v>
      </c>
      <c r="AO336" s="52" t="str">
        <f>+IF($AM336&gt;0,FIXED(Fuelbeds_english!AO336*2.242,1,0),$AM336)</f>
        <v>0.4</v>
      </c>
      <c r="AP336" s="52" t="str">
        <f>+IF($AM336&gt;0,FIXED(Fuelbeds_english!AP336*2.242,1,0),$AM336)</f>
        <v>0.8</v>
      </c>
      <c r="AQ336" s="52" t="str">
        <f>+IF($AM336&gt;0,FIXED(Fuelbeds_english!AQ336*2.242,1,0),$AM336)</f>
        <v>1.0</v>
      </c>
      <c r="AR336" s="36">
        <v>19276</v>
      </c>
      <c r="AS336" s="36" t="s">
        <v>158</v>
      </c>
      <c r="AT336" s="36">
        <v>100</v>
      </c>
      <c r="AU336" s="44">
        <v>-1</v>
      </c>
      <c r="AV336" s="52">
        <f>+IF(AU336&gt;0,FIXED(Fuelbeds_english!AV336*2.54,1,0),AU336)</f>
        <v>-1</v>
      </c>
      <c r="AW336" s="52">
        <v>-1</v>
      </c>
      <c r="AX336" s="52">
        <v>-1</v>
      </c>
      <c r="AY336" s="52">
        <f>+IF(AX336&gt;0,FIXED(Fuelbeds_english!AY336*2.54,1,0),AX336)</f>
        <v>-1</v>
      </c>
      <c r="AZ336" s="45">
        <v>2</v>
      </c>
      <c r="BA336" s="36">
        <v>57</v>
      </c>
      <c r="BB336" s="52" t="str">
        <f>+IF(BA336&gt;0,FIXED(Fuelbeds_english!BB336*2.54,1,0),BA336)</f>
        <v>0.8</v>
      </c>
      <c r="BC336" s="53">
        <v>-1</v>
      </c>
      <c r="BD336" s="53">
        <v>-1</v>
      </c>
      <c r="BE336" s="53">
        <v>-1</v>
      </c>
      <c r="BF336" s="53">
        <v>40</v>
      </c>
      <c r="BG336" s="53">
        <v>-1</v>
      </c>
      <c r="BH336" s="53">
        <v>-1</v>
      </c>
      <c r="BI336" s="45">
        <v>60</v>
      </c>
      <c r="BJ336" s="28">
        <v>-1</v>
      </c>
      <c r="BK336" s="36">
        <v>-1</v>
      </c>
      <c r="BL336" s="52">
        <f>+IF(BK336&gt;0,FIXED(Fuelbeds_english!BL336*2.54,1,0),BK336)</f>
        <v>-1</v>
      </c>
      <c r="BM336" s="36">
        <v>-1</v>
      </c>
      <c r="BN336" s="36">
        <v>-1</v>
      </c>
      <c r="BO336" s="52">
        <f>+IF(BN336&gt;0,FIXED(Fuelbeds_english!BO336*2.54,1,0),BN336)</f>
        <v>-1</v>
      </c>
    </row>
    <row r="337" spans="1:67" s="50" customFormat="1" x14ac:dyDescent="0.25">
      <c r="A337" s="50">
        <v>336</v>
      </c>
      <c r="B337" s="36">
        <v>13025</v>
      </c>
      <c r="C337" s="46">
        <v>13025</v>
      </c>
      <c r="D337" s="22" t="s">
        <v>163</v>
      </c>
      <c r="E337" s="38" t="s">
        <v>437</v>
      </c>
      <c r="F337" s="39">
        <v>2.8319200000000002</v>
      </c>
      <c r="G337" s="45">
        <v>3</v>
      </c>
      <c r="H337" s="45">
        <f>+IF(F337&gt;0,INT(Fuelbeds_english!H337*2.471),F337)</f>
        <v>9</v>
      </c>
      <c r="I337" s="36">
        <f>+IF(F337&gt;0,INT(Fuelbeds_english!I337*0.3048),F337)</f>
        <v>7</v>
      </c>
      <c r="J337" s="45">
        <f>+IF(F337&gt;0,INT(Fuelbeds_english!J337*0.3048),F337)</f>
        <v>0</v>
      </c>
      <c r="K337" s="45">
        <f>+IF(F337&gt;0,INT(Fuelbeds_english!K337*2.54),F337)</f>
        <v>40</v>
      </c>
      <c r="L337" s="36">
        <v>19276</v>
      </c>
      <c r="M337" s="36" t="s">
        <v>158</v>
      </c>
      <c r="N337" s="36">
        <v>100</v>
      </c>
      <c r="O337" s="36">
        <v>-1</v>
      </c>
      <c r="P337" s="45">
        <f>+IF(O337&gt;0,INT(Fuelbeds_english!P337*2.471),O337)</f>
        <v>-1</v>
      </c>
      <c r="Q337" s="36">
        <f>+IF(O337&gt;0,INT(Fuelbeds_english!Q337*0.3048),O337)</f>
        <v>-1</v>
      </c>
      <c r="R337" s="45">
        <f>+IF(O337&gt;0,INT(Fuelbeds_english!R337*0.3048),O337)</f>
        <v>-1</v>
      </c>
      <c r="S337" s="45">
        <f>+IF(O337&gt;0,INT(Fuelbeds_english!S337*2.54),O337)</f>
        <v>-1</v>
      </c>
      <c r="T337" s="36">
        <v>-1</v>
      </c>
      <c r="U337" s="36">
        <v>-1</v>
      </c>
      <c r="V337" s="36">
        <v>-1</v>
      </c>
      <c r="W337" s="36">
        <v>1</v>
      </c>
      <c r="X337" s="98">
        <v>4</v>
      </c>
      <c r="Y337" s="29">
        <v>17.168080000000003</v>
      </c>
      <c r="Z337" s="88" t="str">
        <f>+IF(Y337&gt;0,FIXED(Fuelbeds_english!Z337*0.3048,1,0),Y337)</f>
        <v>1.2</v>
      </c>
      <c r="AA337" s="36">
        <v>95</v>
      </c>
      <c r="AB337" s="50">
        <v>26417</v>
      </c>
      <c r="AC337" s="50" t="s">
        <v>147</v>
      </c>
      <c r="AD337" s="50">
        <v>100</v>
      </c>
      <c r="AE337" s="42">
        <v>60</v>
      </c>
      <c r="AF337" s="52" t="str">
        <f>+IF(AE337&gt;0,FIXED(Fuelbeds_english!AF337*0.3048,1,0),AE337)</f>
        <v>0.2</v>
      </c>
      <c r="AG337" s="45">
        <v>0</v>
      </c>
      <c r="AH337" s="52" t="str">
        <f>+IF(AE337&gt;0,FIXED(Fuelbeds_english!AH337*2.242,1,0),AE337)</f>
        <v>0.9</v>
      </c>
      <c r="AI337" s="45">
        <v>21711</v>
      </c>
      <c r="AJ337" s="45" t="s">
        <v>425</v>
      </c>
      <c r="AK337" s="45">
        <v>100</v>
      </c>
      <c r="AL337" s="34">
        <v>0.141596</v>
      </c>
      <c r="AM337" s="52" t="str">
        <f>+IF(AL337&gt;0,FIXED(Fuelbeds_english!AM337*2.54,1,0),AL337)</f>
        <v>15.2</v>
      </c>
      <c r="AN337" s="52" t="str">
        <f>+IF($AM337&gt;0,FIXED(Fuelbeds_english!AN337*2.242,1,0),$AM337)</f>
        <v>0.0</v>
      </c>
      <c r="AO337" s="52" t="str">
        <f>+IF($AM337&gt;0,FIXED(Fuelbeds_english!AO337*2.242,1,0),$AM337)</f>
        <v>0.1</v>
      </c>
      <c r="AP337" s="52" t="str">
        <f>+IF($AM337&gt;0,FIXED(Fuelbeds_english!AP337*2.242,1,0),$AM337)</f>
        <v>0.1</v>
      </c>
      <c r="AQ337" s="52" t="str">
        <f>+IF($AM337&gt;0,FIXED(Fuelbeds_english!AQ337*2.242,1,0),$AM337)</f>
        <v>0.2</v>
      </c>
      <c r="AR337" s="36">
        <v>19276</v>
      </c>
      <c r="AS337" s="36" t="s">
        <v>158</v>
      </c>
      <c r="AT337" s="36">
        <v>100</v>
      </c>
      <c r="AU337" s="44">
        <v>-1</v>
      </c>
      <c r="AV337" s="52">
        <f>+IF(AU337&gt;0,FIXED(Fuelbeds_english!AV337*2.54,1,0),AU337)</f>
        <v>-1</v>
      </c>
      <c r="AW337" s="52">
        <v>-1</v>
      </c>
      <c r="AX337" s="52">
        <v>-1</v>
      </c>
      <c r="AY337" s="52">
        <f>+IF(AX337&gt;0,FIXED(Fuelbeds_english!AY337*2.54,1,0),AX337)</f>
        <v>-1</v>
      </c>
      <c r="AZ337" s="45">
        <v>2</v>
      </c>
      <c r="BA337" s="36">
        <v>42</v>
      </c>
      <c r="BB337" s="52" t="str">
        <f>+IF(BA337&gt;0,FIXED(Fuelbeds_english!BB337*2.54,1,0),BA337)</f>
        <v>0.8</v>
      </c>
      <c r="BC337" s="53">
        <v>-1</v>
      </c>
      <c r="BD337" s="53">
        <v>-1</v>
      </c>
      <c r="BE337" s="53">
        <v>-1</v>
      </c>
      <c r="BF337" s="53">
        <v>40</v>
      </c>
      <c r="BG337" s="53">
        <v>-1</v>
      </c>
      <c r="BH337" s="53">
        <v>-1</v>
      </c>
      <c r="BI337" s="45">
        <v>60</v>
      </c>
      <c r="BJ337" s="28">
        <v>-1</v>
      </c>
      <c r="BK337" s="36">
        <v>-1</v>
      </c>
      <c r="BL337" s="52">
        <f>+IF(BK337&gt;0,FIXED(Fuelbeds_english!BL337*2.54,1,0),BK337)</f>
        <v>-1</v>
      </c>
      <c r="BM337" s="36">
        <v>-1</v>
      </c>
      <c r="BN337" s="36">
        <v>-1</v>
      </c>
      <c r="BO337" s="52">
        <f>+IF(BN337&gt;0,FIXED(Fuelbeds_english!BO337*2.54,1,0),BN337)</f>
        <v>-1</v>
      </c>
    </row>
    <row r="338" spans="1:67" s="50" customFormat="1" x14ac:dyDescent="0.25">
      <c r="A338" s="50">
        <v>337</v>
      </c>
      <c r="B338" s="36">
        <v>13026</v>
      </c>
      <c r="C338" s="36">
        <v>13026</v>
      </c>
      <c r="D338" s="22" t="s">
        <v>163</v>
      </c>
      <c r="E338" s="38" t="s">
        <v>430</v>
      </c>
      <c r="F338" s="39">
        <v>-1</v>
      </c>
      <c r="G338" s="36">
        <v>-1</v>
      </c>
      <c r="H338" s="45">
        <f>+IF(F338&gt;0,INT(Fuelbeds_english!H338*2.471),F338)</f>
        <v>-1</v>
      </c>
      <c r="I338" s="36">
        <f>+IF(F338&gt;0,INT(Fuelbeds_english!I338*0.3048),F338)</f>
        <v>-1</v>
      </c>
      <c r="J338" s="45">
        <f>+IF(F338&gt;0,INT(Fuelbeds_english!J338*0.3048),F338)</f>
        <v>-1</v>
      </c>
      <c r="K338" s="45">
        <f>+IF(F338&gt;0,INT(Fuelbeds_english!K338*2.54),F338)</f>
        <v>-1</v>
      </c>
      <c r="L338" s="36">
        <v>-1</v>
      </c>
      <c r="M338" s="36">
        <v>-1</v>
      </c>
      <c r="N338" s="36">
        <v>-1</v>
      </c>
      <c r="O338" s="36">
        <v>-1</v>
      </c>
      <c r="P338" s="45">
        <f>+IF(O338&gt;0,INT(Fuelbeds_english!P338*2.471),O338)</f>
        <v>-1</v>
      </c>
      <c r="Q338" s="36">
        <f>+IF(O338&gt;0,INT(Fuelbeds_english!Q338*0.3048),O338)</f>
        <v>-1</v>
      </c>
      <c r="R338" s="45">
        <f>+IF(O338&gt;0,INT(Fuelbeds_english!R338*0.3048),O338)</f>
        <v>-1</v>
      </c>
      <c r="S338" s="45">
        <f>+IF(O338&gt;0,INT(Fuelbeds_english!S338*2.54),O338)</f>
        <v>-1</v>
      </c>
      <c r="T338" s="36">
        <v>-1</v>
      </c>
      <c r="U338" s="36">
        <v>-1</v>
      </c>
      <c r="V338" s="36">
        <v>-1</v>
      </c>
      <c r="W338" s="36">
        <v>-1</v>
      </c>
      <c r="X338" s="98">
        <v>-1</v>
      </c>
      <c r="Y338" s="29">
        <v>10</v>
      </c>
      <c r="Z338" s="88" t="str">
        <f>+IF(Y338&gt;0,FIXED(Fuelbeds_english!Z338*0.3048,1,0),Y338)</f>
        <v>1.2</v>
      </c>
      <c r="AA338" s="46">
        <v>50</v>
      </c>
      <c r="AB338" s="50">
        <v>26417</v>
      </c>
      <c r="AC338" s="50" t="s">
        <v>147</v>
      </c>
      <c r="AD338" s="50">
        <v>100</v>
      </c>
      <c r="AE338" s="42">
        <v>60</v>
      </c>
      <c r="AF338" s="52" t="str">
        <f>+IF(AE338&gt;0,FIXED(Fuelbeds_english!AF338*0.3048,1,0),AE338)</f>
        <v>0.2</v>
      </c>
      <c r="AG338" s="36">
        <v>0</v>
      </c>
      <c r="AH338" s="52" t="str">
        <f>+IF(AE338&gt;0,FIXED(Fuelbeds_english!AH338*2.242,1,0),AE338)</f>
        <v>0.2</v>
      </c>
      <c r="AI338" s="62">
        <v>26857</v>
      </c>
      <c r="AJ338" s="43" t="s">
        <v>415</v>
      </c>
      <c r="AK338" s="62">
        <v>100</v>
      </c>
      <c r="AL338" s="34">
        <v>1</v>
      </c>
      <c r="AM338" s="52" t="str">
        <f>+IF(AL338&gt;0,FIXED(Fuelbeds_english!AM338*2.54,1,0),AL338)</f>
        <v>0.6</v>
      </c>
      <c r="AN338" s="52" t="str">
        <f>+IF($AM338&gt;0,FIXED(Fuelbeds_english!AN338*2.242,1,0),$AM338)</f>
        <v>0.1</v>
      </c>
      <c r="AO338" s="52" t="str">
        <f>+IF($AM338&gt;0,FIXED(Fuelbeds_english!AO338*2.242,1,0),$AM338)</f>
        <v>0.3</v>
      </c>
      <c r="AP338" s="52" t="str">
        <f>+IF($AM338&gt;0,FIXED(Fuelbeds_english!AP338*2.242,1,0),$AM338)</f>
        <v>0.0</v>
      </c>
      <c r="AQ338" s="52" t="str">
        <f>+IF($AM338&gt;0,FIXED(Fuelbeds_english!AQ338*2.242,1,0),$AM338)</f>
        <v>0.0</v>
      </c>
      <c r="AR338" s="36">
        <v>26417</v>
      </c>
      <c r="AS338" s="36" t="s">
        <v>147</v>
      </c>
      <c r="AT338" s="36">
        <v>100</v>
      </c>
      <c r="AU338" s="44">
        <v>-1</v>
      </c>
      <c r="AV338" s="52">
        <f>+IF(AU338&gt;0,FIXED(Fuelbeds_english!AV338*2.54,1,0),AU338)</f>
        <v>-1</v>
      </c>
      <c r="AW338" s="52">
        <v>-1</v>
      </c>
      <c r="AX338" s="52">
        <v>-1</v>
      </c>
      <c r="AY338" s="52">
        <f>+IF(AX338&gt;0,FIXED(Fuelbeds_english!AY338*2.54,1,0),AX338)</f>
        <v>-1</v>
      </c>
      <c r="AZ338" s="45">
        <v>2</v>
      </c>
      <c r="BA338" s="36">
        <v>49</v>
      </c>
      <c r="BB338" s="52" t="str">
        <f>+IF(BA338&gt;0,FIXED(Fuelbeds_english!BB338*2.54,1,0),BA338)</f>
        <v>0.8</v>
      </c>
      <c r="BC338" s="53">
        <v>-1</v>
      </c>
      <c r="BD338" s="53">
        <v>-1</v>
      </c>
      <c r="BE338" s="53">
        <v>-1</v>
      </c>
      <c r="BF338" s="53">
        <v>70</v>
      </c>
      <c r="BG338" s="53">
        <v>-1</v>
      </c>
      <c r="BH338" s="53">
        <v>-1</v>
      </c>
      <c r="BI338" s="45">
        <v>30</v>
      </c>
      <c r="BJ338" s="28">
        <v>-1</v>
      </c>
      <c r="BK338" s="36">
        <v>-1</v>
      </c>
      <c r="BL338" s="52">
        <f>+IF(BK338&gt;0,FIXED(Fuelbeds_english!BL338*2.54,1,0),BK338)</f>
        <v>-1</v>
      </c>
      <c r="BM338" s="36">
        <v>-1</v>
      </c>
      <c r="BN338" s="36">
        <v>-1</v>
      </c>
      <c r="BO338" s="52">
        <f>+IF(BN338&gt;0,FIXED(Fuelbeds_english!BO338*2.54,1,0),BN338)</f>
        <v>-1</v>
      </c>
    </row>
    <row r="339" spans="1:67" s="50" customFormat="1" x14ac:dyDescent="0.25">
      <c r="A339" s="50">
        <v>338</v>
      </c>
      <c r="B339" s="36">
        <v>13030</v>
      </c>
      <c r="C339" s="36">
        <v>13030</v>
      </c>
      <c r="D339" s="22" t="s">
        <v>163</v>
      </c>
      <c r="E339" s="39" t="s">
        <v>461</v>
      </c>
      <c r="F339" s="39">
        <v>2.1448299999999998</v>
      </c>
      <c r="G339" s="36">
        <v>2.1448299999999998</v>
      </c>
      <c r="H339" s="45">
        <f>+IF(F339&gt;0,INT(Fuelbeds_english!H339*2.471),F339)</f>
        <v>7</v>
      </c>
      <c r="I339" s="36">
        <f>+IF(F339&gt;0,INT(Fuelbeds_english!I339*0.3048),F339)</f>
        <v>8</v>
      </c>
      <c r="J339" s="45">
        <f>+IF(F339&gt;0,INT(Fuelbeds_english!J339*0.3048),F339)</f>
        <v>0</v>
      </c>
      <c r="K339" s="45">
        <f>+IF(F339&gt;0,INT(Fuelbeds_english!K339*2.54),F339)</f>
        <v>47</v>
      </c>
      <c r="L339" s="36">
        <v>19276</v>
      </c>
      <c r="M339" s="36" t="s">
        <v>158</v>
      </c>
      <c r="N339" s="36">
        <v>100</v>
      </c>
      <c r="O339" s="36">
        <v>-1</v>
      </c>
      <c r="P339" s="45">
        <f>+IF(O339&gt;0,INT(Fuelbeds_english!P339*2.471),O339)</f>
        <v>-1</v>
      </c>
      <c r="Q339" s="36">
        <f>+IF(O339&gt;0,INT(Fuelbeds_english!Q339*0.3048),O339)</f>
        <v>-1</v>
      </c>
      <c r="R339" s="45">
        <f>+IF(O339&gt;0,INT(Fuelbeds_english!R339*0.3048),O339)</f>
        <v>-1</v>
      </c>
      <c r="S339" s="45">
        <f>+IF(O339&gt;0,INT(Fuelbeds_english!S339*2.54),O339)</f>
        <v>-1</v>
      </c>
      <c r="T339" s="36">
        <v>-1</v>
      </c>
      <c r="U339" s="36">
        <v>-1</v>
      </c>
      <c r="V339" s="36">
        <v>-1</v>
      </c>
      <c r="W339" s="36">
        <v>1</v>
      </c>
      <c r="X339" s="98">
        <v>4</v>
      </c>
      <c r="Y339" s="29">
        <v>37.855170000000001</v>
      </c>
      <c r="Z339" s="88" t="str">
        <f>+IF(Y339&gt;0,FIXED(Fuelbeds_english!Z339*0.3048,1,0),Y339)</f>
        <v>1.2</v>
      </c>
      <c r="AA339" s="46">
        <v>95</v>
      </c>
      <c r="AB339" s="50">
        <v>26417</v>
      </c>
      <c r="AC339" s="50" t="s">
        <v>147</v>
      </c>
      <c r="AD339" s="50">
        <v>100</v>
      </c>
      <c r="AE339" s="42">
        <v>30</v>
      </c>
      <c r="AF339" s="52" t="str">
        <f>+IF(AE339&gt;0,FIXED(Fuelbeds_english!AF339*0.3048,1,0),AE339)</f>
        <v>0.2</v>
      </c>
      <c r="AG339" s="36">
        <v>0</v>
      </c>
      <c r="AH339" s="52" t="str">
        <f>+IF(AE339&gt;0,FIXED(Fuelbeds_english!AH339*2.242,1,0),AE339)</f>
        <v>0.1</v>
      </c>
      <c r="AI339" s="45">
        <v>42236</v>
      </c>
      <c r="AJ339" s="45" t="s">
        <v>207</v>
      </c>
      <c r="AK339" s="45">
        <v>100</v>
      </c>
      <c r="AL339" s="34">
        <v>0.10724149999999999</v>
      </c>
      <c r="AM339" s="52" t="str">
        <f>+IF(AL339&gt;0,FIXED(Fuelbeds_english!AM339*2.54,1,0),AL339)</f>
        <v>15.2</v>
      </c>
      <c r="AN339" s="52" t="str">
        <f>+IF($AM339&gt;0,FIXED(Fuelbeds_english!AN339*2.242,1,0),$AM339)</f>
        <v>0.0</v>
      </c>
      <c r="AO339" s="52" t="str">
        <f>+IF($AM339&gt;0,FIXED(Fuelbeds_english!AO339*2.242,1,0),$AM339)</f>
        <v>0.0</v>
      </c>
      <c r="AP339" s="52" t="str">
        <f>+IF($AM339&gt;0,FIXED(Fuelbeds_english!AP339*2.242,1,0),$AM339)</f>
        <v>0.1</v>
      </c>
      <c r="AQ339" s="52" t="str">
        <f>+IF($AM339&gt;0,FIXED(Fuelbeds_english!AQ339*2.242,1,0),$AM339)</f>
        <v>0.1</v>
      </c>
      <c r="AR339" s="36">
        <v>19276</v>
      </c>
      <c r="AS339" s="36" t="s">
        <v>158</v>
      </c>
      <c r="AT339" s="36">
        <v>100</v>
      </c>
      <c r="AU339" s="44">
        <v>-1</v>
      </c>
      <c r="AV339" s="52">
        <f>+IF(AU339&gt;0,FIXED(Fuelbeds_english!AV339*2.54,1,0),AU339)</f>
        <v>-1</v>
      </c>
      <c r="AW339" s="52">
        <v>-1</v>
      </c>
      <c r="AX339" s="52">
        <v>-1</v>
      </c>
      <c r="AY339" s="52">
        <f>+IF(AX339&gt;0,FIXED(Fuelbeds_english!AY339*2.54,1,0),AX339)</f>
        <v>-1</v>
      </c>
      <c r="AZ339" s="45">
        <v>1</v>
      </c>
      <c r="BA339" s="36">
        <v>21.644829999999999</v>
      </c>
      <c r="BB339" s="52" t="str">
        <f>+IF(BA339&gt;0,FIXED(Fuelbeds_english!BB339*2.54,1,0),BA339)</f>
        <v>0.8</v>
      </c>
      <c r="BC339" s="53">
        <v>-1</v>
      </c>
      <c r="BD339" s="53">
        <v>-1</v>
      </c>
      <c r="BE339" s="53">
        <v>-1</v>
      </c>
      <c r="BF339" s="53">
        <v>70</v>
      </c>
      <c r="BG339" s="53">
        <v>-1</v>
      </c>
      <c r="BH339" s="53">
        <v>-1</v>
      </c>
      <c r="BI339" s="45">
        <v>30</v>
      </c>
      <c r="BJ339" s="28">
        <v>-1</v>
      </c>
      <c r="BK339" s="36">
        <v>-1</v>
      </c>
      <c r="BL339" s="52">
        <f>+IF(BK339&gt;0,FIXED(Fuelbeds_english!BL339*2.54,1,0),BK339)</f>
        <v>-1</v>
      </c>
      <c r="BM339" s="36">
        <v>-1</v>
      </c>
      <c r="BN339" s="36">
        <v>-1</v>
      </c>
      <c r="BO339" s="52">
        <f>+IF(BN339&gt;0,FIXED(Fuelbeds_english!BO339*2.54,1,0),BN339)</f>
        <v>-1</v>
      </c>
    </row>
    <row r="340" spans="1:67" s="50" customFormat="1" x14ac:dyDescent="0.25">
      <c r="A340" s="50">
        <v>339</v>
      </c>
      <c r="B340" s="36">
        <v>13032</v>
      </c>
      <c r="C340" s="46">
        <v>13032</v>
      </c>
      <c r="D340" s="22" t="s">
        <v>163</v>
      </c>
      <c r="E340" s="39" t="s">
        <v>462</v>
      </c>
      <c r="F340" s="39">
        <v>11.202400000000001</v>
      </c>
      <c r="G340" s="36">
        <v>11.202400000000001</v>
      </c>
      <c r="H340" s="45">
        <f>+IF(F340&gt;0,INT(Fuelbeds_english!H340*2.471),F340)</f>
        <v>41</v>
      </c>
      <c r="I340" s="36">
        <f>+IF(F340&gt;0,INT(Fuelbeds_english!I340*0.3048),F340)</f>
        <v>9</v>
      </c>
      <c r="J340" s="45">
        <f>+IF(F340&gt;0,INT(Fuelbeds_english!J340*0.3048),F340)</f>
        <v>0</v>
      </c>
      <c r="K340" s="45">
        <f>+IF(F340&gt;0,INT(Fuelbeds_english!K340*2.54),F340)</f>
        <v>50</v>
      </c>
      <c r="L340" s="36">
        <v>19276</v>
      </c>
      <c r="M340" s="36" t="s">
        <v>158</v>
      </c>
      <c r="N340" s="36">
        <v>100</v>
      </c>
      <c r="O340" s="36">
        <v>-1</v>
      </c>
      <c r="P340" s="45">
        <f>+IF(O340&gt;0,INT(Fuelbeds_english!P340*2.471),O340)</f>
        <v>-1</v>
      </c>
      <c r="Q340" s="36">
        <f>+IF(O340&gt;0,INT(Fuelbeds_english!Q340*0.3048),O340)</f>
        <v>-1</v>
      </c>
      <c r="R340" s="45">
        <f>+IF(O340&gt;0,INT(Fuelbeds_english!R340*0.3048),O340)</f>
        <v>-1</v>
      </c>
      <c r="S340" s="45">
        <f>+IF(O340&gt;0,INT(Fuelbeds_english!S340*2.54),O340)</f>
        <v>-1</v>
      </c>
      <c r="T340" s="36">
        <v>-1</v>
      </c>
      <c r="U340" s="36">
        <v>-1</v>
      </c>
      <c r="V340" s="36">
        <v>-1</v>
      </c>
      <c r="W340" s="36">
        <v>1</v>
      </c>
      <c r="X340" s="98">
        <v>4</v>
      </c>
      <c r="Y340" s="29">
        <v>28.797600000000003</v>
      </c>
      <c r="Z340" s="88" t="str">
        <f>+IF(Y340&gt;0,FIXED(Fuelbeds_english!Z340*0.3048,1,0),Y340)</f>
        <v>1.2</v>
      </c>
      <c r="AA340" s="46">
        <v>95</v>
      </c>
      <c r="AB340" s="50">
        <v>26417</v>
      </c>
      <c r="AC340" s="50" t="s">
        <v>147</v>
      </c>
      <c r="AD340" s="50">
        <v>100</v>
      </c>
      <c r="AE340" s="42">
        <v>30</v>
      </c>
      <c r="AF340" s="52" t="str">
        <f>+IF(AE340&gt;0,FIXED(Fuelbeds_english!AF340*0.3048,1,0),AE340)</f>
        <v>0.2</v>
      </c>
      <c r="AG340" s="36">
        <v>0</v>
      </c>
      <c r="AH340" s="52" t="str">
        <f>+IF(AE340&gt;0,FIXED(Fuelbeds_english!AH340*2.242,1,0),AE340)</f>
        <v>0.3</v>
      </c>
      <c r="AI340" s="45">
        <v>42269</v>
      </c>
      <c r="AJ340" s="45" t="s">
        <v>206</v>
      </c>
      <c r="AK340" s="45">
        <v>100</v>
      </c>
      <c r="AL340" s="34">
        <v>0.56012000000000006</v>
      </c>
      <c r="AM340" s="52" t="str">
        <f>+IF(AL340&gt;0,FIXED(Fuelbeds_english!AM340*2.54,1,0),AL340)</f>
        <v>15.2</v>
      </c>
      <c r="AN340" s="52" t="str">
        <f>+IF($AM340&gt;0,FIXED(Fuelbeds_english!AN340*2.242,1,0),$AM340)</f>
        <v>0.1</v>
      </c>
      <c r="AO340" s="52" t="str">
        <f>+IF($AM340&gt;0,FIXED(Fuelbeds_english!AO340*2.242,1,0),$AM340)</f>
        <v>0.3</v>
      </c>
      <c r="AP340" s="52" t="str">
        <f>+IF($AM340&gt;0,FIXED(Fuelbeds_english!AP340*2.242,1,0),$AM340)</f>
        <v>0.5</v>
      </c>
      <c r="AQ340" s="52" t="str">
        <f>+IF($AM340&gt;0,FIXED(Fuelbeds_english!AQ340*2.242,1,0),$AM340)</f>
        <v>0.6</v>
      </c>
      <c r="AR340" s="36">
        <v>19276</v>
      </c>
      <c r="AS340" s="36" t="s">
        <v>158</v>
      </c>
      <c r="AT340" s="36">
        <v>100</v>
      </c>
      <c r="AU340" s="44">
        <v>-1</v>
      </c>
      <c r="AV340" s="52">
        <f>+IF(AU340&gt;0,FIXED(Fuelbeds_english!AV340*2.54,1,0),AU340)</f>
        <v>-1</v>
      </c>
      <c r="AW340" s="52">
        <v>-1</v>
      </c>
      <c r="AX340" s="52">
        <v>-1</v>
      </c>
      <c r="AY340" s="52">
        <f>+IF(AX340&gt;0,FIXED(Fuelbeds_english!AY340*2.54,1,0),AX340)</f>
        <v>-1</v>
      </c>
      <c r="AZ340" s="45">
        <v>1</v>
      </c>
      <c r="BA340" s="36">
        <v>30.702400000000001</v>
      </c>
      <c r="BB340" s="52" t="str">
        <f>+IF(BA340&gt;0,FIXED(Fuelbeds_english!BB340*2.54,1,0),BA340)</f>
        <v>0.8</v>
      </c>
      <c r="BC340" s="53">
        <v>-1</v>
      </c>
      <c r="BD340" s="53">
        <v>-1</v>
      </c>
      <c r="BE340" s="53">
        <v>-1</v>
      </c>
      <c r="BF340" s="53">
        <v>70</v>
      </c>
      <c r="BG340" s="53">
        <v>-1</v>
      </c>
      <c r="BH340" s="53">
        <v>-1</v>
      </c>
      <c r="BI340" s="45">
        <v>30</v>
      </c>
      <c r="BJ340" s="28">
        <v>-1</v>
      </c>
      <c r="BK340" s="36">
        <v>-1</v>
      </c>
      <c r="BL340" s="52">
        <f>+IF(BK340&gt;0,FIXED(Fuelbeds_english!BL340*2.54,1,0),BK340)</f>
        <v>-1</v>
      </c>
      <c r="BM340" s="36">
        <v>-1</v>
      </c>
      <c r="BN340" s="36">
        <v>-1</v>
      </c>
      <c r="BO340" s="52">
        <f>+IF(BN340&gt;0,FIXED(Fuelbeds_english!BO340*2.54,1,0),BN340)</f>
        <v>-1</v>
      </c>
    </row>
    <row r="341" spans="1:67" s="50" customFormat="1" x14ac:dyDescent="0.25">
      <c r="A341" s="50">
        <v>340</v>
      </c>
      <c r="B341" s="36">
        <v>13034</v>
      </c>
      <c r="C341" s="46">
        <v>13034</v>
      </c>
      <c r="D341" s="22" t="s">
        <v>163</v>
      </c>
      <c r="E341" s="33" t="s">
        <v>471</v>
      </c>
      <c r="F341" s="39">
        <v>1.2860199999999999</v>
      </c>
      <c r="G341" s="36">
        <v>1.2860199999999999</v>
      </c>
      <c r="H341" s="45">
        <f>+IF(F341&gt;0,INT(Fuelbeds_english!H341*2.471),F341)</f>
        <v>4</v>
      </c>
      <c r="I341" s="36">
        <f>+IF(F341&gt;0,INT(Fuelbeds_english!I341*0.3048),F341)</f>
        <v>5</v>
      </c>
      <c r="J341" s="45">
        <f>+IF(F341&gt;0,INT(Fuelbeds_english!J341*0.3048),F341)</f>
        <v>0</v>
      </c>
      <c r="K341" s="45">
        <f>+IF(F341&gt;0,INT(Fuelbeds_english!K341*2.54),F341)</f>
        <v>30</v>
      </c>
      <c r="L341" s="36">
        <v>19276</v>
      </c>
      <c r="M341" s="36" t="s">
        <v>158</v>
      </c>
      <c r="N341" s="36">
        <v>100</v>
      </c>
      <c r="O341" s="36">
        <v>-1</v>
      </c>
      <c r="P341" s="45">
        <f>+IF(O341&gt;0,INT(Fuelbeds_english!P341*2.471),O341)</f>
        <v>-1</v>
      </c>
      <c r="Q341" s="36">
        <f>+IF(O341&gt;0,INT(Fuelbeds_english!Q341*0.3048),O341)</f>
        <v>-1</v>
      </c>
      <c r="R341" s="45">
        <f>+IF(O341&gt;0,INT(Fuelbeds_english!R341*0.3048),O341)</f>
        <v>-1</v>
      </c>
      <c r="S341" s="45">
        <f>+IF(O341&gt;0,INT(Fuelbeds_english!S341*2.54),O341)</f>
        <v>-1</v>
      </c>
      <c r="T341" s="36">
        <v>-1</v>
      </c>
      <c r="U341" s="36">
        <v>-1</v>
      </c>
      <c r="V341" s="36">
        <v>-1</v>
      </c>
      <c r="W341" s="36">
        <v>1</v>
      </c>
      <c r="X341" s="98">
        <v>4</v>
      </c>
      <c r="Y341" s="29">
        <v>38.713980000000006</v>
      </c>
      <c r="Z341" s="88" t="str">
        <f>+IF(Y341&gt;0,FIXED(Fuelbeds_english!Z341*0.3048,1,0),Y341)</f>
        <v>1.2</v>
      </c>
      <c r="AA341" s="46">
        <v>95</v>
      </c>
      <c r="AB341" s="50">
        <v>26417</v>
      </c>
      <c r="AC341" s="50" t="s">
        <v>147</v>
      </c>
      <c r="AD341" s="50">
        <v>100</v>
      </c>
      <c r="AE341" s="42">
        <v>30</v>
      </c>
      <c r="AF341" s="52" t="str">
        <f>+IF(AE341&gt;0,FIXED(Fuelbeds_english!AF341*0.3048,1,0),AE341)</f>
        <v>0.2</v>
      </c>
      <c r="AG341" s="36">
        <v>0</v>
      </c>
      <c r="AH341" s="52" t="str">
        <f>+IF(AE341&gt;0,FIXED(Fuelbeds_english!AH341*2.242,1,0),AE341)</f>
        <v>0.3</v>
      </c>
      <c r="AI341" s="45">
        <v>42013</v>
      </c>
      <c r="AJ341" s="45" t="s">
        <v>423</v>
      </c>
      <c r="AK341" s="62">
        <v>100</v>
      </c>
      <c r="AL341" s="34">
        <v>6.4300999999999997E-2</v>
      </c>
      <c r="AM341" s="52" t="str">
        <f>+IF(AL341&gt;0,FIXED(Fuelbeds_english!AM341*2.54,1,0),AL341)</f>
        <v>15.2</v>
      </c>
      <c r="AN341" s="52" t="str">
        <f>+IF($AM341&gt;0,FIXED(Fuelbeds_english!AN341*2.242,1,0),$AM341)</f>
        <v>0.0</v>
      </c>
      <c r="AO341" s="52" t="str">
        <f>+IF($AM341&gt;0,FIXED(Fuelbeds_english!AO341*2.242,1,0),$AM341)</f>
        <v>0.0</v>
      </c>
      <c r="AP341" s="52" t="str">
        <f>+IF($AM341&gt;0,FIXED(Fuelbeds_english!AP341*2.242,1,0),$AM341)</f>
        <v>0.1</v>
      </c>
      <c r="AQ341" s="52" t="str">
        <f>+IF($AM341&gt;0,FIXED(Fuelbeds_english!AQ341*2.242,1,0),$AM341)</f>
        <v>0.1</v>
      </c>
      <c r="AR341" s="36">
        <v>19276</v>
      </c>
      <c r="AS341" s="36" t="s">
        <v>158</v>
      </c>
      <c r="AT341" s="36">
        <v>100</v>
      </c>
      <c r="AU341" s="44">
        <v>-1</v>
      </c>
      <c r="AV341" s="52">
        <f>+IF(AU341&gt;0,FIXED(Fuelbeds_english!AV341*2.54,1,0),AU341)</f>
        <v>-1</v>
      </c>
      <c r="AW341" s="52">
        <v>-1</v>
      </c>
      <c r="AX341" s="52">
        <v>-1</v>
      </c>
      <c r="AY341" s="52">
        <f>+IF(AX341&gt;0,FIXED(Fuelbeds_english!AY341*2.54,1,0),AX341)</f>
        <v>-1</v>
      </c>
      <c r="AZ341" s="45">
        <v>1</v>
      </c>
      <c r="BA341" s="36">
        <v>20.786020000000001</v>
      </c>
      <c r="BB341" s="52" t="str">
        <f>+IF(BA341&gt;0,FIXED(Fuelbeds_english!BB341*2.54,1,0),BA341)</f>
        <v>0.8</v>
      </c>
      <c r="BC341" s="53">
        <v>-1</v>
      </c>
      <c r="BD341" s="53">
        <v>-1</v>
      </c>
      <c r="BE341" s="53">
        <v>-1</v>
      </c>
      <c r="BF341" s="53">
        <v>70</v>
      </c>
      <c r="BG341" s="53">
        <v>-1</v>
      </c>
      <c r="BH341" s="53">
        <v>-1</v>
      </c>
      <c r="BI341" s="45">
        <v>30</v>
      </c>
      <c r="BJ341" s="28">
        <v>-1</v>
      </c>
      <c r="BK341" s="36">
        <v>-1</v>
      </c>
      <c r="BL341" s="52">
        <f>+IF(BK341&gt;0,FIXED(Fuelbeds_english!BL341*2.54,1,0),BK341)</f>
        <v>-1</v>
      </c>
      <c r="BM341" s="36">
        <v>-1</v>
      </c>
      <c r="BN341" s="36">
        <v>-1</v>
      </c>
      <c r="BO341" s="52">
        <f>+IF(BN341&gt;0,FIXED(Fuelbeds_english!BO341*2.54,1,0),BN341)</f>
        <v>-1</v>
      </c>
    </row>
    <row r="342" spans="1:67" s="50" customFormat="1" x14ac:dyDescent="0.25">
      <c r="A342" s="50">
        <v>341</v>
      </c>
      <c r="B342" s="36">
        <v>13035</v>
      </c>
      <c r="C342" s="46">
        <v>13035</v>
      </c>
      <c r="D342" s="22" t="s">
        <v>163</v>
      </c>
      <c r="E342" s="33" t="s">
        <v>470</v>
      </c>
      <c r="F342" s="39">
        <v>1.67723</v>
      </c>
      <c r="G342" s="36">
        <v>1.67723</v>
      </c>
      <c r="H342" s="45">
        <f>+IF(F342&gt;0,INT(Fuelbeds_english!H342*2.471),F342)</f>
        <v>6</v>
      </c>
      <c r="I342" s="36">
        <f>+IF(F342&gt;0,INT(Fuelbeds_english!I342*0.3048),F342)</f>
        <v>8</v>
      </c>
      <c r="J342" s="45">
        <f>+IF(F342&gt;0,INT(Fuelbeds_english!J342*0.3048),F342)</f>
        <v>0</v>
      </c>
      <c r="K342" s="45">
        <f>+IF(F342&gt;0,INT(Fuelbeds_english!K342*2.54),F342)</f>
        <v>44</v>
      </c>
      <c r="L342" s="36">
        <v>19276</v>
      </c>
      <c r="M342" s="36" t="s">
        <v>158</v>
      </c>
      <c r="N342" s="36">
        <v>100</v>
      </c>
      <c r="O342" s="36">
        <v>-1</v>
      </c>
      <c r="P342" s="45">
        <f>+IF(O342&gt;0,INT(Fuelbeds_english!P342*2.471),O342)</f>
        <v>-1</v>
      </c>
      <c r="Q342" s="36">
        <f>+IF(O342&gt;0,INT(Fuelbeds_english!Q342*0.3048),O342)</f>
        <v>-1</v>
      </c>
      <c r="R342" s="45">
        <f>+IF(O342&gt;0,INT(Fuelbeds_english!R342*0.3048),O342)</f>
        <v>-1</v>
      </c>
      <c r="S342" s="45">
        <f>+IF(O342&gt;0,INT(Fuelbeds_english!S342*2.54),O342)</f>
        <v>-1</v>
      </c>
      <c r="T342" s="36">
        <v>-1</v>
      </c>
      <c r="U342" s="36">
        <v>-1</v>
      </c>
      <c r="V342" s="36">
        <v>-1</v>
      </c>
      <c r="W342" s="36">
        <v>1</v>
      </c>
      <c r="X342" s="98">
        <v>4</v>
      </c>
      <c r="Y342" s="29">
        <v>38.322770000000006</v>
      </c>
      <c r="Z342" s="88" t="str">
        <f>+IF(Y342&gt;0,FIXED(Fuelbeds_english!Z342*0.3048,1,0),Y342)</f>
        <v>1.2</v>
      </c>
      <c r="AA342" s="46">
        <v>95</v>
      </c>
      <c r="AB342" s="50">
        <v>26417</v>
      </c>
      <c r="AC342" s="50" t="s">
        <v>147</v>
      </c>
      <c r="AD342" s="50">
        <v>100</v>
      </c>
      <c r="AE342" s="42">
        <v>30</v>
      </c>
      <c r="AF342" s="52" t="str">
        <f>+IF(AE342&gt;0,FIXED(Fuelbeds_english!AF342*0.3048,1,0),AE342)</f>
        <v>0.2</v>
      </c>
      <c r="AG342" s="36">
        <v>0</v>
      </c>
      <c r="AH342" s="52" t="str">
        <f>+IF(AE342&gt;0,FIXED(Fuelbeds_english!AH342*2.242,1,0),AE342)</f>
        <v>0.5</v>
      </c>
      <c r="AI342" s="45">
        <v>21711</v>
      </c>
      <c r="AJ342" s="45" t="s">
        <v>425</v>
      </c>
      <c r="AK342" s="45">
        <v>100</v>
      </c>
      <c r="AL342" s="34">
        <v>8.3861500000000005E-2</v>
      </c>
      <c r="AM342" s="52" t="str">
        <f>+IF(AL342&gt;0,FIXED(Fuelbeds_english!AM342*2.54,1,0),AL342)</f>
        <v>15.2</v>
      </c>
      <c r="AN342" s="52" t="str">
        <f>+IF($AM342&gt;0,FIXED(Fuelbeds_english!AN342*2.242,1,0),$AM342)</f>
        <v>0.0</v>
      </c>
      <c r="AO342" s="52" t="str">
        <f>+IF($AM342&gt;0,FIXED(Fuelbeds_english!AO342*2.242,1,0),$AM342)</f>
        <v>0.0</v>
      </c>
      <c r="AP342" s="52" t="str">
        <f>+IF($AM342&gt;0,FIXED(Fuelbeds_english!AP342*2.242,1,0),$AM342)</f>
        <v>0.1</v>
      </c>
      <c r="AQ342" s="52" t="str">
        <f>+IF($AM342&gt;0,FIXED(Fuelbeds_english!AQ342*2.242,1,0),$AM342)</f>
        <v>0.1</v>
      </c>
      <c r="AR342" s="36">
        <v>19276</v>
      </c>
      <c r="AS342" s="36" t="s">
        <v>158</v>
      </c>
      <c r="AT342" s="36">
        <v>100</v>
      </c>
      <c r="AU342" s="44">
        <v>-1</v>
      </c>
      <c r="AV342" s="52">
        <f>+IF(AU342&gt;0,FIXED(Fuelbeds_english!AV342*2.54,1,0),AU342)</f>
        <v>-1</v>
      </c>
      <c r="AW342" s="52">
        <v>-1</v>
      </c>
      <c r="AX342" s="52">
        <v>-1</v>
      </c>
      <c r="AY342" s="52">
        <f>+IF(AX342&gt;0,FIXED(Fuelbeds_english!AY342*2.54,1,0),AX342)</f>
        <v>-1</v>
      </c>
      <c r="AZ342" s="45">
        <v>1</v>
      </c>
      <c r="BA342" s="36">
        <v>21.177230000000002</v>
      </c>
      <c r="BB342" s="52" t="str">
        <f>+IF(BA342&gt;0,FIXED(Fuelbeds_english!BB342*2.54,1,0),BA342)</f>
        <v>0.8</v>
      </c>
      <c r="BC342" s="53">
        <v>-1</v>
      </c>
      <c r="BD342" s="53">
        <v>-1</v>
      </c>
      <c r="BE342" s="53">
        <v>-1</v>
      </c>
      <c r="BF342" s="53">
        <v>70</v>
      </c>
      <c r="BG342" s="53">
        <v>-1</v>
      </c>
      <c r="BH342" s="53">
        <v>-1</v>
      </c>
      <c r="BI342" s="45">
        <v>30</v>
      </c>
      <c r="BJ342" s="28">
        <v>-1</v>
      </c>
      <c r="BK342" s="36">
        <v>-1</v>
      </c>
      <c r="BL342" s="52">
        <f>+IF(BK342&gt;0,FIXED(Fuelbeds_english!BL342*2.54,1,0),BK342)</f>
        <v>-1</v>
      </c>
      <c r="BM342" s="36">
        <v>-1</v>
      </c>
      <c r="BN342" s="36">
        <v>-1</v>
      </c>
      <c r="BO342" s="52">
        <f>+IF(BN342&gt;0,FIXED(Fuelbeds_english!BO342*2.54,1,0),BN342)</f>
        <v>-1</v>
      </c>
    </row>
    <row r="343" spans="1:67" s="50" customFormat="1" x14ac:dyDescent="0.25">
      <c r="A343" s="50">
        <v>342</v>
      </c>
      <c r="B343" s="36">
        <v>13036</v>
      </c>
      <c r="C343" s="36">
        <v>13036</v>
      </c>
      <c r="D343" s="22" t="s">
        <v>163</v>
      </c>
      <c r="E343" s="39" t="s">
        <v>465</v>
      </c>
      <c r="F343" s="39">
        <v>-1</v>
      </c>
      <c r="G343" s="36">
        <v>-1</v>
      </c>
      <c r="H343" s="45">
        <f>+IF(F343&gt;0,INT(Fuelbeds_english!H343*2.471),F343)</f>
        <v>-1</v>
      </c>
      <c r="I343" s="36">
        <f>+IF(F343&gt;0,INT(Fuelbeds_english!I343*0.3048),F343)</f>
        <v>-1</v>
      </c>
      <c r="J343" s="45">
        <f>+IF(F343&gt;0,INT(Fuelbeds_english!J343*0.3048),F343)</f>
        <v>-1</v>
      </c>
      <c r="K343" s="45">
        <f>+IF(F343&gt;0,INT(Fuelbeds_english!K343*2.54),F343)</f>
        <v>-1</v>
      </c>
      <c r="L343" s="36">
        <v>-1</v>
      </c>
      <c r="M343" s="36">
        <v>-1</v>
      </c>
      <c r="N343" s="36">
        <v>-1</v>
      </c>
      <c r="O343" s="36">
        <v>-1</v>
      </c>
      <c r="P343" s="45">
        <f>+IF(O343&gt;0,INT(Fuelbeds_english!P343*2.471),O343)</f>
        <v>-1</v>
      </c>
      <c r="Q343" s="36">
        <f>+IF(O343&gt;0,INT(Fuelbeds_english!Q343*0.3048),O343)</f>
        <v>-1</v>
      </c>
      <c r="R343" s="45">
        <f>+IF(O343&gt;0,INT(Fuelbeds_english!R343*0.3048),O343)</f>
        <v>-1</v>
      </c>
      <c r="S343" s="45">
        <f>+IF(O343&gt;0,INT(Fuelbeds_english!S343*2.54),O343)</f>
        <v>-1</v>
      </c>
      <c r="T343" s="36">
        <v>-1</v>
      </c>
      <c r="U343" s="36">
        <v>-1</v>
      </c>
      <c r="V343" s="36">
        <v>-1</v>
      </c>
      <c r="W343" s="36">
        <v>-1</v>
      </c>
      <c r="X343" s="98">
        <v>-1</v>
      </c>
      <c r="Y343" s="29">
        <v>40</v>
      </c>
      <c r="Z343" s="88" t="str">
        <f>+IF(Y343&gt;0,FIXED(Fuelbeds_english!Z343*0.3048,1,0),Y343)</f>
        <v>1.1</v>
      </c>
      <c r="AA343" s="36">
        <v>50</v>
      </c>
      <c r="AB343" s="46">
        <v>26417</v>
      </c>
      <c r="AC343" s="46" t="s">
        <v>147</v>
      </c>
      <c r="AD343" s="46">
        <v>100</v>
      </c>
      <c r="AE343" s="42">
        <v>30</v>
      </c>
      <c r="AF343" s="52" t="str">
        <f>+IF(AE343&gt;0,FIXED(Fuelbeds_english!AF343*0.3048,1,0),AE343)</f>
        <v>0.2</v>
      </c>
      <c r="AG343" s="45">
        <v>0</v>
      </c>
      <c r="AH343" s="52" t="str">
        <f>+IF(AE343&gt;0,FIXED(Fuelbeds_english!AH343*2.242,1,0),AE343)</f>
        <v>0.1</v>
      </c>
      <c r="AI343" s="62">
        <v>26857</v>
      </c>
      <c r="AJ343" s="43" t="s">
        <v>415</v>
      </c>
      <c r="AK343" s="62">
        <v>100</v>
      </c>
      <c r="AL343" s="34">
        <v>5</v>
      </c>
      <c r="AM343" s="52" t="str">
        <f>+IF(AL343&gt;0,FIXED(Fuelbeds_english!AM343*2.54,1,0),AL343)</f>
        <v>0.6</v>
      </c>
      <c r="AN343" s="52" t="str">
        <f>+IF($AM343&gt;0,FIXED(Fuelbeds_english!AN343*2.242,1,0),$AM343)</f>
        <v>0.6</v>
      </c>
      <c r="AO343" s="52" t="str">
        <f>+IF($AM343&gt;0,FIXED(Fuelbeds_english!AO343*2.242,1,0),$AM343)</f>
        <v>1.1</v>
      </c>
      <c r="AP343" s="52" t="str">
        <f>+IF($AM343&gt;0,FIXED(Fuelbeds_english!AP343*2.242,1,0),$AM343)</f>
        <v>0.0</v>
      </c>
      <c r="AQ343" s="52" t="str">
        <f>+IF($AM343&gt;0,FIXED(Fuelbeds_english!AQ343*2.242,1,0),$AM343)</f>
        <v>0.0</v>
      </c>
      <c r="AR343" s="36">
        <v>26417</v>
      </c>
      <c r="AS343" s="36" t="s">
        <v>147</v>
      </c>
      <c r="AT343" s="36">
        <v>100</v>
      </c>
      <c r="AU343" s="44">
        <v>-1</v>
      </c>
      <c r="AV343" s="52">
        <f>+IF(AU343&gt;0,FIXED(Fuelbeds_english!AV343*2.54,1,0),AU343)</f>
        <v>-1</v>
      </c>
      <c r="AW343" s="52">
        <v>-1</v>
      </c>
      <c r="AX343" s="52">
        <v>-1</v>
      </c>
      <c r="AY343" s="52">
        <f>+IF(AX343&gt;0,FIXED(Fuelbeds_english!AY343*2.54,1,0),AX343)</f>
        <v>-1</v>
      </c>
      <c r="AZ343" s="45">
        <v>1</v>
      </c>
      <c r="BA343" s="36">
        <v>40</v>
      </c>
      <c r="BB343" s="52" t="str">
        <f>+IF(BA343&gt;0,FIXED(Fuelbeds_english!BB343*2.54,1,0),BA343)</f>
        <v>0.8</v>
      </c>
      <c r="BC343" s="53">
        <v>-1</v>
      </c>
      <c r="BD343" s="53">
        <v>-1</v>
      </c>
      <c r="BE343" s="53">
        <v>-1</v>
      </c>
      <c r="BF343" s="53">
        <v>70</v>
      </c>
      <c r="BG343" s="53">
        <v>-1</v>
      </c>
      <c r="BH343" s="53">
        <v>-1</v>
      </c>
      <c r="BI343" s="45">
        <v>30</v>
      </c>
      <c r="BJ343" s="28">
        <v>-1</v>
      </c>
      <c r="BK343" s="36">
        <v>-1</v>
      </c>
      <c r="BL343" s="52">
        <f>+IF(BK343&gt;0,FIXED(Fuelbeds_english!BL343*2.54,1,0),BK343)</f>
        <v>-1</v>
      </c>
      <c r="BM343" s="36">
        <v>-1</v>
      </c>
      <c r="BN343" s="36">
        <v>-1</v>
      </c>
      <c r="BO343" s="52">
        <f>+IF(BN343&gt;0,FIXED(Fuelbeds_english!BO343*2.54,1,0),BN343)</f>
        <v>-1</v>
      </c>
    </row>
    <row r="344" spans="1:67" s="50" customFormat="1" x14ac:dyDescent="0.25">
      <c r="A344" s="50">
        <v>343</v>
      </c>
      <c r="B344" s="36">
        <v>13037</v>
      </c>
      <c r="C344" s="46">
        <v>13037</v>
      </c>
      <c r="D344" s="22" t="s">
        <v>163</v>
      </c>
      <c r="E344" s="39" t="s">
        <v>466</v>
      </c>
      <c r="F344" s="39">
        <v>7.7488799999999998</v>
      </c>
      <c r="G344" s="36">
        <v>7.7488799999999998</v>
      </c>
      <c r="H344" s="45">
        <f>+IF(F344&gt;0,INT(Fuelbeds_english!H344*2.471),F344)</f>
        <v>28</v>
      </c>
      <c r="I344" s="36">
        <f>+IF(F344&gt;0,INT(Fuelbeds_english!I344*0.3048),F344)</f>
        <v>9</v>
      </c>
      <c r="J344" s="45">
        <f>+IF(F344&gt;0,INT(Fuelbeds_english!J344*0.3048),F344)</f>
        <v>0</v>
      </c>
      <c r="K344" s="45">
        <f>+IF(F344&gt;0,INT(Fuelbeds_english!K344*2.54),F344)</f>
        <v>52</v>
      </c>
      <c r="L344" s="36">
        <v>19276</v>
      </c>
      <c r="M344" s="36" t="s">
        <v>158</v>
      </c>
      <c r="N344" s="36">
        <v>100</v>
      </c>
      <c r="O344" s="36">
        <v>-1</v>
      </c>
      <c r="P344" s="45">
        <f>+IF(O344&gt;0,INT(Fuelbeds_english!P344*2.471),O344)</f>
        <v>-1</v>
      </c>
      <c r="Q344" s="36">
        <f>+IF(O344&gt;0,INT(Fuelbeds_english!Q344*0.3048),O344)</f>
        <v>-1</v>
      </c>
      <c r="R344" s="45">
        <f>+IF(O344&gt;0,INT(Fuelbeds_english!R344*0.3048),O344)</f>
        <v>-1</v>
      </c>
      <c r="S344" s="45">
        <f>+IF(O344&gt;0,INT(Fuelbeds_english!S344*2.54),O344)</f>
        <v>-1</v>
      </c>
      <c r="T344" s="36">
        <v>-1</v>
      </c>
      <c r="U344" s="36">
        <v>-1</v>
      </c>
      <c r="V344" s="36">
        <v>-1</v>
      </c>
      <c r="W344" s="36">
        <v>1</v>
      </c>
      <c r="X344" s="98">
        <v>4</v>
      </c>
      <c r="Y344" s="29">
        <v>32.25112</v>
      </c>
      <c r="Z344" s="88" t="str">
        <f>+IF(Y344&gt;0,FIXED(Fuelbeds_english!Z344*0.3048,1,0),Y344)</f>
        <v>1.2</v>
      </c>
      <c r="AA344" s="46">
        <v>95</v>
      </c>
      <c r="AB344" s="50">
        <v>26417</v>
      </c>
      <c r="AC344" s="50" t="s">
        <v>147</v>
      </c>
      <c r="AD344" s="50">
        <v>100</v>
      </c>
      <c r="AE344" s="42">
        <v>30</v>
      </c>
      <c r="AF344" s="52" t="str">
        <f>+IF(AE344&gt;0,FIXED(Fuelbeds_english!AF344*0.3048,1,0),AE344)</f>
        <v>0.2</v>
      </c>
      <c r="AG344" s="36">
        <v>0</v>
      </c>
      <c r="AH344" s="52" t="str">
        <f>+IF(AE344&gt;0,FIXED(Fuelbeds_english!AH344*2.242,1,0),AE344)</f>
        <v>0.0</v>
      </c>
      <c r="AI344" s="45">
        <v>505272</v>
      </c>
      <c r="AJ344" s="43" t="s">
        <v>417</v>
      </c>
      <c r="AK344" s="45">
        <v>100</v>
      </c>
      <c r="AL344" s="34">
        <v>0.38744400000000001</v>
      </c>
      <c r="AM344" s="52" t="str">
        <f>+IF(AL344&gt;0,FIXED(Fuelbeds_english!AM344*2.54,1,0),AL344)</f>
        <v>15.2</v>
      </c>
      <c r="AN344" s="52" t="str">
        <f>+IF($AM344&gt;0,FIXED(Fuelbeds_english!AN344*2.242,1,0),$AM344)</f>
        <v>0.0</v>
      </c>
      <c r="AO344" s="52" t="str">
        <f>+IF($AM344&gt;0,FIXED(Fuelbeds_english!AO344*2.242,1,0),$AM344)</f>
        <v>0.2</v>
      </c>
      <c r="AP344" s="52" t="str">
        <f>+IF($AM344&gt;0,FIXED(Fuelbeds_english!AP344*2.242,1,0),$AM344)</f>
        <v>0.3</v>
      </c>
      <c r="AQ344" s="52" t="str">
        <f>+IF($AM344&gt;0,FIXED(Fuelbeds_english!AQ344*2.242,1,0),$AM344)</f>
        <v>0.4</v>
      </c>
      <c r="AR344" s="36">
        <v>19276</v>
      </c>
      <c r="AS344" s="36" t="s">
        <v>158</v>
      </c>
      <c r="AT344" s="36">
        <v>100</v>
      </c>
      <c r="AU344" s="44">
        <v>-1</v>
      </c>
      <c r="AV344" s="52">
        <f>+IF(AU344&gt;0,FIXED(Fuelbeds_english!AV344*2.54,1,0),AU344)</f>
        <v>-1</v>
      </c>
      <c r="AW344" s="52">
        <v>-1</v>
      </c>
      <c r="AX344" s="52">
        <v>-1</v>
      </c>
      <c r="AY344" s="52">
        <f>+IF(AX344&gt;0,FIXED(Fuelbeds_english!AY344*2.54,1,0),AX344)</f>
        <v>-1</v>
      </c>
      <c r="AZ344" s="45">
        <v>1</v>
      </c>
      <c r="BA344" s="36">
        <v>27.24888</v>
      </c>
      <c r="BB344" s="52" t="str">
        <f>+IF(BA344&gt;0,FIXED(Fuelbeds_english!BB344*2.54,1,0),BA344)</f>
        <v>0.8</v>
      </c>
      <c r="BC344" s="53">
        <v>-1</v>
      </c>
      <c r="BD344" s="53">
        <v>-1</v>
      </c>
      <c r="BE344" s="53">
        <v>-1</v>
      </c>
      <c r="BF344" s="53">
        <v>70</v>
      </c>
      <c r="BG344" s="53">
        <v>-1</v>
      </c>
      <c r="BH344" s="53">
        <v>-1</v>
      </c>
      <c r="BI344" s="45">
        <v>30</v>
      </c>
      <c r="BJ344" s="28">
        <v>-1</v>
      </c>
      <c r="BK344" s="36">
        <v>-1</v>
      </c>
      <c r="BL344" s="52">
        <f>+IF(BK344&gt;0,FIXED(Fuelbeds_english!BL344*2.54,1,0),BK344)</f>
        <v>-1</v>
      </c>
      <c r="BM344" s="36">
        <v>-1</v>
      </c>
      <c r="BN344" s="36">
        <v>-1</v>
      </c>
      <c r="BO344" s="52">
        <f>+IF(BN344&gt;0,FIXED(Fuelbeds_english!BO344*2.54,1,0),BN344)</f>
        <v>-1</v>
      </c>
    </row>
    <row r="345" spans="1:67" s="50" customFormat="1" x14ac:dyDescent="0.25">
      <c r="A345" s="50">
        <v>344</v>
      </c>
      <c r="B345" s="36">
        <v>13061</v>
      </c>
      <c r="C345" s="46">
        <v>13061</v>
      </c>
      <c r="D345" s="22" t="s">
        <v>163</v>
      </c>
      <c r="E345" s="11" t="s">
        <v>16</v>
      </c>
      <c r="F345" s="39">
        <v>22.4</v>
      </c>
      <c r="G345" s="36">
        <v>22.4</v>
      </c>
      <c r="H345" s="45">
        <f>+IF(F345&gt;0,INT(Fuelbeds_english!H345*2.471),F345)</f>
        <v>83</v>
      </c>
      <c r="I345" s="36">
        <f>+IF(F345&gt;0,INT(Fuelbeds_english!I345*0.3048),F345)</f>
        <v>12</v>
      </c>
      <c r="J345" s="45">
        <f>+IF(F345&gt;0,INT(Fuelbeds_english!J345*0.3048),F345)</f>
        <v>1</v>
      </c>
      <c r="K345" s="45">
        <f>+IF(F345&gt;0,INT(Fuelbeds_english!K345*2.54),F345)</f>
        <v>67</v>
      </c>
      <c r="L345" s="36">
        <v>19276</v>
      </c>
      <c r="M345" s="36" t="s">
        <v>158</v>
      </c>
      <c r="N345" s="36">
        <v>100</v>
      </c>
      <c r="O345" s="36">
        <v>-1</v>
      </c>
      <c r="P345" s="45">
        <f>+IF(O345&gt;0,INT(Fuelbeds_english!P345*2.471),O345)</f>
        <v>-1</v>
      </c>
      <c r="Q345" s="36">
        <f>+IF(O345&gt;0,INT(Fuelbeds_english!Q345*0.3048),O345)</f>
        <v>-1</v>
      </c>
      <c r="R345" s="45">
        <f>+IF(O345&gt;0,INT(Fuelbeds_english!R345*0.3048),O345)</f>
        <v>-1</v>
      </c>
      <c r="S345" s="45">
        <f>+IF(O345&gt;0,INT(Fuelbeds_english!S345*2.54),O345)</f>
        <v>-1</v>
      </c>
      <c r="T345" s="36">
        <v>-1</v>
      </c>
      <c r="U345" s="36">
        <v>-1</v>
      </c>
      <c r="V345" s="36">
        <v>-1</v>
      </c>
      <c r="W345" s="36">
        <v>1</v>
      </c>
      <c r="X345" s="98">
        <v>4</v>
      </c>
      <c r="Y345" s="29">
        <v>47.327325000000002</v>
      </c>
      <c r="Z345" s="88" t="str">
        <f>+IF(Y345&gt;0,FIXED(Fuelbeds_english!Z345*0.3048,1,0),Y345)</f>
        <v>1.2</v>
      </c>
      <c r="AA345" s="46">
        <v>95</v>
      </c>
      <c r="AB345" s="50">
        <v>26417</v>
      </c>
      <c r="AC345" s="50" t="s">
        <v>147</v>
      </c>
      <c r="AD345" s="50">
        <v>100</v>
      </c>
      <c r="AE345" s="42">
        <v>16</v>
      </c>
      <c r="AF345" s="52" t="str">
        <f>+IF(AE345&gt;0,FIXED(Fuelbeds_english!AF345*0.3048,1,0),AE345)</f>
        <v>0.2</v>
      </c>
      <c r="AG345" s="36">
        <v>85</v>
      </c>
      <c r="AH345" s="52" t="str">
        <f>+IF(AE345&gt;0,FIXED(Fuelbeds_english!AH345*2.242,1,0),AE345)</f>
        <v>0.7</v>
      </c>
      <c r="AI345" s="45">
        <v>185323</v>
      </c>
      <c r="AJ345" s="45" t="s">
        <v>382</v>
      </c>
      <c r="AK345" s="45">
        <v>100</v>
      </c>
      <c r="AL345" s="34">
        <v>1.1199999999999999</v>
      </c>
      <c r="AM345" s="52" t="str">
        <f>+IF(AL345&gt;0,FIXED(Fuelbeds_english!AM345*2.54,1,0),AL345)</f>
        <v>15.2</v>
      </c>
      <c r="AN345" s="52" t="str">
        <f>+IF($AM345&gt;0,FIXED(Fuelbeds_english!AN345*2.242,1,0),$AM345)</f>
        <v>0.1</v>
      </c>
      <c r="AO345" s="52" t="str">
        <f>+IF($AM345&gt;0,FIXED(Fuelbeds_english!AO345*2.242,1,0),$AM345)</f>
        <v>0.5</v>
      </c>
      <c r="AP345" s="52" t="str">
        <f>+IF($AM345&gt;0,FIXED(Fuelbeds_english!AP345*2.242,1,0),$AM345)</f>
        <v>1.0</v>
      </c>
      <c r="AQ345" s="52" t="str">
        <f>+IF($AM345&gt;0,FIXED(Fuelbeds_english!AQ345*2.242,1,0),$AM345)</f>
        <v>1.3</v>
      </c>
      <c r="AR345" s="36">
        <v>19276</v>
      </c>
      <c r="AS345" s="36" t="s">
        <v>158</v>
      </c>
      <c r="AT345" s="36">
        <v>100</v>
      </c>
      <c r="AU345" s="44">
        <v>-1</v>
      </c>
      <c r="AV345" s="52">
        <f>+IF(AU345&gt;0,FIXED(Fuelbeds_english!AV345*2.54,1,0),AU345)</f>
        <v>-1</v>
      </c>
      <c r="AW345" s="52">
        <v>-1</v>
      </c>
      <c r="AX345" s="52">
        <v>-1</v>
      </c>
      <c r="AY345" s="52">
        <f>+IF(AX345&gt;0,FIXED(Fuelbeds_english!AY345*2.54,1,0),AX345)</f>
        <v>-1</v>
      </c>
      <c r="AZ345" s="45">
        <v>1</v>
      </c>
      <c r="BA345" s="36">
        <v>11.551702465218453</v>
      </c>
      <c r="BB345" s="52" t="str">
        <f>+IF(BA345&gt;0,FIXED(Fuelbeds_english!BB345*2.54,1,0),BA345)</f>
        <v>0.8</v>
      </c>
      <c r="BC345" s="45">
        <v>-1</v>
      </c>
      <c r="BD345" s="45">
        <v>-1</v>
      </c>
      <c r="BE345" s="45">
        <v>-1</v>
      </c>
      <c r="BF345" s="45">
        <v>100</v>
      </c>
      <c r="BG345" s="45">
        <v>-1</v>
      </c>
      <c r="BH345" s="45">
        <v>-1</v>
      </c>
      <c r="BI345" s="45">
        <v>-1</v>
      </c>
      <c r="BJ345" s="28">
        <v>-1</v>
      </c>
      <c r="BK345" s="36">
        <v>-1</v>
      </c>
      <c r="BL345" s="52">
        <f>+IF(BK345&gt;0,FIXED(Fuelbeds_english!BL345*2.54,1,0),BK345)</f>
        <v>-1</v>
      </c>
      <c r="BM345" s="36">
        <v>-1</v>
      </c>
      <c r="BN345" s="36">
        <v>-1</v>
      </c>
      <c r="BO345" s="52">
        <f>+IF(BN345&gt;0,FIXED(Fuelbeds_english!BO345*2.54,1,0),BN345)</f>
        <v>-1</v>
      </c>
    </row>
    <row r="346" spans="1:67" s="50" customFormat="1" x14ac:dyDescent="0.25">
      <c r="A346" s="50">
        <v>345</v>
      </c>
      <c r="B346" s="36">
        <v>13091</v>
      </c>
      <c r="C346" s="46">
        <v>13091</v>
      </c>
      <c r="D346" s="22" t="s">
        <v>163</v>
      </c>
      <c r="E346" s="24" t="s">
        <v>353</v>
      </c>
      <c r="F346" s="39">
        <v>17</v>
      </c>
      <c r="G346" s="36">
        <v>17</v>
      </c>
      <c r="H346" s="45">
        <f>+IF(F346&gt;0,INT(Fuelbeds_english!H346*2.471),F346)</f>
        <v>28</v>
      </c>
      <c r="I346" s="36">
        <f>+IF(F346&gt;0,INT(Fuelbeds_english!I346*0.3048),F346)</f>
        <v>15</v>
      </c>
      <c r="J346" s="45">
        <f>+IF(F346&gt;0,INT(Fuelbeds_english!J346*0.3048),F346)</f>
        <v>4</v>
      </c>
      <c r="K346" s="45">
        <f>+IF(F346&gt;0,INT(Fuelbeds_english!K346*2.54),F346)</f>
        <v>37</v>
      </c>
      <c r="L346" s="36">
        <v>18035</v>
      </c>
      <c r="M346" s="36" t="s">
        <v>370</v>
      </c>
      <c r="N346" s="36">
        <v>100</v>
      </c>
      <c r="O346" s="36">
        <v>10.830115830115831</v>
      </c>
      <c r="P346" s="45">
        <f>+IF(O346&gt;0,INT(Fuelbeds_english!P346*2.471),O346)</f>
        <v>75</v>
      </c>
      <c r="Q346" s="36">
        <f>+IF(O346&gt;0,INT(Fuelbeds_english!Q346*0.3048),O346)</f>
        <v>11</v>
      </c>
      <c r="R346" s="45">
        <f>+IF(O346&gt;0,INT(Fuelbeds_english!R346*0.3048),O346)</f>
        <v>2</v>
      </c>
      <c r="S346" s="45">
        <f>+IF(O346&gt;0,INT(Fuelbeds_english!S346*2.54),O346)</f>
        <v>19</v>
      </c>
      <c r="T346" s="36">
        <v>18035</v>
      </c>
      <c r="U346" s="36" t="s">
        <v>370</v>
      </c>
      <c r="V346" s="36">
        <v>100</v>
      </c>
      <c r="W346" s="36">
        <v>1</v>
      </c>
      <c r="X346" s="98">
        <v>4</v>
      </c>
      <c r="Y346" s="29">
        <v>33.490888954518603</v>
      </c>
      <c r="Z346" s="88" t="str">
        <f>+IF(Y346&gt;0,FIXED(Fuelbeds_english!Z346*0.3048,1,0),Y346)</f>
        <v>0.9</v>
      </c>
      <c r="AA346" s="46">
        <v>86</v>
      </c>
      <c r="AB346" s="50">
        <v>35431</v>
      </c>
      <c r="AC346" s="50" t="s">
        <v>383</v>
      </c>
      <c r="AD346" s="50">
        <v>100</v>
      </c>
      <c r="AE346" s="42">
        <v>32</v>
      </c>
      <c r="AF346" s="52" t="str">
        <f>+IF(AE346&gt;0,FIXED(Fuelbeds_english!AF346*0.3048,1,0),AE346)</f>
        <v>0.2</v>
      </c>
      <c r="AG346" s="45">
        <v>80</v>
      </c>
      <c r="AH346" s="52" t="str">
        <f>+IF(AE346&gt;0,FIXED(Fuelbeds_english!AH346*2.242,1,0),AE346)</f>
        <v>1.0</v>
      </c>
      <c r="AI346" s="45">
        <v>41491</v>
      </c>
      <c r="AJ346" s="45" t="s">
        <v>384</v>
      </c>
      <c r="AK346" s="45">
        <v>100</v>
      </c>
      <c r="AL346" s="34">
        <v>15.468468468468469</v>
      </c>
      <c r="AM346" s="52" t="str">
        <f>+IF(AL346&gt;0,FIXED(Fuelbeds_english!AM346*2.54,1,0),AL346)</f>
        <v>2.0</v>
      </c>
      <c r="AN346" s="52" t="str">
        <f>+IF($AM346&gt;0,FIXED(Fuelbeds_english!AN346*2.242,1,0),$AM346)</f>
        <v>0.1</v>
      </c>
      <c r="AO346" s="52" t="str">
        <f>+IF($AM346&gt;0,FIXED(Fuelbeds_english!AO346*2.242,1,0),$AM346)</f>
        <v>0.4</v>
      </c>
      <c r="AP346" s="52" t="str">
        <f>+IF($AM346&gt;0,FIXED(Fuelbeds_english!AP346*2.242,1,0),$AM346)</f>
        <v>0.7</v>
      </c>
      <c r="AQ346" s="52" t="str">
        <f>+IF($AM346&gt;0,FIXED(Fuelbeds_english!AQ346*2.242,1,0),$AM346)</f>
        <v>0.4</v>
      </c>
      <c r="AR346" s="45">
        <v>18035</v>
      </c>
      <c r="AS346" s="36" t="s">
        <v>370</v>
      </c>
      <c r="AT346" s="36">
        <v>100</v>
      </c>
      <c r="AU346" s="44">
        <v>-1</v>
      </c>
      <c r="AV346" s="52">
        <f>+IF(AU346&gt;0,FIXED(Fuelbeds_english!AV346*2.54,1,0),AU346)</f>
        <v>-1</v>
      </c>
      <c r="AW346" s="52">
        <v>-1</v>
      </c>
      <c r="AX346" s="52">
        <v>-1</v>
      </c>
      <c r="AY346" s="52">
        <f>+IF(AX346&gt;0,FIXED(Fuelbeds_english!AY346*2.54,1,0),AX346)</f>
        <v>-1</v>
      </c>
      <c r="AZ346" s="45">
        <v>1</v>
      </c>
      <c r="BA346" s="36">
        <v>17</v>
      </c>
      <c r="BB346" s="52" t="str">
        <f>+IF(BA346&gt;0,FIXED(Fuelbeds_english!BB346*2.54,1,0),BA346)</f>
        <v>1.3</v>
      </c>
      <c r="BC346" s="45">
        <v>100</v>
      </c>
      <c r="BD346" s="45">
        <v>-1</v>
      </c>
      <c r="BE346" s="45">
        <v>-1</v>
      </c>
      <c r="BF346" s="45">
        <v>-1</v>
      </c>
      <c r="BG346" s="45">
        <v>-1</v>
      </c>
      <c r="BH346" s="45">
        <v>-1</v>
      </c>
      <c r="BI346" s="45">
        <v>-1</v>
      </c>
      <c r="BJ346" s="28">
        <v>1</v>
      </c>
      <c r="BK346" s="36">
        <v>17</v>
      </c>
      <c r="BL346" s="52" t="str">
        <f>+IF(BK346&gt;0,FIXED(Fuelbeds_english!BL346*2.54,1,0),BK346)</f>
        <v>0.8</v>
      </c>
      <c r="BM346" s="45">
        <v>3</v>
      </c>
      <c r="BN346" s="36">
        <v>17</v>
      </c>
      <c r="BO346" s="52" t="str">
        <f>+IF(BN346&gt;0,FIXED(Fuelbeds_english!BO346*2.54,1,0),BN346)</f>
        <v>0.9</v>
      </c>
    </row>
    <row r="347" spans="1:67" s="50" customFormat="1" x14ac:dyDescent="0.25">
      <c r="A347" s="50">
        <v>346</v>
      </c>
      <c r="B347" s="36">
        <v>13110</v>
      </c>
      <c r="C347" s="46">
        <v>13110</v>
      </c>
      <c r="D347" s="22" t="s">
        <v>163</v>
      </c>
      <c r="E347" s="12" t="s">
        <v>9</v>
      </c>
      <c r="F347" s="39">
        <v>4.0999999999999996</v>
      </c>
      <c r="G347" s="36">
        <v>4.0999999999999996</v>
      </c>
      <c r="H347" s="45">
        <f>+IF(F347&gt;0,INT(Fuelbeds_english!H347*2.471),F347)</f>
        <v>15</v>
      </c>
      <c r="I347" s="36">
        <f>+IF(F347&gt;0,INT(Fuelbeds_english!I347*0.3048),F347)</f>
        <v>9</v>
      </c>
      <c r="J347" s="45">
        <f>+IF(F347&gt;0,INT(Fuelbeds_english!J347*0.3048),F347)</f>
        <v>0</v>
      </c>
      <c r="K347" s="45">
        <f>+IF(F347&gt;0,INT(Fuelbeds_english!K347*2.54),F347)</f>
        <v>48</v>
      </c>
      <c r="L347" s="36">
        <v>19276</v>
      </c>
      <c r="M347" s="36" t="s">
        <v>158</v>
      </c>
      <c r="N347" s="36">
        <v>100</v>
      </c>
      <c r="O347" s="36">
        <v>-1</v>
      </c>
      <c r="P347" s="45">
        <f>+IF(O347&gt;0,INT(Fuelbeds_english!P347*2.471),O347)</f>
        <v>-1</v>
      </c>
      <c r="Q347" s="36">
        <f>+IF(O347&gt;0,INT(Fuelbeds_english!Q347*0.3048),O347)</f>
        <v>-1</v>
      </c>
      <c r="R347" s="45">
        <f>+IF(O347&gt;0,INT(Fuelbeds_english!R347*0.3048),O347)</f>
        <v>-1</v>
      </c>
      <c r="S347" s="45">
        <f>+IF(O347&gt;0,INT(Fuelbeds_english!S347*2.54),O347)</f>
        <v>-1</v>
      </c>
      <c r="T347" s="36">
        <v>-1</v>
      </c>
      <c r="U347" s="36">
        <v>-1</v>
      </c>
      <c r="V347" s="36">
        <v>-1</v>
      </c>
      <c r="W347" s="36">
        <v>1</v>
      </c>
      <c r="X347" s="98">
        <v>4</v>
      </c>
      <c r="Y347" s="29">
        <v>47.204250000000002</v>
      </c>
      <c r="Z347" s="88" t="str">
        <f>+IF(Y347&gt;0,FIXED(Fuelbeds_english!Z347*0.3048,1,0),Y347)</f>
        <v>1.2</v>
      </c>
      <c r="AA347" s="46">
        <v>95</v>
      </c>
      <c r="AB347" s="50">
        <v>26417</v>
      </c>
      <c r="AC347" s="50" t="s">
        <v>147</v>
      </c>
      <c r="AD347" s="50">
        <v>100</v>
      </c>
      <c r="AE347" s="42">
        <v>16</v>
      </c>
      <c r="AF347" s="52" t="str">
        <f>+IF(AE347&gt;0,FIXED(Fuelbeds_english!AF347*0.3048,1,0),AE347)</f>
        <v>0.2</v>
      </c>
      <c r="AG347" s="36">
        <v>85</v>
      </c>
      <c r="AH347" s="52" t="str">
        <f>+IF(AE347&gt;0,FIXED(Fuelbeds_english!AH347*2.242,1,0),AE347)</f>
        <v>0.7</v>
      </c>
      <c r="AI347" s="45">
        <v>185323</v>
      </c>
      <c r="AJ347" s="45" t="s">
        <v>382</v>
      </c>
      <c r="AK347" s="45">
        <v>100</v>
      </c>
      <c r="AL347" s="34">
        <v>0.20499999999999999</v>
      </c>
      <c r="AM347" s="52" t="str">
        <f>+IF(AL347&gt;0,FIXED(Fuelbeds_english!AM347*2.54,1,0),AL347)</f>
        <v>15.2</v>
      </c>
      <c r="AN347" s="52" t="str">
        <f>+IF($AM347&gt;0,FIXED(Fuelbeds_english!AN347*2.242,1,0),$AM347)</f>
        <v>0.0</v>
      </c>
      <c r="AO347" s="52" t="str">
        <f>+IF($AM347&gt;0,FIXED(Fuelbeds_english!AO347*2.242,1,0),$AM347)</f>
        <v>0.1</v>
      </c>
      <c r="AP347" s="52" t="str">
        <f>+IF($AM347&gt;0,FIXED(Fuelbeds_english!AP347*2.242,1,0),$AM347)</f>
        <v>0.2</v>
      </c>
      <c r="AQ347" s="52" t="str">
        <f>+IF($AM347&gt;0,FIXED(Fuelbeds_english!AQ347*2.242,1,0),$AM347)</f>
        <v>0.2</v>
      </c>
      <c r="AR347" s="36">
        <v>19276</v>
      </c>
      <c r="AS347" s="36" t="s">
        <v>158</v>
      </c>
      <c r="AT347" s="36">
        <v>100</v>
      </c>
      <c r="AU347" s="44">
        <v>-1</v>
      </c>
      <c r="AV347" s="52">
        <f>+IF(AU347&gt;0,FIXED(Fuelbeds_english!AV347*2.54,1,0),AU347)</f>
        <v>-1</v>
      </c>
      <c r="AW347" s="52">
        <v>-1</v>
      </c>
      <c r="AX347" s="52">
        <v>-1</v>
      </c>
      <c r="AY347" s="52">
        <f>+IF(AX347&gt;0,FIXED(Fuelbeds_english!AY347*2.54,1,0),AX347)</f>
        <v>-1</v>
      </c>
      <c r="AZ347" s="45">
        <v>1</v>
      </c>
      <c r="BA347" s="36">
        <v>11.521662191847692</v>
      </c>
      <c r="BB347" s="52" t="str">
        <f>+IF(BA347&gt;0,FIXED(Fuelbeds_english!BB347*2.54,1,0),BA347)</f>
        <v>0.8</v>
      </c>
      <c r="BC347" s="45">
        <v>-1</v>
      </c>
      <c r="BD347" s="45">
        <v>-1</v>
      </c>
      <c r="BE347" s="45">
        <v>-1</v>
      </c>
      <c r="BF347" s="45">
        <v>100</v>
      </c>
      <c r="BG347" s="45">
        <v>-1</v>
      </c>
      <c r="BH347" s="45">
        <v>-1</v>
      </c>
      <c r="BI347" s="45">
        <v>-1</v>
      </c>
      <c r="BJ347" s="28">
        <v>-1</v>
      </c>
      <c r="BK347" s="36">
        <v>-1</v>
      </c>
      <c r="BL347" s="52">
        <f>+IF(BK347&gt;0,FIXED(Fuelbeds_english!BL347*2.54,1,0),BK347)</f>
        <v>-1</v>
      </c>
      <c r="BM347" s="36">
        <v>-1</v>
      </c>
      <c r="BN347" s="36">
        <v>-1</v>
      </c>
      <c r="BO347" s="52">
        <f>+IF(BN347&gt;0,FIXED(Fuelbeds_english!BO347*2.54,1,0),BN347)</f>
        <v>-1</v>
      </c>
    </row>
    <row r="348" spans="1:67" s="50" customFormat="1" x14ac:dyDescent="0.25">
      <c r="A348" s="50">
        <v>347</v>
      </c>
      <c r="B348" s="36">
        <v>13113</v>
      </c>
      <c r="C348" s="71">
        <v>13113</v>
      </c>
      <c r="D348" s="22" t="s">
        <v>163</v>
      </c>
      <c r="E348" s="34" t="s">
        <v>408</v>
      </c>
      <c r="F348" s="39">
        <v>3</v>
      </c>
      <c r="G348" s="36">
        <v>3</v>
      </c>
      <c r="H348" s="45">
        <f>+IF(F348&gt;0,INT(Fuelbeds_english!H348*2.471),F348)</f>
        <v>2</v>
      </c>
      <c r="I348" s="36">
        <f>+IF(F348&gt;0,INT(Fuelbeds_english!I348*0.3048),F348)</f>
        <v>6</v>
      </c>
      <c r="J348" s="45">
        <f>+IF(F348&gt;0,INT(Fuelbeds_english!J348*0.3048),F348)</f>
        <v>3</v>
      </c>
      <c r="K348" s="45">
        <f>+IF(F348&gt;0,INT(Fuelbeds_english!K348*2.54),F348)</f>
        <v>15</v>
      </c>
      <c r="L348" s="36">
        <v>26417</v>
      </c>
      <c r="M348" s="36" t="s">
        <v>147</v>
      </c>
      <c r="N348" s="36">
        <v>100</v>
      </c>
      <c r="O348" s="36">
        <v>-1</v>
      </c>
      <c r="P348" s="45">
        <f>+IF(O348&gt;0,INT(Fuelbeds_english!P348*2.471),O348)</f>
        <v>-1</v>
      </c>
      <c r="Q348" s="36">
        <f>+IF(O348&gt;0,INT(Fuelbeds_english!Q348*0.3048),O348)</f>
        <v>-1</v>
      </c>
      <c r="R348" s="45">
        <f>+IF(O348&gt;0,INT(Fuelbeds_english!R348*0.3048),O348)</f>
        <v>-1</v>
      </c>
      <c r="S348" s="45">
        <f>+IF(O348&gt;0,INT(Fuelbeds_english!S348*2.54),O348)</f>
        <v>-1</v>
      </c>
      <c r="T348" s="36">
        <v>-1</v>
      </c>
      <c r="U348" s="36">
        <v>-1</v>
      </c>
      <c r="V348" s="36">
        <v>-1</v>
      </c>
      <c r="W348" s="36">
        <v>-1</v>
      </c>
      <c r="X348" s="98">
        <v>-1</v>
      </c>
      <c r="Y348" s="81">
        <v>-1</v>
      </c>
      <c r="Z348" s="88">
        <f>+IF(Y348&gt;0,FIXED(Fuelbeds_english!Z348*0.3048,1,0),Y348)</f>
        <v>-1</v>
      </c>
      <c r="AA348" s="48">
        <v>-1</v>
      </c>
      <c r="AB348" s="10">
        <v>-1</v>
      </c>
      <c r="AC348" s="10">
        <v>-1</v>
      </c>
      <c r="AD348" s="10">
        <v>-1</v>
      </c>
      <c r="AE348" s="42">
        <v>62</v>
      </c>
      <c r="AF348" s="52" t="str">
        <f>+IF(AE348&gt;0,FIXED(Fuelbeds_english!AF348*0.3048,1,0),AE348)</f>
        <v>0.2</v>
      </c>
      <c r="AG348" s="45">
        <v>80</v>
      </c>
      <c r="AH348" s="52" t="str">
        <f>+IF(AE348&gt;0,FIXED(Fuelbeds_english!AH348*2.242,1,0),AE348)</f>
        <v>1.2</v>
      </c>
      <c r="AI348" s="45">
        <v>39369</v>
      </c>
      <c r="AJ348" s="45" t="s">
        <v>391</v>
      </c>
      <c r="AK348" s="45">
        <v>100</v>
      </c>
      <c r="AL348" s="34">
        <v>3.1</v>
      </c>
      <c r="AM348" s="52" t="str">
        <f>+IF(AL348&gt;0,FIXED(Fuelbeds_english!AM348*2.54,1,0),AL348)</f>
        <v>7.6</v>
      </c>
      <c r="AN348" s="52" t="str">
        <f>+IF($AM348&gt;0,FIXED(Fuelbeds_english!AN348*2.242,1,0),$AM348)</f>
        <v>0.0</v>
      </c>
      <c r="AO348" s="52" t="str">
        <f>+IF($AM348&gt;0,FIXED(Fuelbeds_english!AO348*2.242,1,0),$AM348)</f>
        <v>0.2</v>
      </c>
      <c r="AP348" s="52" t="str">
        <f>+IF($AM348&gt;0,FIXED(Fuelbeds_english!AP348*2.242,1,0),$AM348)</f>
        <v>0.4</v>
      </c>
      <c r="AQ348" s="52" t="str">
        <f>+IF($AM348&gt;0,FIXED(Fuelbeds_english!AQ348*2.242,1,0),$AM348)</f>
        <v>0.4</v>
      </c>
      <c r="AR348" s="36">
        <v>26417</v>
      </c>
      <c r="AS348" s="45" t="s">
        <v>147</v>
      </c>
      <c r="AT348" s="45">
        <v>100</v>
      </c>
      <c r="AU348" s="44">
        <v>-1</v>
      </c>
      <c r="AV348" s="52">
        <f>+IF(AU348&gt;0,FIXED(Fuelbeds_english!AV348*2.54,1,0),AU348)</f>
        <v>-1</v>
      </c>
      <c r="AW348" s="52">
        <v>-1</v>
      </c>
      <c r="AX348" s="52">
        <v>-1</v>
      </c>
      <c r="AY348" s="52">
        <f>+IF(AX348&gt;0,FIXED(Fuelbeds_english!AY348*2.54,1,0),AX348)</f>
        <v>-1</v>
      </c>
      <c r="AZ348" s="45">
        <v>1</v>
      </c>
      <c r="BA348" s="36">
        <v>4</v>
      </c>
      <c r="BB348" s="52" t="str">
        <f>+IF(BA348&gt;0,FIXED(Fuelbeds_english!BB348*2.54,1,0),BA348)</f>
        <v>4.6</v>
      </c>
      <c r="BC348" s="45">
        <v>-1</v>
      </c>
      <c r="BD348" s="45">
        <v>-1</v>
      </c>
      <c r="BE348" s="45">
        <v>-1</v>
      </c>
      <c r="BF348" s="45">
        <v>-1</v>
      </c>
      <c r="BG348" s="45">
        <v>100</v>
      </c>
      <c r="BH348" s="45">
        <v>-1</v>
      </c>
      <c r="BI348" s="45">
        <v>-1</v>
      </c>
      <c r="BJ348" s="28">
        <v>1</v>
      </c>
      <c r="BK348" s="36">
        <v>3.9</v>
      </c>
      <c r="BL348" s="52" t="str">
        <f>+IF(BK348&gt;0,FIXED(Fuelbeds_english!BL348*2.54,1,0),BK348)</f>
        <v>5.1</v>
      </c>
      <c r="BM348" s="45">
        <v>3</v>
      </c>
      <c r="BN348" s="36">
        <v>3.9</v>
      </c>
      <c r="BO348" s="52" t="str">
        <f>+IF(BN348&gt;0,FIXED(Fuelbeds_english!BO348*2.54,1,0),BN348)</f>
        <v>5.1</v>
      </c>
    </row>
    <row r="349" spans="1:67" s="50" customFormat="1" x14ac:dyDescent="0.25">
      <c r="A349" s="50">
        <v>348</v>
      </c>
      <c r="B349" s="36">
        <v>13120</v>
      </c>
      <c r="C349" s="46">
        <v>13120</v>
      </c>
      <c r="D349" s="22" t="s">
        <v>163</v>
      </c>
      <c r="E349" s="13" t="s">
        <v>8</v>
      </c>
      <c r="F349" s="39">
        <v>2.2999999999999998</v>
      </c>
      <c r="G349" s="36">
        <v>2.2999999999999998</v>
      </c>
      <c r="H349" s="45">
        <f>+IF(F349&gt;0,INT(Fuelbeds_english!H349*2.471),F349)</f>
        <v>8</v>
      </c>
      <c r="I349" s="36">
        <f>+IF(F349&gt;0,INT(Fuelbeds_english!I349*0.3048),F349)</f>
        <v>7</v>
      </c>
      <c r="J349" s="45">
        <f>+IF(F349&gt;0,INT(Fuelbeds_english!J349*0.3048),F349)</f>
        <v>0</v>
      </c>
      <c r="K349" s="45">
        <f>+IF(F349&gt;0,INT(Fuelbeds_english!K349*2.54),F349)</f>
        <v>41</v>
      </c>
      <c r="L349" s="36">
        <v>19276</v>
      </c>
      <c r="M349" s="36" t="s">
        <v>158</v>
      </c>
      <c r="N349" s="36">
        <v>100</v>
      </c>
      <c r="O349" s="36">
        <v>-1</v>
      </c>
      <c r="P349" s="45">
        <f>+IF(O349&gt;0,INT(Fuelbeds_english!P349*2.471),O349)</f>
        <v>-1</v>
      </c>
      <c r="Q349" s="36">
        <f>+IF(O349&gt;0,INT(Fuelbeds_english!Q349*0.3048),O349)</f>
        <v>-1</v>
      </c>
      <c r="R349" s="45">
        <f>+IF(O349&gt;0,INT(Fuelbeds_english!R349*0.3048),O349)</f>
        <v>-1</v>
      </c>
      <c r="S349" s="45">
        <f>+IF(O349&gt;0,INT(Fuelbeds_english!S349*2.54),O349)</f>
        <v>-1</v>
      </c>
      <c r="T349" s="36">
        <v>-1</v>
      </c>
      <c r="U349" s="36">
        <v>-1</v>
      </c>
      <c r="V349" s="36">
        <v>-1</v>
      </c>
      <c r="W349" s="36">
        <v>1</v>
      </c>
      <c r="X349" s="98">
        <v>4</v>
      </c>
      <c r="Y349" s="29">
        <v>35.356875000000002</v>
      </c>
      <c r="Z349" s="88" t="str">
        <f>+IF(Y349&gt;0,FIXED(Fuelbeds_english!Z349*0.3048,1,0),Y349)</f>
        <v>1.2</v>
      </c>
      <c r="AA349" s="46">
        <v>95</v>
      </c>
      <c r="AB349" s="50">
        <v>26417</v>
      </c>
      <c r="AC349" s="50" t="s">
        <v>147</v>
      </c>
      <c r="AD349" s="50">
        <v>100</v>
      </c>
      <c r="AE349" s="42">
        <v>12</v>
      </c>
      <c r="AF349" s="52" t="str">
        <f>+IF(AE349&gt;0,FIXED(Fuelbeds_english!AF349*0.3048,1,0),AE349)</f>
        <v>0.2</v>
      </c>
      <c r="AG349" s="36">
        <v>85</v>
      </c>
      <c r="AH349" s="52" t="str">
        <f>+IF(AE349&gt;0,FIXED(Fuelbeds_english!AH349*2.242,1,0),AE349)</f>
        <v>0.5</v>
      </c>
      <c r="AI349" s="45">
        <v>185323</v>
      </c>
      <c r="AJ349" s="45" t="s">
        <v>382</v>
      </c>
      <c r="AK349" s="45">
        <v>100</v>
      </c>
      <c r="AL349" s="34">
        <v>0.11499999999999999</v>
      </c>
      <c r="AM349" s="52" t="str">
        <f>+IF(AL349&gt;0,FIXED(Fuelbeds_english!AM349*2.54,1,0),AL349)</f>
        <v>15.2</v>
      </c>
      <c r="AN349" s="52" t="str">
        <f>+IF($AM349&gt;0,FIXED(Fuelbeds_english!AN349*2.242,1,0),$AM349)</f>
        <v>0.0</v>
      </c>
      <c r="AO349" s="52" t="str">
        <f>+IF($AM349&gt;0,FIXED(Fuelbeds_english!AO349*2.242,1,0),$AM349)</f>
        <v>0.1</v>
      </c>
      <c r="AP349" s="52" t="str">
        <f>+IF($AM349&gt;0,FIXED(Fuelbeds_english!AP349*2.242,1,0),$AM349)</f>
        <v>0.1</v>
      </c>
      <c r="AQ349" s="52" t="str">
        <f>+IF($AM349&gt;0,FIXED(Fuelbeds_english!AQ349*2.242,1,0),$AM349)</f>
        <v>0.1</v>
      </c>
      <c r="AR349" s="36">
        <v>19276</v>
      </c>
      <c r="AS349" s="36" t="s">
        <v>158</v>
      </c>
      <c r="AT349" s="36">
        <v>100</v>
      </c>
      <c r="AU349" s="44">
        <v>-1</v>
      </c>
      <c r="AV349" s="52">
        <f>+IF(AU349&gt;0,FIXED(Fuelbeds_english!AV349*2.54,1,0),AU349)</f>
        <v>-1</v>
      </c>
      <c r="AW349" s="52">
        <v>-1</v>
      </c>
      <c r="AX349" s="52">
        <v>-1</v>
      </c>
      <c r="AY349" s="52">
        <f>+IF(AX349&gt;0,FIXED(Fuelbeds_english!AY349*2.54,1,0),AX349)</f>
        <v>-1</v>
      </c>
      <c r="AZ349" s="45">
        <v>1</v>
      </c>
      <c r="BA349" s="36">
        <v>8.6299426409567985</v>
      </c>
      <c r="BB349" s="52" t="str">
        <f>+IF(BA349&gt;0,FIXED(Fuelbeds_english!BB349*2.54,1,0),BA349)</f>
        <v>0.8</v>
      </c>
      <c r="BC349" s="45">
        <v>-1</v>
      </c>
      <c r="BD349" s="45">
        <v>-1</v>
      </c>
      <c r="BE349" s="45">
        <v>-1</v>
      </c>
      <c r="BF349" s="45">
        <v>100</v>
      </c>
      <c r="BG349" s="45">
        <v>-1</v>
      </c>
      <c r="BH349" s="45">
        <v>-1</v>
      </c>
      <c r="BI349" s="45">
        <v>-1</v>
      </c>
      <c r="BJ349" s="28">
        <v>-1</v>
      </c>
      <c r="BK349" s="36">
        <v>-1</v>
      </c>
      <c r="BL349" s="52">
        <f>+IF(BK349&gt;0,FIXED(Fuelbeds_english!BL349*2.54,1,0),BK349)</f>
        <v>-1</v>
      </c>
      <c r="BM349" s="36">
        <v>-1</v>
      </c>
      <c r="BN349" s="36">
        <v>-1</v>
      </c>
      <c r="BO349" s="52">
        <f>+IF(BN349&gt;0,FIXED(Fuelbeds_english!BO349*2.54,1,0),BN349)</f>
        <v>-1</v>
      </c>
    </row>
    <row r="350" spans="1:67" s="50" customFormat="1" x14ac:dyDescent="0.25">
      <c r="A350" s="50">
        <v>349</v>
      </c>
      <c r="B350" s="36">
        <v>13123</v>
      </c>
      <c r="C350" s="71">
        <v>13123</v>
      </c>
      <c r="D350" s="22" t="s">
        <v>163</v>
      </c>
      <c r="E350" s="32" t="s">
        <v>403</v>
      </c>
      <c r="F350" s="39">
        <v>4</v>
      </c>
      <c r="G350" s="36">
        <v>4</v>
      </c>
      <c r="H350" s="45">
        <f>+IF(F350&gt;0,INT(Fuelbeds_english!H350*2.471),F350)</f>
        <v>2</v>
      </c>
      <c r="I350" s="36">
        <f>+IF(F350&gt;0,INT(Fuelbeds_english!I350*0.3048),F350)</f>
        <v>6</v>
      </c>
      <c r="J350" s="45">
        <f>+IF(F350&gt;0,INT(Fuelbeds_english!J350*0.3048),F350)</f>
        <v>4</v>
      </c>
      <c r="K350" s="45">
        <f>+IF(F350&gt;0,INT(Fuelbeds_english!K350*2.54),F350)</f>
        <v>15</v>
      </c>
      <c r="L350" s="36">
        <v>26417</v>
      </c>
      <c r="M350" s="36" t="s">
        <v>147</v>
      </c>
      <c r="N350" s="36">
        <v>100</v>
      </c>
      <c r="O350" s="36">
        <v>-1</v>
      </c>
      <c r="P350" s="45">
        <f>+IF(O350&gt;0,INT(Fuelbeds_english!P350*2.471),O350)</f>
        <v>-1</v>
      </c>
      <c r="Q350" s="36">
        <f>+IF(O350&gt;0,INT(Fuelbeds_english!Q350*0.3048),O350)</f>
        <v>-1</v>
      </c>
      <c r="R350" s="45">
        <f>+IF(O350&gt;0,INT(Fuelbeds_english!R350*0.3048),O350)</f>
        <v>-1</v>
      </c>
      <c r="S350" s="45">
        <f>+IF(O350&gt;0,INT(Fuelbeds_english!S350*2.54),O350)</f>
        <v>-1</v>
      </c>
      <c r="T350" s="36">
        <v>-1</v>
      </c>
      <c r="U350" s="36">
        <v>-1</v>
      </c>
      <c r="V350" s="36">
        <v>-1</v>
      </c>
      <c r="W350" s="36">
        <v>-1</v>
      </c>
      <c r="X350" s="98">
        <v>-1</v>
      </c>
      <c r="Y350" s="81">
        <v>-1</v>
      </c>
      <c r="Z350" s="88">
        <f>+IF(Y350&gt;0,FIXED(Fuelbeds_english!Z350*0.3048,1,0),Y350)</f>
        <v>-1</v>
      </c>
      <c r="AA350" s="48">
        <v>-1</v>
      </c>
      <c r="AB350" s="10">
        <v>-1</v>
      </c>
      <c r="AC350" s="10">
        <v>-1</v>
      </c>
      <c r="AD350" s="10">
        <v>-1</v>
      </c>
      <c r="AE350" s="42">
        <v>56</v>
      </c>
      <c r="AF350" s="52" t="str">
        <f>+IF(AE350&gt;0,FIXED(Fuelbeds_english!AF350*0.3048,1,0),AE350)</f>
        <v>0.2</v>
      </c>
      <c r="AG350" s="45">
        <v>80</v>
      </c>
      <c r="AH350" s="52" t="str">
        <f>+IF(AE350&gt;0,FIXED(Fuelbeds_english!AH350*2.242,1,0),AE350)</f>
        <v>1.1</v>
      </c>
      <c r="AI350" s="45">
        <v>39369</v>
      </c>
      <c r="AJ350" s="45" t="s">
        <v>391</v>
      </c>
      <c r="AK350" s="45">
        <v>100</v>
      </c>
      <c r="AL350" s="34">
        <v>3.6</v>
      </c>
      <c r="AM350" s="52" t="str">
        <f>+IF(AL350&gt;0,FIXED(Fuelbeds_english!AM350*2.54,1,0),AL350)</f>
        <v>7.6</v>
      </c>
      <c r="AN350" s="52" t="str">
        <f>+IF($AM350&gt;0,FIXED(Fuelbeds_english!AN350*2.242,1,0),$AM350)</f>
        <v>0.0</v>
      </c>
      <c r="AO350" s="52" t="str">
        <f>+IF($AM350&gt;0,FIXED(Fuelbeds_english!AO350*2.242,1,0),$AM350)</f>
        <v>0.2</v>
      </c>
      <c r="AP350" s="52" t="str">
        <f>+IF($AM350&gt;0,FIXED(Fuelbeds_english!AP350*2.242,1,0),$AM350)</f>
        <v>0.4</v>
      </c>
      <c r="AQ350" s="52" t="str">
        <f>+IF($AM350&gt;0,FIXED(Fuelbeds_english!AQ350*2.242,1,0),$AM350)</f>
        <v>0.4</v>
      </c>
      <c r="AR350" s="36">
        <v>26417</v>
      </c>
      <c r="AS350" s="45" t="s">
        <v>147</v>
      </c>
      <c r="AT350" s="45">
        <v>100</v>
      </c>
      <c r="AU350" s="44">
        <v>-1</v>
      </c>
      <c r="AV350" s="52">
        <f>+IF(AU350&gt;0,FIXED(Fuelbeds_english!AV350*2.54,1,0),AU350)</f>
        <v>-1</v>
      </c>
      <c r="AW350" s="52">
        <v>-1</v>
      </c>
      <c r="AX350" s="52">
        <v>-1</v>
      </c>
      <c r="AY350" s="52">
        <f>+IF(AX350&gt;0,FIXED(Fuelbeds_english!AY350*2.54,1,0),AX350)</f>
        <v>-1</v>
      </c>
      <c r="AZ350" s="45">
        <v>1</v>
      </c>
      <c r="BA350" s="36">
        <v>4</v>
      </c>
      <c r="BB350" s="52" t="str">
        <f>+IF(BA350&gt;0,FIXED(Fuelbeds_english!BB350*2.54,1,0),BA350)</f>
        <v>4.6</v>
      </c>
      <c r="BC350" s="45">
        <v>-1</v>
      </c>
      <c r="BD350" s="45">
        <v>-1</v>
      </c>
      <c r="BE350" s="45">
        <v>-1</v>
      </c>
      <c r="BF350" s="45">
        <v>-1</v>
      </c>
      <c r="BG350" s="45">
        <v>100</v>
      </c>
      <c r="BH350" s="45">
        <v>-1</v>
      </c>
      <c r="BI350" s="45">
        <v>-1</v>
      </c>
      <c r="BJ350" s="28">
        <v>1</v>
      </c>
      <c r="BK350" s="36">
        <v>4.4000000000000004</v>
      </c>
      <c r="BL350" s="52" t="str">
        <f>+IF(BK350&gt;0,FIXED(Fuelbeds_english!BL350*2.54,1,0),BK350)</f>
        <v>5.1</v>
      </c>
      <c r="BM350" s="45">
        <v>3</v>
      </c>
      <c r="BN350" s="36">
        <v>4.4000000000000004</v>
      </c>
      <c r="BO350" s="52" t="str">
        <f>+IF(BN350&gt;0,FIXED(Fuelbeds_english!BO350*2.54,1,0),BN350)</f>
        <v>5.1</v>
      </c>
    </row>
    <row r="351" spans="1:67" s="50" customFormat="1" x14ac:dyDescent="0.25">
      <c r="A351" s="50">
        <v>350</v>
      </c>
      <c r="B351" s="36">
        <v>13130</v>
      </c>
      <c r="C351" s="46">
        <v>13130</v>
      </c>
      <c r="D351" s="22" t="s">
        <v>163</v>
      </c>
      <c r="E351" s="14" t="s">
        <v>10</v>
      </c>
      <c r="F351" s="39">
        <v>-3</v>
      </c>
      <c r="G351" s="36">
        <v>-3</v>
      </c>
      <c r="H351" s="45">
        <f>+IF(F351&gt;0,INT(Fuelbeds_english!H351*2.471),F351)</f>
        <v>-3</v>
      </c>
      <c r="I351" s="36">
        <f>+IF(F351&gt;0,INT(Fuelbeds_english!I351*0.3048),F351)</f>
        <v>-3</v>
      </c>
      <c r="J351" s="45">
        <f>+IF(F351&gt;0,INT(Fuelbeds_english!J351*0.3048),F351)</f>
        <v>-3</v>
      </c>
      <c r="K351" s="45">
        <f>+IF(F351&gt;0,INT(Fuelbeds_english!K351*2.54),F351)</f>
        <v>-3</v>
      </c>
      <c r="L351" s="45">
        <v>-3</v>
      </c>
      <c r="M351" s="45">
        <v>-3</v>
      </c>
      <c r="N351" s="45">
        <v>-3</v>
      </c>
      <c r="O351" s="36">
        <v>-3</v>
      </c>
      <c r="P351" s="45">
        <f>+IF(O351&gt;0,INT(Fuelbeds_english!P351*2.471),O351)</f>
        <v>-3</v>
      </c>
      <c r="Q351" s="36">
        <f>+IF(O351&gt;0,INT(Fuelbeds_english!Q351*0.3048),O351)</f>
        <v>-3</v>
      </c>
      <c r="R351" s="45">
        <f>+IF(O351&gt;0,INT(Fuelbeds_english!R351*0.3048),O351)</f>
        <v>-3</v>
      </c>
      <c r="S351" s="45">
        <f>+IF(O351&gt;0,INT(Fuelbeds_english!S351*2.54),O351)</f>
        <v>-3</v>
      </c>
      <c r="T351" s="45">
        <v>-3</v>
      </c>
      <c r="U351" s="45">
        <v>-3</v>
      </c>
      <c r="V351" s="45">
        <v>-3</v>
      </c>
      <c r="W351" s="45">
        <v>-3</v>
      </c>
      <c r="X351" s="99">
        <v>-3</v>
      </c>
      <c r="Y351" s="29">
        <v>42.283900000000003</v>
      </c>
      <c r="Z351" s="88" t="str">
        <f>+IF(Y351&gt;0,FIXED(Fuelbeds_english!Z351*0.3048,1,0),Y351)</f>
        <v>1.1</v>
      </c>
      <c r="AA351" s="46">
        <v>47.5</v>
      </c>
      <c r="AB351" s="50">
        <v>26417</v>
      </c>
      <c r="AC351" s="50" t="s">
        <v>147</v>
      </c>
      <c r="AD351" s="50">
        <v>100</v>
      </c>
      <c r="AE351" s="42">
        <v>-3</v>
      </c>
      <c r="AF351" s="52">
        <f>+IF(AE351&gt;0,FIXED(Fuelbeds_english!AF351*0.3048,1,0),AE351)</f>
        <v>-3</v>
      </c>
      <c r="AG351" s="45">
        <v>-3</v>
      </c>
      <c r="AH351" s="52">
        <f>+IF(AE351&gt;0,FIXED(Fuelbeds_english!AH351*2.242,1,0),AE351)</f>
        <v>-3</v>
      </c>
      <c r="AI351" s="45">
        <v>-3</v>
      </c>
      <c r="AJ351" s="45">
        <v>-3</v>
      </c>
      <c r="AK351" s="45">
        <v>-3</v>
      </c>
      <c r="AL351" s="34">
        <v>5.2041723076923079</v>
      </c>
      <c r="AM351" s="52" t="str">
        <f>+IF(AL351&gt;0,FIXED(Fuelbeds_english!AM351*2.54,1,0),AL351)</f>
        <v>0.6</v>
      </c>
      <c r="AN351" s="52" t="str">
        <f>+IF($AM351&gt;0,FIXED(Fuelbeds_english!AN351*2.242,1,0),$AM351)</f>
        <v>0.6</v>
      </c>
      <c r="AO351" s="52" t="str">
        <f>+IF($AM351&gt;0,FIXED(Fuelbeds_english!AO351*2.242,1,0),$AM351)</f>
        <v>1.2</v>
      </c>
      <c r="AP351" s="52" t="str">
        <f>+IF($AM351&gt;0,FIXED(Fuelbeds_english!AP351*2.242,1,0),$AM351)</f>
        <v>0.0</v>
      </c>
      <c r="AQ351" s="52" t="str">
        <f>+IF($AM351&gt;0,FIXED(Fuelbeds_english!AQ351*2.242,1,0),$AM351)</f>
        <v>0.0</v>
      </c>
      <c r="AR351" s="36">
        <v>26417</v>
      </c>
      <c r="AS351" s="45" t="s">
        <v>147</v>
      </c>
      <c r="AT351" s="45">
        <v>100</v>
      </c>
      <c r="AU351" s="44">
        <v>-1</v>
      </c>
      <c r="AV351" s="52">
        <f>+IF(AU351&gt;0,FIXED(Fuelbeds_english!AV351*2.54,1,0),AU351)</f>
        <v>-1</v>
      </c>
      <c r="AW351" s="52">
        <v>-1</v>
      </c>
      <c r="AX351" s="52">
        <v>-1</v>
      </c>
      <c r="AY351" s="52">
        <f>+IF(AX351&gt;0,FIXED(Fuelbeds_english!AY351*2.54,1,0),AX351)</f>
        <v>-1</v>
      </c>
      <c r="AZ351" s="36">
        <v>-1</v>
      </c>
      <c r="BA351" s="36">
        <v>-1</v>
      </c>
      <c r="BB351" s="52">
        <f>+IF(BA351&gt;0,FIXED(Fuelbeds_english!BB351*2.54,1,0),BA351)</f>
        <v>-1</v>
      </c>
      <c r="BC351" s="36">
        <v>-1</v>
      </c>
      <c r="BD351" s="36">
        <v>-1</v>
      </c>
      <c r="BE351" s="36">
        <v>-1</v>
      </c>
      <c r="BF351" s="36">
        <v>-1</v>
      </c>
      <c r="BG351" s="36">
        <v>-1</v>
      </c>
      <c r="BH351" s="36">
        <v>-1</v>
      </c>
      <c r="BI351" s="36">
        <v>-1</v>
      </c>
      <c r="BJ351" s="28">
        <v>-1</v>
      </c>
      <c r="BK351" s="36">
        <v>-1</v>
      </c>
      <c r="BL351" s="52">
        <f>+IF(BK351&gt;0,FIXED(Fuelbeds_english!BL351*2.54,1,0),BK351)</f>
        <v>-1</v>
      </c>
      <c r="BM351" s="36">
        <v>-1</v>
      </c>
      <c r="BN351" s="36">
        <v>-1</v>
      </c>
      <c r="BO351" s="52">
        <f>+IF(BN351&gt;0,FIXED(Fuelbeds_english!BO351*2.54,1,0),BN351)</f>
        <v>-1</v>
      </c>
    </row>
    <row r="352" spans="1:67" s="50" customFormat="1" x14ac:dyDescent="0.25">
      <c r="A352" s="50">
        <v>351</v>
      </c>
      <c r="B352" s="36">
        <v>13133</v>
      </c>
      <c r="C352" s="71">
        <v>13133</v>
      </c>
      <c r="D352" s="22" t="s">
        <v>163</v>
      </c>
      <c r="E352" s="31" t="s">
        <v>405</v>
      </c>
      <c r="F352" s="39">
        <v>-3</v>
      </c>
      <c r="G352" s="45">
        <v>-3</v>
      </c>
      <c r="H352" s="45">
        <f>+IF(F352&gt;0,INT(Fuelbeds_english!H352*2.471),F352)</f>
        <v>-3</v>
      </c>
      <c r="I352" s="36">
        <f>+IF(F352&gt;0,INT(Fuelbeds_english!I352*0.3048),F352)</f>
        <v>-3</v>
      </c>
      <c r="J352" s="45">
        <f>+IF(F352&gt;0,INT(Fuelbeds_english!J352*0.3048),F352)</f>
        <v>-3</v>
      </c>
      <c r="K352" s="45">
        <f>+IF(F352&gt;0,INT(Fuelbeds_english!K352*2.54),F352)</f>
        <v>-3</v>
      </c>
      <c r="L352" s="45">
        <v>-3</v>
      </c>
      <c r="M352" s="45">
        <v>-3</v>
      </c>
      <c r="N352" s="45">
        <v>-3</v>
      </c>
      <c r="O352" s="45">
        <v>-3</v>
      </c>
      <c r="P352" s="45">
        <f>+IF(O352&gt;0,INT(Fuelbeds_english!P352*2.471),O352)</f>
        <v>-3</v>
      </c>
      <c r="Q352" s="36">
        <f>+IF(O352&gt;0,INT(Fuelbeds_english!Q352*0.3048),O352)</f>
        <v>-3</v>
      </c>
      <c r="R352" s="45">
        <f>+IF(O352&gt;0,INT(Fuelbeds_english!R352*0.3048),O352)</f>
        <v>-3</v>
      </c>
      <c r="S352" s="45">
        <f>+IF(O352&gt;0,INT(Fuelbeds_english!S352*2.54),O352)</f>
        <v>-3</v>
      </c>
      <c r="T352" s="45">
        <v>-3</v>
      </c>
      <c r="U352" s="45">
        <v>-3</v>
      </c>
      <c r="V352" s="45">
        <v>-3</v>
      </c>
      <c r="W352" s="45">
        <v>-3</v>
      </c>
      <c r="X352" s="99">
        <v>-3</v>
      </c>
      <c r="Y352" s="29">
        <v>59.77</v>
      </c>
      <c r="Z352" s="88" t="str">
        <f>+IF(Y352&gt;0,FIXED(Fuelbeds_english!Z352*0.3048,1,0),Y352)</f>
        <v>1.5</v>
      </c>
      <c r="AA352" s="46">
        <v>80</v>
      </c>
      <c r="AB352" s="50">
        <v>26417</v>
      </c>
      <c r="AC352" s="50" t="s">
        <v>147</v>
      </c>
      <c r="AD352" s="50">
        <v>100</v>
      </c>
      <c r="AE352" s="42">
        <v>-3</v>
      </c>
      <c r="AF352" s="52">
        <f>+IF(AE352&gt;0,FIXED(Fuelbeds_english!AF352*0.3048,1,0),AE352)</f>
        <v>-3</v>
      </c>
      <c r="AG352" s="45">
        <v>-3</v>
      </c>
      <c r="AH352" s="52">
        <f>+IF(AE352&gt;0,FIXED(Fuelbeds_english!AH352*2.242,1,0),AE352)</f>
        <v>-3</v>
      </c>
      <c r="AI352" s="45">
        <v>-3</v>
      </c>
      <c r="AJ352" s="45">
        <v>-3</v>
      </c>
      <c r="AK352" s="45">
        <v>-3</v>
      </c>
      <c r="AL352" s="34">
        <v>19.59681203703704</v>
      </c>
      <c r="AM352" s="52" t="str">
        <f>+IF(AL352&gt;0,FIXED(Fuelbeds_english!AM352*2.54,1,0),AL352)</f>
        <v>3.8</v>
      </c>
      <c r="AN352" s="52" t="str">
        <f>+IF($AM352&gt;0,FIXED(Fuelbeds_english!AN352*2.242,1,0),$AM352)</f>
        <v>0.8</v>
      </c>
      <c r="AO352" s="52" t="str">
        <f>+IF($AM352&gt;0,FIXED(Fuelbeds_english!AO352*2.242,1,0),$AM352)</f>
        <v>1.4</v>
      </c>
      <c r="AP352" s="52" t="str">
        <f>+IF($AM352&gt;0,FIXED(Fuelbeds_english!AP352*2.242,1,0),$AM352)</f>
        <v>0.6</v>
      </c>
      <c r="AQ352" s="52" t="str">
        <f>+IF($AM352&gt;0,FIXED(Fuelbeds_english!AQ352*2.242,1,0),$AM352)</f>
        <v>0.1</v>
      </c>
      <c r="AR352" s="45">
        <v>26417</v>
      </c>
      <c r="AS352" s="45" t="s">
        <v>147</v>
      </c>
      <c r="AT352" s="45">
        <v>100</v>
      </c>
      <c r="AU352" s="44">
        <v>-1</v>
      </c>
      <c r="AV352" s="52">
        <f>+IF(AU352&gt;0,FIXED(Fuelbeds_english!AV352*2.54,1,0),AU352)</f>
        <v>-1</v>
      </c>
      <c r="AW352" s="52">
        <v>-1</v>
      </c>
      <c r="AX352" s="52">
        <v>-1</v>
      </c>
      <c r="AY352" s="52">
        <f>+IF(AX352&gt;0,FIXED(Fuelbeds_english!AY352*2.54,1,0),AX352)</f>
        <v>-1</v>
      </c>
      <c r="AZ352" s="45">
        <v>1</v>
      </c>
      <c r="BA352" s="36">
        <v>100</v>
      </c>
      <c r="BB352" s="52" t="str">
        <f>+IF(BA352&gt;0,FIXED(Fuelbeds_english!BB352*2.54,1,0),BA352)</f>
        <v>1.9</v>
      </c>
      <c r="BC352" s="45">
        <v>-1</v>
      </c>
      <c r="BD352" s="45">
        <v>-1</v>
      </c>
      <c r="BE352" s="45">
        <v>-1</v>
      </c>
      <c r="BF352" s="45">
        <v>-1</v>
      </c>
      <c r="BG352" s="45">
        <v>100</v>
      </c>
      <c r="BH352" s="45">
        <v>-1</v>
      </c>
      <c r="BI352" s="45">
        <v>-1</v>
      </c>
      <c r="BJ352" s="28">
        <v>-1</v>
      </c>
      <c r="BK352" s="36">
        <v>-1</v>
      </c>
      <c r="BL352" s="52">
        <f>+IF(BK352&gt;0,FIXED(Fuelbeds_english!BL352*2.54,1,0),BK352)</f>
        <v>-1</v>
      </c>
      <c r="BM352" s="36">
        <v>-1</v>
      </c>
      <c r="BN352" s="36">
        <v>-1</v>
      </c>
      <c r="BO352" s="52">
        <f>+IF(BN352&gt;0,FIXED(Fuelbeds_english!BO352*2.54,1,0),BN352)</f>
        <v>-1</v>
      </c>
    </row>
    <row r="353" spans="1:67" s="50" customFormat="1" x14ac:dyDescent="0.25">
      <c r="A353" s="50">
        <v>352</v>
      </c>
      <c r="B353" s="36">
        <v>13140</v>
      </c>
      <c r="C353" s="46">
        <v>13140</v>
      </c>
      <c r="D353" s="22" t="s">
        <v>163</v>
      </c>
      <c r="E353" s="15" t="s">
        <v>14</v>
      </c>
      <c r="F353" s="39">
        <v>-3</v>
      </c>
      <c r="G353" s="36">
        <v>-3</v>
      </c>
      <c r="H353" s="45">
        <f>+IF(F353&gt;0,INT(Fuelbeds_english!H353*2.471),F353)</f>
        <v>-3</v>
      </c>
      <c r="I353" s="36">
        <f>+IF(F353&gt;0,INT(Fuelbeds_english!I353*0.3048),F353)</f>
        <v>-3</v>
      </c>
      <c r="J353" s="45">
        <f>+IF(F353&gt;0,INT(Fuelbeds_english!J353*0.3048),F353)</f>
        <v>-3</v>
      </c>
      <c r="K353" s="45">
        <f>+IF(F353&gt;0,INT(Fuelbeds_english!K353*2.54),F353)</f>
        <v>-3</v>
      </c>
      <c r="L353" s="45">
        <v>-3</v>
      </c>
      <c r="M353" s="45">
        <v>-3</v>
      </c>
      <c r="N353" s="45">
        <v>-3</v>
      </c>
      <c r="O353" s="36">
        <v>-3</v>
      </c>
      <c r="P353" s="45">
        <f>+IF(O353&gt;0,INT(Fuelbeds_english!P353*2.471),O353)</f>
        <v>-3</v>
      </c>
      <c r="Q353" s="36">
        <f>+IF(O353&gt;0,INT(Fuelbeds_english!Q353*0.3048),O353)</f>
        <v>-3</v>
      </c>
      <c r="R353" s="45">
        <f>+IF(O353&gt;0,INT(Fuelbeds_english!R353*0.3048),O353)</f>
        <v>-3</v>
      </c>
      <c r="S353" s="45">
        <f>+IF(O353&gt;0,INT(Fuelbeds_english!S353*2.54),O353)</f>
        <v>-3</v>
      </c>
      <c r="T353" s="45">
        <v>-3</v>
      </c>
      <c r="U353" s="45">
        <v>-3</v>
      </c>
      <c r="V353" s="45">
        <v>-3</v>
      </c>
      <c r="W353" s="45">
        <v>-3</v>
      </c>
      <c r="X353" s="99">
        <v>-3</v>
      </c>
      <c r="Y353" s="81">
        <v>-3</v>
      </c>
      <c r="Z353" s="88">
        <f>+IF(Y353&gt;0,FIXED(Fuelbeds_english!Z353*0.3048,1,0),Y353)</f>
        <v>-3</v>
      </c>
      <c r="AA353" s="48">
        <v>-3</v>
      </c>
      <c r="AB353" s="10">
        <v>-3</v>
      </c>
      <c r="AC353" s="10">
        <v>-3</v>
      </c>
      <c r="AD353" s="10">
        <v>-3</v>
      </c>
      <c r="AE353" s="42">
        <v>45</v>
      </c>
      <c r="AF353" s="52" t="str">
        <f>+IF(AE353&gt;0,FIXED(Fuelbeds_english!AF353*0.3048,1,0),AE353)</f>
        <v>0.2</v>
      </c>
      <c r="AG353" s="36">
        <v>75</v>
      </c>
      <c r="AH353" s="52" t="str">
        <f>+IF(AE353&gt;0,FIXED(Fuelbeds_english!AH353*2.242,1,0),AE353)</f>
        <v>0.2</v>
      </c>
      <c r="AI353" s="45">
        <v>185323</v>
      </c>
      <c r="AJ353" s="45" t="s">
        <v>382</v>
      </c>
      <c r="AK353" s="45">
        <v>100</v>
      </c>
      <c r="AL353" s="34">
        <v>-3</v>
      </c>
      <c r="AM353" s="52">
        <f>+IF(AL353&gt;0,FIXED(Fuelbeds_english!AM353*2.54,1,0),AL353)</f>
        <v>-3</v>
      </c>
      <c r="AN353" s="52">
        <f>+IF(AM353&gt;0,FIXED(Fuelbeds_english!AN353*0.3048,1,0),AM353)</f>
        <v>-3</v>
      </c>
      <c r="AO353" s="52">
        <f>+IF(AN353&gt;0,FIXED(Fuelbeds_english!AO353*0.3048,1,0),AN353)</f>
        <v>-3</v>
      </c>
      <c r="AP353" s="52">
        <f>+IF(AO353&gt;0,FIXED(Fuelbeds_english!AP353*0.3048,1,0),AO353)</f>
        <v>-3</v>
      </c>
      <c r="AQ353" s="52">
        <f>+IF(AP353&gt;0,FIXED(Fuelbeds_english!AQ353*0.3048,1,0),AP353)</f>
        <v>-3</v>
      </c>
      <c r="AR353" s="36">
        <v>-3</v>
      </c>
      <c r="AS353" s="45">
        <v>-3</v>
      </c>
      <c r="AT353" s="45">
        <v>-3</v>
      </c>
      <c r="AU353" s="44">
        <v>-1</v>
      </c>
      <c r="AV353" s="52">
        <f>+IF(AU353&gt;0,FIXED(Fuelbeds_english!AV353*2.54,1,0),AU353)</f>
        <v>-1</v>
      </c>
      <c r="AW353" s="52">
        <v>-1</v>
      </c>
      <c r="AX353" s="52">
        <v>-1</v>
      </c>
      <c r="AY353" s="52">
        <f>+IF(AX353&gt;0,FIXED(Fuelbeds_english!AY353*2.54,1,0),AX353)</f>
        <v>-1</v>
      </c>
      <c r="AZ353" s="36">
        <v>-1</v>
      </c>
      <c r="BA353" s="36">
        <v>-1</v>
      </c>
      <c r="BB353" s="52">
        <f>+IF(BA353&gt;0,FIXED(Fuelbeds_english!BB353*2.54,1,0),BA353)</f>
        <v>-1</v>
      </c>
      <c r="BC353" s="36">
        <v>-1</v>
      </c>
      <c r="BD353" s="36">
        <v>-1</v>
      </c>
      <c r="BE353" s="36">
        <v>-1</v>
      </c>
      <c r="BF353" s="36">
        <v>-1</v>
      </c>
      <c r="BG353" s="36">
        <v>-1</v>
      </c>
      <c r="BH353" s="36">
        <v>-1</v>
      </c>
      <c r="BI353" s="36">
        <v>-1</v>
      </c>
      <c r="BJ353" s="28">
        <v>-1</v>
      </c>
      <c r="BK353" s="36">
        <v>-1</v>
      </c>
      <c r="BL353" s="52">
        <f>+IF(BK353&gt;0,FIXED(Fuelbeds_english!BL353*2.54,1,0),BK353)</f>
        <v>-1</v>
      </c>
      <c r="BM353" s="36">
        <v>-1</v>
      </c>
      <c r="BN353" s="36">
        <v>-1</v>
      </c>
      <c r="BO353" s="52">
        <f>+IF(BN353&gt;0,FIXED(Fuelbeds_english!BO353*2.54,1,0),BN353)</f>
        <v>-1</v>
      </c>
    </row>
    <row r="354" spans="1:67" s="50" customFormat="1" x14ac:dyDescent="0.25">
      <c r="A354" s="50">
        <v>353</v>
      </c>
      <c r="B354" s="36">
        <v>13150</v>
      </c>
      <c r="C354" s="46">
        <v>13150</v>
      </c>
      <c r="D354" s="22" t="s">
        <v>163</v>
      </c>
      <c r="E354" s="18" t="s">
        <v>15</v>
      </c>
      <c r="F354" s="39">
        <v>-3</v>
      </c>
      <c r="G354" s="36">
        <v>-3</v>
      </c>
      <c r="H354" s="45">
        <f>+IF(F354&gt;0,INT(Fuelbeds_english!H354*2.471),F354)</f>
        <v>-3</v>
      </c>
      <c r="I354" s="36">
        <f>+IF(F354&gt;0,INT(Fuelbeds_english!I354*0.3048),F354)</f>
        <v>-3</v>
      </c>
      <c r="J354" s="45">
        <f>+IF(F354&gt;0,INT(Fuelbeds_english!J354*0.3048),F354)</f>
        <v>-3</v>
      </c>
      <c r="K354" s="45">
        <f>+IF(F354&gt;0,INT(Fuelbeds_english!K354*2.54),F354)</f>
        <v>-3</v>
      </c>
      <c r="L354" s="45">
        <v>-3</v>
      </c>
      <c r="M354" s="45">
        <v>-3</v>
      </c>
      <c r="N354" s="45">
        <v>-3</v>
      </c>
      <c r="O354" s="36">
        <v>-3</v>
      </c>
      <c r="P354" s="45">
        <f>+IF(O354&gt;0,INT(Fuelbeds_english!P354*2.471),O354)</f>
        <v>-3</v>
      </c>
      <c r="Q354" s="36">
        <f>+IF(O354&gt;0,INT(Fuelbeds_english!Q354*0.3048),O354)</f>
        <v>-3</v>
      </c>
      <c r="R354" s="45">
        <f>+IF(O354&gt;0,INT(Fuelbeds_english!R354*0.3048),O354)</f>
        <v>-3</v>
      </c>
      <c r="S354" s="45">
        <f>+IF(O354&gt;0,INT(Fuelbeds_english!S354*2.54),O354)</f>
        <v>-3</v>
      </c>
      <c r="T354" s="45">
        <v>-3</v>
      </c>
      <c r="U354" s="45">
        <v>-3</v>
      </c>
      <c r="V354" s="45">
        <v>-3</v>
      </c>
      <c r="W354" s="45">
        <v>-3</v>
      </c>
      <c r="X354" s="99">
        <v>-3</v>
      </c>
      <c r="Y354" s="29">
        <v>7.5</v>
      </c>
      <c r="Z354" s="88" t="str">
        <f>+IF(Y354&gt;0,FIXED(Fuelbeds_english!Z354*0.3048,1,0),Y354)</f>
        <v>1.1</v>
      </c>
      <c r="AA354" s="46">
        <v>47.5</v>
      </c>
      <c r="AB354" s="50">
        <v>26417</v>
      </c>
      <c r="AC354" s="50" t="s">
        <v>147</v>
      </c>
      <c r="AD354" s="50">
        <v>100</v>
      </c>
      <c r="AE354" s="42">
        <v>7.5</v>
      </c>
      <c r="AF354" s="52" t="str">
        <f>+IF(AE354&gt;0,FIXED(Fuelbeds_english!AF354*0.3048,1,0),AE354)</f>
        <v>0.2</v>
      </c>
      <c r="AG354" s="36">
        <v>75</v>
      </c>
      <c r="AH354" s="52" t="str">
        <f>+IF(AE354&gt;0,FIXED(Fuelbeds_english!AH354*2.242,1,0),AE354)</f>
        <v>0.0</v>
      </c>
      <c r="AI354" s="45">
        <v>185323</v>
      </c>
      <c r="AJ354" s="45" t="s">
        <v>382</v>
      </c>
      <c r="AK354" s="45">
        <v>100</v>
      </c>
      <c r="AL354" s="34">
        <v>-1</v>
      </c>
      <c r="AM354" s="52">
        <f>+IF(AL354&gt;0,FIXED(Fuelbeds_english!AM354*2.54,1,0),AL354)</f>
        <v>-1</v>
      </c>
      <c r="AN354" s="52">
        <f>+IF(AM354&gt;0,FIXED(Fuelbeds_english!AN354*0.3048,1,0),AM354)</f>
        <v>-1</v>
      </c>
      <c r="AO354" s="52">
        <f>+IF(AN354&gt;0,FIXED(Fuelbeds_english!AO354*0.3048,1,0),AN354)</f>
        <v>-1</v>
      </c>
      <c r="AP354" s="52">
        <f>+IF(AO354&gt;0,FIXED(Fuelbeds_english!AP354*0.3048,1,0),AO354)</f>
        <v>-1</v>
      </c>
      <c r="AQ354" s="52">
        <f>+IF(AP354&gt;0,FIXED(Fuelbeds_english!AQ354*0.3048,1,0),AP354)</f>
        <v>-1</v>
      </c>
      <c r="AR354" s="36">
        <v>-1</v>
      </c>
      <c r="AS354" s="36">
        <v>-1</v>
      </c>
      <c r="AT354" s="36">
        <v>-1</v>
      </c>
      <c r="AU354" s="44">
        <v>-1</v>
      </c>
      <c r="AV354" s="52">
        <f>+IF(AU354&gt;0,FIXED(Fuelbeds_english!AV354*2.54,1,0),AU354)</f>
        <v>-1</v>
      </c>
      <c r="AW354" s="52">
        <v>-1</v>
      </c>
      <c r="AX354" s="52">
        <v>-1</v>
      </c>
      <c r="AY354" s="52">
        <f>+IF(AX354&gt;0,FIXED(Fuelbeds_english!AY354*2.54,1,0),AX354)</f>
        <v>-1</v>
      </c>
      <c r="AZ354" s="36">
        <v>-1</v>
      </c>
      <c r="BA354" s="36">
        <v>-1</v>
      </c>
      <c r="BB354" s="52">
        <f>+IF(BA354&gt;0,FIXED(Fuelbeds_english!BB354*2.54,1,0),BA354)</f>
        <v>-1</v>
      </c>
      <c r="BC354" s="36">
        <v>-1</v>
      </c>
      <c r="BD354" s="36">
        <v>-1</v>
      </c>
      <c r="BE354" s="36">
        <v>-1</v>
      </c>
      <c r="BF354" s="36">
        <v>-1</v>
      </c>
      <c r="BG354" s="36">
        <v>-1</v>
      </c>
      <c r="BH354" s="36">
        <v>-1</v>
      </c>
      <c r="BI354" s="36">
        <v>-1</v>
      </c>
      <c r="BJ354" s="28">
        <v>-1</v>
      </c>
      <c r="BK354" s="36">
        <v>-1</v>
      </c>
      <c r="BL354" s="52">
        <f>+IF(BK354&gt;0,FIXED(Fuelbeds_english!BL354*2.54,1,0),BK354)</f>
        <v>-1</v>
      </c>
      <c r="BM354" s="36">
        <v>-1</v>
      </c>
      <c r="BN354" s="36">
        <v>-1</v>
      </c>
      <c r="BO354" s="52">
        <f>+IF(BN354&gt;0,FIXED(Fuelbeds_english!BO354*2.54,1,0),BN354)</f>
        <v>-1</v>
      </c>
    </row>
    <row r="355" spans="1:67" s="50" customFormat="1" x14ac:dyDescent="0.25">
      <c r="A355" s="50">
        <v>354</v>
      </c>
      <c r="B355" s="36">
        <v>14011</v>
      </c>
      <c r="C355" s="46">
        <v>14011</v>
      </c>
      <c r="D355" s="36" t="s">
        <v>2</v>
      </c>
      <c r="E355" s="25" t="s">
        <v>411</v>
      </c>
      <c r="F355" s="39">
        <v>-3</v>
      </c>
      <c r="G355" s="45">
        <v>-3</v>
      </c>
      <c r="H355" s="45">
        <f>+IF(F355&gt;0,INT(Fuelbeds_english!H355*2.471),F355)</f>
        <v>-3</v>
      </c>
      <c r="I355" s="36">
        <f>+IF(F355&gt;0,INT(Fuelbeds_english!I355*0.3048),F355)</f>
        <v>-3</v>
      </c>
      <c r="J355" s="45">
        <f>+IF(F355&gt;0,INT(Fuelbeds_english!J355*0.3048),F355)</f>
        <v>-3</v>
      </c>
      <c r="K355" s="45">
        <f>+IF(F355&gt;0,INT(Fuelbeds_english!K355*2.54),F355)</f>
        <v>-3</v>
      </c>
      <c r="L355" s="45">
        <v>-3</v>
      </c>
      <c r="M355" s="45">
        <v>-3</v>
      </c>
      <c r="N355" s="45">
        <v>-3</v>
      </c>
      <c r="O355" s="45">
        <v>-3</v>
      </c>
      <c r="P355" s="45">
        <f>+IF(O355&gt;0,INT(Fuelbeds_english!P355*2.471),O355)</f>
        <v>-3</v>
      </c>
      <c r="Q355" s="36">
        <f>+IF(O355&gt;0,INT(Fuelbeds_english!Q355*0.3048),O355)</f>
        <v>-3</v>
      </c>
      <c r="R355" s="45">
        <f>+IF(O355&gt;0,INT(Fuelbeds_english!R355*0.3048),O355)</f>
        <v>-3</v>
      </c>
      <c r="S355" s="45">
        <f>+IF(O355&gt;0,INT(Fuelbeds_english!S355*2.54),O355)</f>
        <v>-3</v>
      </c>
      <c r="T355" s="45">
        <v>-3</v>
      </c>
      <c r="U355" s="45">
        <v>-3</v>
      </c>
      <c r="V355" s="45">
        <v>-3</v>
      </c>
      <c r="W355" s="45">
        <v>-3</v>
      </c>
      <c r="X355" s="99">
        <v>-3</v>
      </c>
      <c r="Y355" s="81">
        <v>-3</v>
      </c>
      <c r="Z355" s="88">
        <f>+IF(Y355&gt;0,FIXED(Fuelbeds_english!Z355*0.3048,1,0),Y355)</f>
        <v>-3</v>
      </c>
      <c r="AA355" s="48">
        <v>-3</v>
      </c>
      <c r="AB355" s="10">
        <v>-3</v>
      </c>
      <c r="AC355" s="10">
        <v>-3</v>
      </c>
      <c r="AD355" s="10">
        <v>-3</v>
      </c>
      <c r="AE355" s="42">
        <v>100</v>
      </c>
      <c r="AF355" s="52" t="str">
        <f>+IF(AE355&gt;0,FIXED(Fuelbeds_english!AF355*0.3048,1,0),AE355)</f>
        <v>0.2</v>
      </c>
      <c r="AG355" s="45">
        <v>0</v>
      </c>
      <c r="AH355" s="52" t="str">
        <f>+IF(AE355&gt;0,FIXED(Fuelbeds_english!AH355*2.242,1,0),AE355)</f>
        <v>2.9</v>
      </c>
      <c r="AI355" s="45">
        <v>41976</v>
      </c>
      <c r="AJ355" s="45" t="s">
        <v>209</v>
      </c>
      <c r="AK355" s="45">
        <v>100</v>
      </c>
      <c r="AL355" s="34">
        <v>-3</v>
      </c>
      <c r="AM355" s="52">
        <f>+IF(AL355&gt;0,FIXED(Fuelbeds_english!AM355*2.54,1,0),AL355)</f>
        <v>-3</v>
      </c>
      <c r="AN355" s="52">
        <f>+IF(AM355&gt;0,FIXED(Fuelbeds_english!AN355*0.3048,1,0),AM355)</f>
        <v>-3</v>
      </c>
      <c r="AO355" s="52">
        <f>+IF(AN355&gt;0,FIXED(Fuelbeds_english!AO355*0.3048,1,0),AN355)</f>
        <v>-3</v>
      </c>
      <c r="AP355" s="52">
        <f>+IF(AO355&gt;0,FIXED(Fuelbeds_english!AP355*0.3048,1,0),AO355)</f>
        <v>-3</v>
      </c>
      <c r="AQ355" s="52">
        <f>+IF(AP355&gt;0,FIXED(Fuelbeds_english!AQ355*0.3048,1,0),AP355)</f>
        <v>-3</v>
      </c>
      <c r="AR355" s="36">
        <v>-3</v>
      </c>
      <c r="AS355" s="45">
        <v>-3</v>
      </c>
      <c r="AT355" s="45">
        <v>-3</v>
      </c>
      <c r="AU355" s="44">
        <v>-1</v>
      </c>
      <c r="AV355" s="52">
        <f>+IF(AU355&gt;0,FIXED(Fuelbeds_english!AV355*2.54,1,0),AU355)</f>
        <v>-1</v>
      </c>
      <c r="AW355" s="52">
        <v>-1</v>
      </c>
      <c r="AX355" s="52">
        <v>-1</v>
      </c>
      <c r="AY355" s="52">
        <f>+IF(AX355&gt;0,FIXED(Fuelbeds_english!AY355*2.54,1,0),AX355)</f>
        <v>-1</v>
      </c>
      <c r="AZ355" s="45">
        <v>2</v>
      </c>
      <c r="BA355" s="36">
        <v>65</v>
      </c>
      <c r="BB355" s="52" t="str">
        <f>+IF(BA355&gt;0,FIXED(Fuelbeds_english!BB355*2.54,1,0),BA355)</f>
        <v>1.3</v>
      </c>
      <c r="BC355" s="53">
        <v>-1</v>
      </c>
      <c r="BD355" s="53">
        <v>-1</v>
      </c>
      <c r="BE355" s="53">
        <v>-1</v>
      </c>
      <c r="BF355" s="53">
        <v>-1</v>
      </c>
      <c r="BG355" s="53">
        <v>-1</v>
      </c>
      <c r="BH355" s="53">
        <v>-1</v>
      </c>
      <c r="BI355" s="45">
        <v>100</v>
      </c>
      <c r="BJ355" s="28">
        <v>-1</v>
      </c>
      <c r="BK355" s="36">
        <v>-1</v>
      </c>
      <c r="BL355" s="52">
        <f>+IF(BK355&gt;0,FIXED(Fuelbeds_english!BL355*2.54,1,0),BK355)</f>
        <v>-1</v>
      </c>
      <c r="BM355" s="36">
        <v>-1</v>
      </c>
      <c r="BN355" s="36">
        <v>-1</v>
      </c>
      <c r="BO355" s="52">
        <f>+IF(BN355&gt;0,FIXED(Fuelbeds_english!BO355*2.54,1,0),BN355)</f>
        <v>-1</v>
      </c>
    </row>
    <row r="356" spans="1:67" s="50" customFormat="1" x14ac:dyDescent="0.25">
      <c r="A356" s="50">
        <v>355</v>
      </c>
      <c r="B356" s="36">
        <v>14021</v>
      </c>
      <c r="C356" s="36">
        <v>14021</v>
      </c>
      <c r="D356" s="36" t="s">
        <v>2</v>
      </c>
      <c r="E356" s="38" t="s">
        <v>426</v>
      </c>
      <c r="F356" s="39">
        <v>30.1968</v>
      </c>
      <c r="G356" s="36">
        <v>29.9</v>
      </c>
      <c r="H356" s="45">
        <f>+IF(F356&gt;0,INT(Fuelbeds_english!H356*2.471),F356)</f>
        <v>328</v>
      </c>
      <c r="I356" s="36">
        <f>+IF(F356&gt;0,INT(Fuelbeds_english!I356*0.3048),F356)</f>
        <v>14</v>
      </c>
      <c r="J356" s="45">
        <f>+IF(F356&gt;0,INT(Fuelbeds_english!J356*0.3048),F356)</f>
        <v>2</v>
      </c>
      <c r="K356" s="45">
        <f>+IF(F356&gt;0,INT(Fuelbeds_english!K356*2.54),F356)</f>
        <v>9</v>
      </c>
      <c r="L356" s="36">
        <v>27791</v>
      </c>
      <c r="M356" s="36" t="s">
        <v>135</v>
      </c>
      <c r="N356" s="36">
        <v>100</v>
      </c>
      <c r="O356" s="36">
        <v>-1</v>
      </c>
      <c r="P356" s="45">
        <f>+IF(O356&gt;0,INT(Fuelbeds_english!P356*2.471),O356)</f>
        <v>-1</v>
      </c>
      <c r="Q356" s="36">
        <f>+IF(O356&gt;0,INT(Fuelbeds_english!Q356*0.3048),O356)</f>
        <v>-1</v>
      </c>
      <c r="R356" s="45">
        <f>+IF(O356&gt;0,INT(Fuelbeds_english!R356*0.3048),O356)</f>
        <v>-1</v>
      </c>
      <c r="S356" s="45">
        <f>+IF(O356&gt;0,INT(Fuelbeds_english!S356*2.54),O356)</f>
        <v>-1</v>
      </c>
      <c r="T356" s="36">
        <v>-1</v>
      </c>
      <c r="U356" s="36">
        <v>-1</v>
      </c>
      <c r="V356" s="36">
        <v>-1</v>
      </c>
      <c r="W356" s="36">
        <v>1</v>
      </c>
      <c r="X356" s="98">
        <v>2</v>
      </c>
      <c r="Y356" s="29">
        <v>10</v>
      </c>
      <c r="Z356" s="88" t="str">
        <f>+IF(Y356&gt;0,FIXED(Fuelbeds_english!Z356*0.3048,1,0),Y356)</f>
        <v>3.0</v>
      </c>
      <c r="AA356" s="46">
        <v>80</v>
      </c>
      <c r="AB356" s="50">
        <v>27766</v>
      </c>
      <c r="AC356" s="50" t="s">
        <v>136</v>
      </c>
      <c r="AD356" s="50">
        <v>100</v>
      </c>
      <c r="AE356" s="42">
        <v>60</v>
      </c>
      <c r="AF356" s="52" t="str">
        <f>+IF(AE356&gt;0,FIXED(Fuelbeds_english!AF356*0.3048,1,0),AE356)</f>
        <v>0.2</v>
      </c>
      <c r="AG356" s="45">
        <v>0</v>
      </c>
      <c r="AH356" s="52" t="str">
        <f>+IF(AE356&gt;0,FIXED(Fuelbeds_english!AH356*2.242,1,0),AE356)</f>
        <v>1.7</v>
      </c>
      <c r="AI356" s="45">
        <v>41976</v>
      </c>
      <c r="AJ356" s="45" t="s">
        <v>209</v>
      </c>
      <c r="AK356" s="45">
        <v>100</v>
      </c>
      <c r="AL356" s="34">
        <v>9.9666666666666668</v>
      </c>
      <c r="AM356" s="52" t="str">
        <f>+IF(AL356&gt;0,FIXED(Fuelbeds_english!AM356*2.54,1,0),AL356)</f>
        <v>2.5</v>
      </c>
      <c r="AN356" s="52" t="str">
        <f>+IF($AM356&gt;0,FIXED(Fuelbeds_english!AN356*2.242,1,0),$AM356)</f>
        <v>0.2</v>
      </c>
      <c r="AO356" s="52" t="str">
        <f>+IF($AM356&gt;0,FIXED(Fuelbeds_english!AO356*2.242,1,0),$AM356)</f>
        <v>0.7</v>
      </c>
      <c r="AP356" s="52" t="str">
        <f>+IF($AM356&gt;0,FIXED(Fuelbeds_english!AP356*2.242,1,0),$AM356)</f>
        <v>3.1</v>
      </c>
      <c r="AQ356" s="52" t="str">
        <f>+IF($AM356&gt;0,FIXED(Fuelbeds_english!AQ356*2.242,1,0),$AM356)</f>
        <v>0.1</v>
      </c>
      <c r="AR356" s="36">
        <v>27791</v>
      </c>
      <c r="AS356" s="45" t="s">
        <v>135</v>
      </c>
      <c r="AT356" s="45">
        <v>100</v>
      </c>
      <c r="AU356" s="44">
        <v>-1</v>
      </c>
      <c r="AV356" s="52">
        <f>+IF(AU356&gt;0,FIXED(Fuelbeds_english!AV356*2.54,1,0),AU356)</f>
        <v>-1</v>
      </c>
      <c r="AW356" s="52">
        <v>-1</v>
      </c>
      <c r="AX356" s="52">
        <v>-1</v>
      </c>
      <c r="AY356" s="52">
        <f>+IF(AX356&gt;0,FIXED(Fuelbeds_english!AY356*2.54,1,0),AX356)</f>
        <v>-1</v>
      </c>
      <c r="AZ356" s="45">
        <v>2</v>
      </c>
      <c r="BA356" s="36">
        <v>55.611111111111114</v>
      </c>
      <c r="BB356" s="52" t="str">
        <f>+IF(BA356&gt;0,FIXED(Fuelbeds_english!BB356*2.54,1,0),BA356)</f>
        <v>0.6</v>
      </c>
      <c r="BC356" s="53">
        <v>-1</v>
      </c>
      <c r="BD356" s="53">
        <v>-1</v>
      </c>
      <c r="BE356" s="53">
        <v>-1</v>
      </c>
      <c r="BF356" s="53">
        <v>-1</v>
      </c>
      <c r="BG356" s="53">
        <v>40</v>
      </c>
      <c r="BH356" s="53">
        <v>-1</v>
      </c>
      <c r="BI356" s="45">
        <v>60</v>
      </c>
      <c r="BJ356" s="28">
        <v>1</v>
      </c>
      <c r="BK356" s="55">
        <v>29.9</v>
      </c>
      <c r="BL356" s="52" t="str">
        <f>+IF(BK356&gt;0,FIXED(Fuelbeds_english!BL356*2.54,1,0),BK356)</f>
        <v>25.4</v>
      </c>
      <c r="BM356" s="45">
        <v>4</v>
      </c>
      <c r="BN356" s="55">
        <v>29.9</v>
      </c>
      <c r="BO356" s="52" t="str">
        <f>+IF(BN356&gt;0,FIXED(Fuelbeds_english!BO356*2.54,1,0),BN356)</f>
        <v>25.4</v>
      </c>
    </row>
    <row r="357" spans="1:67" s="50" customFormat="1" x14ac:dyDescent="0.25">
      <c r="A357" s="50">
        <v>356</v>
      </c>
      <c r="B357" s="36">
        <v>14031</v>
      </c>
      <c r="C357" s="36">
        <v>14031</v>
      </c>
      <c r="D357" s="36" t="s">
        <v>2</v>
      </c>
      <c r="E357" s="39" t="s">
        <v>460</v>
      </c>
      <c r="F357" s="39">
        <v>26.8996</v>
      </c>
      <c r="G357" s="36">
        <v>26.5</v>
      </c>
      <c r="H357" s="45">
        <f>+IF(F357&gt;0,INT(Fuelbeds_english!H357*2.471),F357)</f>
        <v>291</v>
      </c>
      <c r="I357" s="36">
        <f>+IF(F357&gt;0,INT(Fuelbeds_english!I357*0.3048),F357)</f>
        <v>13</v>
      </c>
      <c r="J357" s="45">
        <f>+IF(F357&gt;0,INT(Fuelbeds_english!J357*0.3048),F357)</f>
        <v>2</v>
      </c>
      <c r="K357" s="45">
        <f>+IF(F357&gt;0,INT(Fuelbeds_english!K357*2.54),F357)</f>
        <v>8</v>
      </c>
      <c r="L357" s="36">
        <v>27791</v>
      </c>
      <c r="M357" s="36" t="s">
        <v>135</v>
      </c>
      <c r="N357" s="36">
        <v>100</v>
      </c>
      <c r="O357" s="36">
        <v>-1</v>
      </c>
      <c r="P357" s="45">
        <f>+IF(O357&gt;0,INT(Fuelbeds_english!P357*2.471),O357)</f>
        <v>-1</v>
      </c>
      <c r="Q357" s="36">
        <f>+IF(O357&gt;0,INT(Fuelbeds_english!Q357*0.3048),O357)</f>
        <v>-1</v>
      </c>
      <c r="R357" s="45">
        <f>+IF(O357&gt;0,INT(Fuelbeds_english!R357*0.3048),O357)</f>
        <v>-1</v>
      </c>
      <c r="S357" s="45">
        <f>+IF(O357&gt;0,INT(Fuelbeds_english!S357*2.54),O357)</f>
        <v>-1</v>
      </c>
      <c r="T357" s="36">
        <v>-1</v>
      </c>
      <c r="U357" s="36">
        <v>-1</v>
      </c>
      <c r="V357" s="36">
        <v>-1</v>
      </c>
      <c r="W357" s="36">
        <v>1</v>
      </c>
      <c r="X357" s="98">
        <v>2</v>
      </c>
      <c r="Y357" s="29">
        <v>43</v>
      </c>
      <c r="Z357" s="88" t="str">
        <f>+IF(Y357&gt;0,FIXED(Fuelbeds_english!Z357*0.3048,1,0),Y357)</f>
        <v>3.0</v>
      </c>
      <c r="AA357" s="46">
        <v>80</v>
      </c>
      <c r="AB357" s="50">
        <v>27766</v>
      </c>
      <c r="AC357" s="50" t="s">
        <v>136</v>
      </c>
      <c r="AD357" s="50">
        <v>100</v>
      </c>
      <c r="AE357" s="42">
        <v>30</v>
      </c>
      <c r="AF357" s="52" t="str">
        <f>+IF(AE357&gt;0,FIXED(Fuelbeds_english!AF357*0.3048,1,0),AE357)</f>
        <v>0.2</v>
      </c>
      <c r="AG357" s="45">
        <v>0</v>
      </c>
      <c r="AH357" s="52" t="str">
        <f>+IF(AE357&gt;0,FIXED(Fuelbeds_english!AH357*2.242,1,0),AE357)</f>
        <v>0.9</v>
      </c>
      <c r="AI357" s="45">
        <v>41976</v>
      </c>
      <c r="AJ357" s="45" t="s">
        <v>209</v>
      </c>
      <c r="AK357" s="45">
        <v>100</v>
      </c>
      <c r="AL357" s="34">
        <v>8.8333333333333339</v>
      </c>
      <c r="AM357" s="52" t="str">
        <f>+IF(AL357&gt;0,FIXED(Fuelbeds_english!AM357*2.54,1,0),AL357)</f>
        <v>2.5</v>
      </c>
      <c r="AN357" s="52" t="str">
        <f>+IF($AM357&gt;0,FIXED(Fuelbeds_english!AN357*2.242,1,0),$AM357)</f>
        <v>0.2</v>
      </c>
      <c r="AO357" s="52" t="str">
        <f>+IF($AM357&gt;0,FIXED(Fuelbeds_english!AO357*2.242,1,0),$AM357)</f>
        <v>0.7</v>
      </c>
      <c r="AP357" s="52" t="str">
        <f>+IF($AM357&gt;0,FIXED(Fuelbeds_english!AP357*2.242,1,0),$AM357)</f>
        <v>2.8</v>
      </c>
      <c r="AQ357" s="52" t="str">
        <f>+IF($AM357&gt;0,FIXED(Fuelbeds_english!AQ357*2.242,1,0),$AM357)</f>
        <v>0.1</v>
      </c>
      <c r="AR357" s="36">
        <v>27791</v>
      </c>
      <c r="AS357" s="45" t="s">
        <v>135</v>
      </c>
      <c r="AT357" s="45">
        <v>100</v>
      </c>
      <c r="AU357" s="44">
        <v>-1</v>
      </c>
      <c r="AV357" s="52">
        <f>+IF(AU357&gt;0,FIXED(Fuelbeds_english!AV357*2.54,1,0),AU357)</f>
        <v>-1</v>
      </c>
      <c r="AW357" s="52">
        <v>-1</v>
      </c>
      <c r="AX357" s="52">
        <v>-1</v>
      </c>
      <c r="AY357" s="52">
        <f>+IF(AX357&gt;0,FIXED(Fuelbeds_english!AY357*2.54,1,0),AX357)</f>
        <v>-1</v>
      </c>
      <c r="AZ357" s="45">
        <v>1</v>
      </c>
      <c r="BA357" s="36">
        <v>33.722222222222221</v>
      </c>
      <c r="BB357" s="52" t="str">
        <f>+IF(BA357&gt;0,FIXED(Fuelbeds_english!BB357*2.54,1,0),BA357)</f>
        <v>0.6</v>
      </c>
      <c r="BC357" s="53">
        <v>-1</v>
      </c>
      <c r="BD357" s="53">
        <v>-1</v>
      </c>
      <c r="BE357" s="53">
        <v>-1</v>
      </c>
      <c r="BF357" s="53">
        <v>-1</v>
      </c>
      <c r="BG357" s="53">
        <v>70</v>
      </c>
      <c r="BH357" s="53">
        <v>-1</v>
      </c>
      <c r="BI357" s="45">
        <v>30</v>
      </c>
      <c r="BJ357" s="28">
        <v>1</v>
      </c>
      <c r="BK357" s="55">
        <v>26.5</v>
      </c>
      <c r="BL357" s="52" t="str">
        <f>+IF(BK357&gt;0,FIXED(Fuelbeds_english!BL357*2.54,1,0),BK357)</f>
        <v>25.4</v>
      </c>
      <c r="BM357" s="45">
        <v>4</v>
      </c>
      <c r="BN357" s="55">
        <v>26.5</v>
      </c>
      <c r="BO357" s="52" t="str">
        <f>+IF(BN357&gt;0,FIXED(Fuelbeds_english!BO357*2.54,1,0),BN357)</f>
        <v>25.4</v>
      </c>
    </row>
    <row r="358" spans="1:67" s="50" customFormat="1" x14ac:dyDescent="0.25">
      <c r="A358" s="50">
        <v>357</v>
      </c>
      <c r="B358" s="52" t="s">
        <v>326</v>
      </c>
      <c r="C358" s="68">
        <v>9114170</v>
      </c>
      <c r="D358" s="36" t="s">
        <v>2</v>
      </c>
      <c r="E358" s="80" t="s">
        <v>12</v>
      </c>
      <c r="F358" s="39">
        <v>14.5</v>
      </c>
      <c r="G358" s="36">
        <v>14.5</v>
      </c>
      <c r="H358" s="45">
        <f>+IF(F358&gt;0,INT(Fuelbeds_english!H358*2.471),F358)</f>
        <v>158</v>
      </c>
      <c r="I358" s="36">
        <f>+IF(F358&gt;0,INT(Fuelbeds_english!I358*0.3048),F358)</f>
        <v>17</v>
      </c>
      <c r="J358" s="45">
        <f>+IF(F358&gt;0,INT(Fuelbeds_english!J358*0.3048),F358)</f>
        <v>3</v>
      </c>
      <c r="K358" s="45">
        <f>+IF(F358&gt;0,INT(Fuelbeds_english!K358*2.54),F358)</f>
        <v>10</v>
      </c>
      <c r="L358" s="45">
        <v>27791</v>
      </c>
      <c r="M358" s="36" t="s">
        <v>135</v>
      </c>
      <c r="N358" s="36">
        <v>100</v>
      </c>
      <c r="O358" s="36">
        <v>-1</v>
      </c>
      <c r="P358" s="45">
        <f>+IF(O358&gt;0,INT(Fuelbeds_english!P358*2.471),O358)</f>
        <v>-1</v>
      </c>
      <c r="Q358" s="36">
        <f>+IF(O358&gt;0,INT(Fuelbeds_english!Q358*0.3048),O358)</f>
        <v>-1</v>
      </c>
      <c r="R358" s="45">
        <f>+IF(O358&gt;0,INT(Fuelbeds_english!R358*0.3048),O358)</f>
        <v>-1</v>
      </c>
      <c r="S358" s="45">
        <f>+IF(O358&gt;0,INT(Fuelbeds_english!S358*2.54),O358)</f>
        <v>-1</v>
      </c>
      <c r="T358" s="36">
        <v>-1</v>
      </c>
      <c r="U358" s="36">
        <v>-1</v>
      </c>
      <c r="V358" s="36">
        <v>-1</v>
      </c>
      <c r="W358" s="36">
        <v>1</v>
      </c>
      <c r="X358" s="98">
        <v>2</v>
      </c>
      <c r="Y358" s="29">
        <v>42.75</v>
      </c>
      <c r="Z358" s="88" t="str">
        <f>+IF(Y358&gt;0,FIXED(Fuelbeds_english!Z358*0.3048,1,0),Y358)</f>
        <v>3.0</v>
      </c>
      <c r="AA358" s="46">
        <v>80</v>
      </c>
      <c r="AB358" s="50">
        <v>27766</v>
      </c>
      <c r="AC358" s="50" t="s">
        <v>136</v>
      </c>
      <c r="AD358" s="50">
        <v>100</v>
      </c>
      <c r="AE358" s="42">
        <v>43</v>
      </c>
      <c r="AF358" s="52" t="str">
        <f>+IF(AE358&gt;0,FIXED(Fuelbeds_english!AF358*0.3048,1,0),AE358)</f>
        <v>0.3</v>
      </c>
      <c r="AG358" s="45">
        <v>80</v>
      </c>
      <c r="AH358" s="52" t="str">
        <f>+IF(AE358&gt;0,FIXED(Fuelbeds_english!AH358*2.242,1,0),AE358)</f>
        <v>0.6</v>
      </c>
      <c r="AI358" s="45">
        <v>20646</v>
      </c>
      <c r="AJ358" s="45" t="s">
        <v>331</v>
      </c>
      <c r="AK358" s="45">
        <v>100</v>
      </c>
      <c r="AL358" s="34">
        <v>4.8</v>
      </c>
      <c r="AM358" s="52" t="str">
        <f>+IF(AL358&gt;0,FIXED(Fuelbeds_english!AM358*2.54,1,0),AL358)</f>
        <v>2.5</v>
      </c>
      <c r="AN358" s="52" t="str">
        <f>+IF($AM358&gt;0,FIXED(Fuelbeds_english!AN358*2.242,1,0),$AM358)</f>
        <v>0.1</v>
      </c>
      <c r="AO358" s="52" t="str">
        <f>+IF($AM358&gt;0,FIXED(Fuelbeds_english!AO358*2.242,1,0),$AM358)</f>
        <v>0.4</v>
      </c>
      <c r="AP358" s="52" t="str">
        <f>+IF($AM358&gt;0,FIXED(Fuelbeds_english!AP358*2.242,1,0),$AM358)</f>
        <v>1.5</v>
      </c>
      <c r="AQ358" s="52" t="str">
        <f>+IF($AM358&gt;0,FIXED(Fuelbeds_english!AQ358*2.242,1,0),$AM358)</f>
        <v>0.1</v>
      </c>
      <c r="AR358" s="45">
        <v>27791</v>
      </c>
      <c r="AS358" s="36" t="s">
        <v>135</v>
      </c>
      <c r="AT358" s="36">
        <v>100</v>
      </c>
      <c r="AU358" s="44">
        <v>-1</v>
      </c>
      <c r="AV358" s="52">
        <f>+IF(AU358&gt;0,FIXED(Fuelbeds_english!AV358*2.54,1,0),AU358)</f>
        <v>-1</v>
      </c>
      <c r="AW358" s="52">
        <v>-1</v>
      </c>
      <c r="AX358" s="52">
        <v>-1</v>
      </c>
      <c r="AY358" s="52">
        <f>+IF(AX358&gt;0,FIXED(Fuelbeds_english!AY358*2.54,1,0),AX358)</f>
        <v>-1</v>
      </c>
      <c r="AZ358" s="45">
        <v>1</v>
      </c>
      <c r="BA358" s="36">
        <v>8.1</v>
      </c>
      <c r="BB358" s="52" t="str">
        <f>+IF(BA358&gt;0,FIXED(Fuelbeds_english!BB358*2.54,1,0),BA358)</f>
        <v>0.6</v>
      </c>
      <c r="BC358" s="45">
        <v>-1</v>
      </c>
      <c r="BD358" s="45">
        <v>-1</v>
      </c>
      <c r="BE358" s="45">
        <v>-1</v>
      </c>
      <c r="BF358" s="45">
        <v>-1</v>
      </c>
      <c r="BG358" s="45">
        <v>100</v>
      </c>
      <c r="BH358" s="45">
        <v>-1</v>
      </c>
      <c r="BI358" s="45">
        <v>-1</v>
      </c>
      <c r="BJ358" s="28">
        <v>1</v>
      </c>
      <c r="BK358" s="36">
        <v>14.5</v>
      </c>
      <c r="BL358" s="52" t="str">
        <f>+IF(BK358&gt;0,FIXED(Fuelbeds_english!BL358*2.54,1,0),BK358)</f>
        <v>25.4</v>
      </c>
      <c r="BM358" s="45">
        <v>4</v>
      </c>
      <c r="BN358" s="36">
        <v>14.5</v>
      </c>
      <c r="BO358" s="52" t="str">
        <f>+IF(BN358&gt;0,FIXED(Fuelbeds_english!BO358*2.54,1,0),BN358)</f>
        <v>25.4</v>
      </c>
    </row>
    <row r="359" spans="1:67" s="50" customFormat="1" x14ac:dyDescent="0.25">
      <c r="A359" s="50">
        <v>358</v>
      </c>
      <c r="B359" s="52" t="s">
        <v>327</v>
      </c>
      <c r="C359" s="68">
        <v>9214170</v>
      </c>
      <c r="D359" s="36" t="s">
        <v>2</v>
      </c>
      <c r="E359" s="80" t="s">
        <v>12</v>
      </c>
      <c r="F359" s="39">
        <v>55.5</v>
      </c>
      <c r="G359" s="36">
        <v>55.5</v>
      </c>
      <c r="H359" s="45">
        <f>+IF(F359&gt;0,INT(Fuelbeds_english!H359*2.471),F359)</f>
        <v>610</v>
      </c>
      <c r="I359" s="36">
        <f>+IF(F359&gt;0,INT(Fuelbeds_english!I359*0.3048),F359)</f>
        <v>16</v>
      </c>
      <c r="J359" s="45">
        <f>+IF(F359&gt;0,INT(Fuelbeds_english!J359*0.3048),F359)</f>
        <v>3</v>
      </c>
      <c r="K359" s="45">
        <f>+IF(F359&gt;0,INT(Fuelbeds_english!K359*2.54),F359)</f>
        <v>10</v>
      </c>
      <c r="L359" s="45">
        <v>27791</v>
      </c>
      <c r="M359" s="36" t="s">
        <v>135</v>
      </c>
      <c r="N359" s="36">
        <v>100</v>
      </c>
      <c r="O359" s="36">
        <v>-1</v>
      </c>
      <c r="P359" s="45">
        <f>+IF(O359&gt;0,INT(Fuelbeds_english!P359*2.471),O359)</f>
        <v>-1</v>
      </c>
      <c r="Q359" s="36">
        <f>+IF(O359&gt;0,INT(Fuelbeds_english!Q359*0.3048),O359)</f>
        <v>-1</v>
      </c>
      <c r="R359" s="45">
        <f>+IF(O359&gt;0,INT(Fuelbeds_english!R359*0.3048),O359)</f>
        <v>-1</v>
      </c>
      <c r="S359" s="45">
        <f>+IF(O359&gt;0,INT(Fuelbeds_english!S359*2.54),O359)</f>
        <v>-1</v>
      </c>
      <c r="T359" s="36">
        <v>-1</v>
      </c>
      <c r="U359" s="36">
        <v>-1</v>
      </c>
      <c r="V359" s="36">
        <v>-1</v>
      </c>
      <c r="W359" s="36">
        <v>1</v>
      </c>
      <c r="X359" s="98">
        <v>2</v>
      </c>
      <c r="Y359" s="29">
        <v>22.25</v>
      </c>
      <c r="Z359" s="88" t="str">
        <f>+IF(Y359&gt;0,FIXED(Fuelbeds_english!Z359*0.3048,1,0),Y359)</f>
        <v>3.0</v>
      </c>
      <c r="AA359" s="46">
        <v>80</v>
      </c>
      <c r="AB359" s="50">
        <v>27766</v>
      </c>
      <c r="AC359" s="50" t="s">
        <v>136</v>
      </c>
      <c r="AD359" s="50">
        <v>100</v>
      </c>
      <c r="AE359" s="42">
        <v>22</v>
      </c>
      <c r="AF359" s="52" t="str">
        <f>+IF(AE359&gt;0,FIXED(Fuelbeds_english!AF359*0.3048,1,0),AE359)</f>
        <v>0.3</v>
      </c>
      <c r="AG359" s="45">
        <v>80</v>
      </c>
      <c r="AH359" s="52" t="str">
        <f>+IF(AE359&gt;0,FIXED(Fuelbeds_english!AH359*2.242,1,0),AE359)</f>
        <v>0.6</v>
      </c>
      <c r="AI359" s="45">
        <v>20646</v>
      </c>
      <c r="AJ359" s="45" t="s">
        <v>331</v>
      </c>
      <c r="AK359" s="45">
        <v>100</v>
      </c>
      <c r="AL359" s="34">
        <v>18.5</v>
      </c>
      <c r="AM359" s="52" t="str">
        <f>+IF(AL359&gt;0,FIXED(Fuelbeds_english!AM359*2.54,1,0),AL359)</f>
        <v>2.5</v>
      </c>
      <c r="AN359" s="52" t="str">
        <f>+IF($AM359&gt;0,FIXED(Fuelbeds_english!AN359*2.242,1,0),$AM359)</f>
        <v>0.3</v>
      </c>
      <c r="AO359" s="52" t="str">
        <f>+IF($AM359&gt;0,FIXED(Fuelbeds_english!AO359*2.242,1,0),$AM359)</f>
        <v>1.4</v>
      </c>
      <c r="AP359" s="52" t="str">
        <f>+IF($AM359&gt;0,FIXED(Fuelbeds_english!AP359*2.242,1,0),$AM359)</f>
        <v>5.8</v>
      </c>
      <c r="AQ359" s="52" t="str">
        <f>+IF($AM359&gt;0,FIXED(Fuelbeds_english!AQ359*2.242,1,0),$AM359)</f>
        <v>0.3</v>
      </c>
      <c r="AR359" s="45">
        <v>27791</v>
      </c>
      <c r="AS359" s="36" t="s">
        <v>135</v>
      </c>
      <c r="AT359" s="36">
        <v>100</v>
      </c>
      <c r="AU359" s="44">
        <v>-1</v>
      </c>
      <c r="AV359" s="52">
        <f>+IF(AU359&gt;0,FIXED(Fuelbeds_english!AV359*2.54,1,0),AU359)</f>
        <v>-1</v>
      </c>
      <c r="AW359" s="52">
        <v>-1</v>
      </c>
      <c r="AX359" s="52">
        <v>-1</v>
      </c>
      <c r="AY359" s="52">
        <f>+IF(AX359&gt;0,FIXED(Fuelbeds_english!AY359*2.54,1,0),AX359)</f>
        <v>-1</v>
      </c>
      <c r="AZ359" s="45">
        <v>1</v>
      </c>
      <c r="BA359" s="36">
        <v>31</v>
      </c>
      <c r="BB359" s="52" t="str">
        <f>+IF(BA359&gt;0,FIXED(Fuelbeds_english!BB359*2.54,1,0),BA359)</f>
        <v>0.6</v>
      </c>
      <c r="BC359" s="45">
        <v>-1</v>
      </c>
      <c r="BD359" s="45">
        <v>-1</v>
      </c>
      <c r="BE359" s="45">
        <v>-1</v>
      </c>
      <c r="BF359" s="45">
        <v>-1</v>
      </c>
      <c r="BG359" s="45">
        <v>100</v>
      </c>
      <c r="BH359" s="45">
        <v>-1</v>
      </c>
      <c r="BI359" s="45">
        <v>-1</v>
      </c>
      <c r="BJ359" s="28">
        <v>1</v>
      </c>
      <c r="BK359" s="36">
        <v>55.5</v>
      </c>
      <c r="BL359" s="52" t="str">
        <f>+IF(BK359&gt;0,FIXED(Fuelbeds_english!BL359*2.54,1,0),BK359)</f>
        <v>25.4</v>
      </c>
      <c r="BM359" s="45">
        <v>4</v>
      </c>
      <c r="BN359" s="36">
        <v>55.5</v>
      </c>
      <c r="BO359" s="52" t="str">
        <f>+IF(BN359&gt;0,FIXED(Fuelbeds_english!BO359*2.54,1,0),BN359)</f>
        <v>25.4</v>
      </c>
    </row>
    <row r="360" spans="1:67" s="50" customFormat="1" x14ac:dyDescent="0.25">
      <c r="A360" s="50">
        <v>359</v>
      </c>
      <c r="B360" s="52" t="s">
        <v>328</v>
      </c>
      <c r="C360" s="68">
        <v>9314170</v>
      </c>
      <c r="D360" s="36" t="s">
        <v>2</v>
      </c>
      <c r="E360" s="80" t="s">
        <v>12</v>
      </c>
      <c r="F360" s="39">
        <v>77.3</v>
      </c>
      <c r="G360" s="36">
        <v>77.3</v>
      </c>
      <c r="H360" s="45">
        <f>+IF(F360&gt;0,INT(Fuelbeds_english!H360*2.471),F360)</f>
        <v>850</v>
      </c>
      <c r="I360" s="36">
        <f>+IF(F360&gt;0,INT(Fuelbeds_english!I360*0.3048),F360)</f>
        <v>21</v>
      </c>
      <c r="J360" s="45">
        <f>+IF(F360&gt;0,INT(Fuelbeds_english!J360*0.3048),F360)</f>
        <v>4</v>
      </c>
      <c r="K360" s="45">
        <f>+IF(F360&gt;0,INT(Fuelbeds_english!K360*2.54),F360)</f>
        <v>12</v>
      </c>
      <c r="L360" s="45">
        <v>27791</v>
      </c>
      <c r="M360" s="36" t="s">
        <v>135</v>
      </c>
      <c r="N360" s="36">
        <v>100</v>
      </c>
      <c r="O360" s="36">
        <v>-1</v>
      </c>
      <c r="P360" s="45">
        <f>+IF(O360&gt;0,INT(Fuelbeds_english!P360*2.471),O360)</f>
        <v>-1</v>
      </c>
      <c r="Q360" s="36">
        <f>+IF(O360&gt;0,INT(Fuelbeds_english!Q360*0.3048),O360)</f>
        <v>-1</v>
      </c>
      <c r="R360" s="45">
        <f>+IF(O360&gt;0,INT(Fuelbeds_english!R360*0.3048),O360)</f>
        <v>-1</v>
      </c>
      <c r="S360" s="45">
        <f>+IF(O360&gt;0,INT(Fuelbeds_english!S360*2.54),O360)</f>
        <v>-1</v>
      </c>
      <c r="T360" s="36">
        <v>-1</v>
      </c>
      <c r="U360" s="36">
        <v>-1</v>
      </c>
      <c r="V360" s="36">
        <v>-1</v>
      </c>
      <c r="W360" s="36">
        <v>1</v>
      </c>
      <c r="X360" s="98">
        <v>2</v>
      </c>
      <c r="Y360" s="29">
        <v>11.350000000000001</v>
      </c>
      <c r="Z360" s="88" t="str">
        <f>+IF(Y360&gt;0,FIXED(Fuelbeds_english!Z360*0.3048,1,0),Y360)</f>
        <v>3.0</v>
      </c>
      <c r="AA360" s="46">
        <v>80</v>
      </c>
      <c r="AB360" s="50">
        <v>27766</v>
      </c>
      <c r="AC360" s="50" t="s">
        <v>136</v>
      </c>
      <c r="AD360" s="50">
        <v>100</v>
      </c>
      <c r="AE360" s="42">
        <v>11</v>
      </c>
      <c r="AF360" s="52" t="str">
        <f>+IF(AE360&gt;0,FIXED(Fuelbeds_english!AF360*0.3048,1,0),AE360)</f>
        <v>0.3</v>
      </c>
      <c r="AG360" s="45">
        <v>80</v>
      </c>
      <c r="AH360" s="52" t="str">
        <f>+IF(AE360&gt;0,FIXED(Fuelbeds_english!AH360*2.242,1,0),AE360)</f>
        <v>0.6</v>
      </c>
      <c r="AI360" s="45">
        <v>20646</v>
      </c>
      <c r="AJ360" s="45" t="s">
        <v>331</v>
      </c>
      <c r="AK360" s="45">
        <v>100</v>
      </c>
      <c r="AL360" s="34">
        <v>25.8</v>
      </c>
      <c r="AM360" s="52" t="str">
        <f>+IF(AL360&gt;0,FIXED(Fuelbeds_english!AM360*2.54,1,0),AL360)</f>
        <v>2.5</v>
      </c>
      <c r="AN360" s="52" t="str">
        <f>+IF($AM360&gt;0,FIXED(Fuelbeds_english!AN360*2.242,1,0),$AM360)</f>
        <v>0.5</v>
      </c>
      <c r="AO360" s="52" t="str">
        <f>+IF($AM360&gt;0,FIXED(Fuelbeds_english!AO360*2.242,1,0),$AM360)</f>
        <v>1.9</v>
      </c>
      <c r="AP360" s="52" t="str">
        <f>+IF($AM360&gt;0,FIXED(Fuelbeds_english!AP360*2.242,1,0),$AM360)</f>
        <v>8.1</v>
      </c>
      <c r="AQ360" s="52" t="str">
        <f>+IF($AM360&gt;0,FIXED(Fuelbeds_english!AQ360*2.242,1,0),$AM360)</f>
        <v>0.4</v>
      </c>
      <c r="AR360" s="45">
        <v>27791</v>
      </c>
      <c r="AS360" s="36" t="s">
        <v>135</v>
      </c>
      <c r="AT360" s="36">
        <v>100</v>
      </c>
      <c r="AU360" s="44">
        <v>-1</v>
      </c>
      <c r="AV360" s="52">
        <f>+IF(AU360&gt;0,FIXED(Fuelbeds_english!AV360*2.54,1,0),AU360)</f>
        <v>-1</v>
      </c>
      <c r="AW360" s="52">
        <v>-1</v>
      </c>
      <c r="AX360" s="52">
        <v>-1</v>
      </c>
      <c r="AY360" s="52">
        <f>+IF(AX360&gt;0,FIXED(Fuelbeds_english!AY360*2.54,1,0),AX360)</f>
        <v>-1</v>
      </c>
      <c r="AZ360" s="45">
        <v>1</v>
      </c>
      <c r="BA360" s="36">
        <v>43</v>
      </c>
      <c r="BB360" s="52" t="str">
        <f>+IF(BA360&gt;0,FIXED(Fuelbeds_english!BB360*2.54,1,0),BA360)</f>
        <v>0.6</v>
      </c>
      <c r="BC360" s="45">
        <v>-1</v>
      </c>
      <c r="BD360" s="45">
        <v>-1</v>
      </c>
      <c r="BE360" s="45">
        <v>-1</v>
      </c>
      <c r="BF360" s="45">
        <v>-1</v>
      </c>
      <c r="BG360" s="45">
        <v>100</v>
      </c>
      <c r="BH360" s="45">
        <v>-1</v>
      </c>
      <c r="BI360" s="45">
        <v>-1</v>
      </c>
      <c r="BJ360" s="28">
        <v>1</v>
      </c>
      <c r="BK360" s="36">
        <v>77.3</v>
      </c>
      <c r="BL360" s="52" t="str">
        <f>+IF(BK360&gt;0,FIXED(Fuelbeds_english!BL360*2.54,1,0),BK360)</f>
        <v>25.4</v>
      </c>
      <c r="BM360" s="45">
        <v>4</v>
      </c>
      <c r="BN360" s="36">
        <v>77.3</v>
      </c>
      <c r="BO360" s="52" t="str">
        <f>+IF(BN360&gt;0,FIXED(Fuelbeds_english!BO360*2.54,1,0),BN360)</f>
        <v>25.4</v>
      </c>
    </row>
  </sheetData>
  <conditionalFormatting sqref="G1:X1048576">
    <cfRule type="cellIs" dxfId="26" priority="25" operator="equal">
      <formula>-3</formula>
    </cfRule>
    <cfRule type="cellIs" dxfId="25" priority="26" operator="equal">
      <formula>-1</formula>
    </cfRule>
  </conditionalFormatting>
  <conditionalFormatting sqref="Z10:Z360">
    <cfRule type="cellIs" dxfId="24" priority="23" operator="equal">
      <formula>-3</formula>
    </cfRule>
    <cfRule type="cellIs" dxfId="23" priority="24" operator="equal">
      <formula>-1</formula>
    </cfRule>
  </conditionalFormatting>
  <conditionalFormatting sqref="AF1:AK1048576">
    <cfRule type="cellIs" dxfId="22" priority="22" operator="lessThan">
      <formula>0</formula>
    </cfRule>
  </conditionalFormatting>
  <conditionalFormatting sqref="AM1:AT9 AM46:AT46 AM10:AM45 AR10:AT45 AM50:AT56 AM47:AM49 AR47:AT49 AM79:AT79 AM57:AM78 AR57:AT78 AM92:AT98 AM80:AM91 AR80:AT91 AM143:AT143 AM99:AM142 AR99:AT142 AM145:AT147 AM144 AR144:AT144 AM172:AT173 AM148:AM171 AR148:AT171 AM197:AT197 AM174:AM196 AR174:AT196 AM199:AT207 AM198 AR198:AT198 AM247:AT247 AM208:AM246 AR208:AT246 AM251:AT256 AM248:AM250 AR248:AT250 AM287:AT289 AM257:AM286 AR257:AT286 AM301:AT307 AM290:AM300 AR290:AT300 AM326:AT326 AM308:AM325 AR308:AT325 AM328:AT334 AM327 AR327:AT327 AM353:AT355 AM335:AM352 AR335:AT352 AM361:AT1048576 AM356:AM360 AR356:AT360">
    <cfRule type="cellIs" dxfId="21" priority="20" operator="lessThan">
      <formula>0</formula>
    </cfRule>
  </conditionalFormatting>
  <conditionalFormatting sqref="AV1:BI1048576">
    <cfRule type="cellIs" dxfId="20" priority="19" operator="lessThan">
      <formula>0</formula>
    </cfRule>
  </conditionalFormatting>
  <conditionalFormatting sqref="BK1:BO1048576">
    <cfRule type="cellIs" dxfId="19" priority="18" operator="lessThan">
      <formula>0</formula>
    </cfRule>
  </conditionalFormatting>
  <conditionalFormatting sqref="AN10:AQ45">
    <cfRule type="cellIs" dxfId="18" priority="17" operator="lessThan">
      <formula>0</formula>
    </cfRule>
  </conditionalFormatting>
  <conditionalFormatting sqref="AN47:AQ49">
    <cfRule type="cellIs" dxfId="17" priority="16" operator="lessThan">
      <formula>0</formula>
    </cfRule>
  </conditionalFormatting>
  <conditionalFormatting sqref="AN57:AQ78">
    <cfRule type="cellIs" dxfId="16" priority="15" operator="lessThan">
      <formula>0</formula>
    </cfRule>
  </conditionalFormatting>
  <conditionalFormatting sqref="AN80:AQ91">
    <cfRule type="cellIs" dxfId="15" priority="14" operator="lessThan">
      <formula>0</formula>
    </cfRule>
  </conditionalFormatting>
  <conditionalFormatting sqref="AN99:AQ142">
    <cfRule type="cellIs" dxfId="14" priority="13" operator="lessThan">
      <formula>0</formula>
    </cfRule>
  </conditionalFormatting>
  <conditionalFormatting sqref="AN144:AQ144">
    <cfRule type="cellIs" dxfId="13" priority="12" operator="lessThan">
      <formula>0</formula>
    </cfRule>
  </conditionalFormatting>
  <conditionalFormatting sqref="AN148:AQ171">
    <cfRule type="cellIs" dxfId="12" priority="11" operator="lessThan">
      <formula>0</formula>
    </cfRule>
  </conditionalFormatting>
  <conditionalFormatting sqref="AN174:AQ196">
    <cfRule type="cellIs" dxfId="11" priority="10" operator="lessThan">
      <formula>0</formula>
    </cfRule>
  </conditionalFormatting>
  <conditionalFormatting sqref="AN198:AQ198">
    <cfRule type="cellIs" dxfId="10" priority="9" operator="lessThan">
      <formula>0</formula>
    </cfRule>
  </conditionalFormatting>
  <conditionalFormatting sqref="AN208:AQ246">
    <cfRule type="cellIs" dxfId="9" priority="8" operator="lessThan">
      <formula>0</formula>
    </cfRule>
  </conditionalFormatting>
  <conditionalFormatting sqref="AN248:AQ250">
    <cfRule type="cellIs" dxfId="8" priority="7" operator="lessThan">
      <formula>0</formula>
    </cfRule>
  </conditionalFormatting>
  <conditionalFormatting sqref="AN257:AQ286">
    <cfRule type="cellIs" dxfId="7" priority="6" operator="lessThan">
      <formula>0</formula>
    </cfRule>
  </conditionalFormatting>
  <conditionalFormatting sqref="AN290:AQ300">
    <cfRule type="cellIs" dxfId="6" priority="5" operator="lessThan">
      <formula>0</formula>
    </cfRule>
  </conditionalFormatting>
  <conditionalFormatting sqref="AN308:AQ325">
    <cfRule type="cellIs" dxfId="5" priority="4" operator="lessThan">
      <formula>0</formula>
    </cfRule>
  </conditionalFormatting>
  <conditionalFormatting sqref="AN327:AQ327">
    <cfRule type="cellIs" dxfId="4" priority="3" operator="lessThan">
      <formula>0</formula>
    </cfRule>
  </conditionalFormatting>
  <conditionalFormatting sqref="AN335:AQ352">
    <cfRule type="cellIs" dxfId="3" priority="2" operator="lessThan">
      <formula>0</formula>
    </cfRule>
  </conditionalFormatting>
  <conditionalFormatting sqref="AN356:AQ360">
    <cfRule type="cellIs" dxfId="2"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60"/>
  <sheetViews>
    <sheetView zoomScale="70" zoomScaleNormal="70" workbookViewId="0">
      <pane xSplit="5" ySplit="1" topLeftCell="J332" activePane="bottomRight" state="frozen"/>
      <selection pane="topRight" activeCell="D1" sqref="D1"/>
      <selection pane="bottomLeft" activeCell="A2" sqref="A2"/>
      <selection pane="bottomRight" activeCell="X2" sqref="X2:X360"/>
    </sheetView>
  </sheetViews>
  <sheetFormatPr baseColWidth="10" defaultRowHeight="15" x14ac:dyDescent="0.25"/>
  <cols>
    <col min="1" max="1" width="5.42578125" style="50" customWidth="1"/>
    <col min="2" max="2" width="7.28515625" style="36" customWidth="1"/>
    <col min="3" max="3" width="10.140625" style="46" customWidth="1"/>
    <col min="4" max="4" width="37.85546875" style="36" customWidth="1"/>
    <col min="5" max="5" width="39.28515625" style="46" customWidth="1"/>
    <col min="6" max="6" width="14.140625" style="39" customWidth="1"/>
    <col min="7" max="7" width="14.140625" style="36" customWidth="1"/>
    <col min="8" max="12" width="13" style="36" customWidth="1"/>
    <col min="13" max="13" width="22.7109375" style="36" customWidth="1"/>
    <col min="14" max="14" width="13.85546875" style="36" customWidth="1"/>
    <col min="15" max="15" width="14.140625" style="36" customWidth="1"/>
    <col min="16" max="20" width="13" style="36" customWidth="1"/>
    <col min="21" max="21" width="29.85546875" style="36" customWidth="1"/>
    <col min="22" max="22" width="13.85546875" style="36" customWidth="1"/>
    <col min="23" max="24" width="13" style="36" customWidth="1"/>
    <col min="25" max="25" width="14.85546875" style="29" customWidth="1"/>
    <col min="26" max="26" width="16.7109375" style="47" customWidth="1"/>
    <col min="27" max="27" width="16.42578125" style="46" customWidth="1"/>
    <col min="28" max="28" width="11.42578125" style="50" customWidth="1"/>
    <col min="29" max="29" width="26.5703125" style="50" customWidth="1"/>
    <col min="30" max="30" width="13.42578125" style="50" customWidth="1"/>
    <col min="31" max="31" width="14.7109375" style="42" customWidth="1"/>
    <col min="32" max="32" width="11.42578125" style="43" customWidth="1"/>
    <col min="33" max="33" width="11.42578125" style="36" customWidth="1"/>
    <col min="34" max="34" width="11.42578125" style="35" customWidth="1"/>
    <col min="35" max="35" width="11.42578125" style="50"/>
    <col min="36" max="36" width="25.28515625" style="50" customWidth="1"/>
    <col min="37" max="37" width="11.42578125" style="50"/>
    <col min="38" max="38" width="15.85546875" style="34" customWidth="1"/>
    <col min="39" max="39" width="16.85546875" style="43" customWidth="1"/>
    <col min="40" max="42" width="11.42578125" style="35"/>
    <col min="43" max="43" width="11.42578125" style="85"/>
    <col min="44" max="44" width="15.7109375" style="46" customWidth="1"/>
    <col min="45" max="45" width="17.85546875" style="50" customWidth="1"/>
    <col min="46" max="46" width="10.85546875" style="50" customWidth="1"/>
    <col min="47" max="47" width="13" style="44" customWidth="1"/>
    <col min="48" max="49" width="13" style="45" customWidth="1"/>
    <col min="50" max="50" width="13" style="36" customWidth="1"/>
    <col min="51" max="52" width="13" style="45" customWidth="1"/>
    <col min="53" max="53" width="14.28515625" style="36" customWidth="1"/>
    <col min="54" max="54" width="12.42578125" style="43" customWidth="1"/>
    <col min="55" max="61" width="11.42578125" style="45"/>
    <col min="62" max="62" width="11.42578125" style="28"/>
    <col min="63" max="63" width="11.42578125" style="36"/>
    <col min="64" max="64" width="11.42578125" style="43"/>
    <col min="65" max="65" width="11.42578125" style="45"/>
    <col min="66" max="66" width="11.42578125" style="36"/>
    <col min="67" max="67" width="11.42578125" style="43"/>
    <col min="68" max="68" width="11.42578125" style="45"/>
    <col min="69" max="16384" width="11.42578125" style="50"/>
  </cols>
  <sheetData>
    <row r="1" spans="1:68" x14ac:dyDescent="0.25">
      <c r="A1" s="50" t="s">
        <v>330</v>
      </c>
      <c r="B1" s="36" t="s">
        <v>42</v>
      </c>
      <c r="C1" s="46" t="s">
        <v>329</v>
      </c>
      <c r="D1" s="36" t="s">
        <v>0</v>
      </c>
      <c r="E1" s="46" t="s">
        <v>1</v>
      </c>
      <c r="F1" s="39" t="s">
        <v>18</v>
      </c>
      <c r="G1" s="36" t="s">
        <v>165</v>
      </c>
      <c r="H1" s="36" t="s">
        <v>196</v>
      </c>
      <c r="I1" s="36" t="s">
        <v>194</v>
      </c>
      <c r="J1" s="36" t="s">
        <v>195</v>
      </c>
      <c r="K1" s="36" t="s">
        <v>197</v>
      </c>
      <c r="L1" s="36" t="s">
        <v>166</v>
      </c>
      <c r="M1" s="36" t="s">
        <v>167</v>
      </c>
      <c r="N1" s="36" t="s">
        <v>168</v>
      </c>
      <c r="O1" s="36" t="s">
        <v>169</v>
      </c>
      <c r="P1" s="36" t="s">
        <v>200</v>
      </c>
      <c r="Q1" s="36" t="s">
        <v>198</v>
      </c>
      <c r="R1" s="36" t="s">
        <v>199</v>
      </c>
      <c r="S1" s="36" t="s">
        <v>201</v>
      </c>
      <c r="T1" s="36" t="s">
        <v>170</v>
      </c>
      <c r="U1" s="36" t="s">
        <v>171</v>
      </c>
      <c r="V1" s="36" t="s">
        <v>172</v>
      </c>
      <c r="W1" s="36" t="s">
        <v>19</v>
      </c>
      <c r="X1" s="36" t="s">
        <v>20</v>
      </c>
      <c r="Y1" s="29" t="s">
        <v>21</v>
      </c>
      <c r="Z1" s="47" t="s">
        <v>127</v>
      </c>
      <c r="AA1" s="46" t="s">
        <v>22</v>
      </c>
      <c r="AB1" s="47" t="s">
        <v>23</v>
      </c>
      <c r="AC1" s="47" t="s">
        <v>24</v>
      </c>
      <c r="AD1" s="47" t="s">
        <v>26</v>
      </c>
      <c r="AE1" s="42" t="s">
        <v>25</v>
      </c>
      <c r="AF1" s="43" t="s">
        <v>128</v>
      </c>
      <c r="AG1" s="36" t="s">
        <v>27</v>
      </c>
      <c r="AH1" s="35" t="s">
        <v>129</v>
      </c>
      <c r="AI1" s="47" t="s">
        <v>28</v>
      </c>
      <c r="AJ1" s="47" t="s">
        <v>29</v>
      </c>
      <c r="AK1" s="47" t="s">
        <v>30</v>
      </c>
      <c r="AL1" s="34" t="s">
        <v>31</v>
      </c>
      <c r="AM1" s="43" t="s">
        <v>125</v>
      </c>
      <c r="AN1" s="35" t="s">
        <v>130</v>
      </c>
      <c r="AO1" s="35" t="s">
        <v>131</v>
      </c>
      <c r="AP1" s="35" t="s">
        <v>132</v>
      </c>
      <c r="AQ1" s="35" t="s">
        <v>133</v>
      </c>
      <c r="AR1" s="46" t="s">
        <v>32</v>
      </c>
      <c r="AS1" s="47" t="s">
        <v>33</v>
      </c>
      <c r="AT1" s="47" t="s">
        <v>34</v>
      </c>
      <c r="AU1" s="44" t="s">
        <v>350</v>
      </c>
      <c r="AV1" s="43" t="s">
        <v>333</v>
      </c>
      <c r="AW1" s="43" t="s">
        <v>332</v>
      </c>
      <c r="AX1" s="36" t="s">
        <v>334</v>
      </c>
      <c r="AY1" s="43" t="s">
        <v>335</v>
      </c>
      <c r="AZ1" s="43" t="s">
        <v>340</v>
      </c>
      <c r="BA1" s="36" t="s">
        <v>601</v>
      </c>
      <c r="BB1" s="43" t="s">
        <v>126</v>
      </c>
      <c r="BC1" s="43" t="s">
        <v>43</v>
      </c>
      <c r="BD1" s="45" t="s">
        <v>44</v>
      </c>
      <c r="BE1" s="43" t="s">
        <v>45</v>
      </c>
      <c r="BF1" s="45" t="s">
        <v>46</v>
      </c>
      <c r="BG1" s="43" t="s">
        <v>47</v>
      </c>
      <c r="BH1" s="45" t="s">
        <v>48</v>
      </c>
      <c r="BI1" s="43" t="s">
        <v>49</v>
      </c>
      <c r="BJ1" s="28" t="s">
        <v>344</v>
      </c>
      <c r="BK1" s="36" t="s">
        <v>345</v>
      </c>
      <c r="BL1" s="43" t="s">
        <v>346</v>
      </c>
      <c r="BM1" s="43" t="s">
        <v>347</v>
      </c>
      <c r="BN1" s="36" t="s">
        <v>348</v>
      </c>
      <c r="BO1" s="43" t="s">
        <v>349</v>
      </c>
    </row>
    <row r="2" spans="1:68" x14ac:dyDescent="0.25">
      <c r="A2" s="50">
        <v>1</v>
      </c>
      <c r="B2" s="36">
        <v>1010</v>
      </c>
      <c r="C2" s="46">
        <v>1010</v>
      </c>
      <c r="D2" s="37" t="s">
        <v>6</v>
      </c>
      <c r="E2" s="25" t="s">
        <v>410</v>
      </c>
      <c r="F2" s="39">
        <v>-3</v>
      </c>
      <c r="G2" s="45">
        <v>-3</v>
      </c>
      <c r="H2" s="45">
        <v>-3</v>
      </c>
      <c r="I2" s="36">
        <v>-3</v>
      </c>
      <c r="J2" s="45">
        <v>-3</v>
      </c>
      <c r="K2" s="45">
        <v>-3</v>
      </c>
      <c r="L2" s="45">
        <v>-3</v>
      </c>
      <c r="M2" s="45">
        <v>-3</v>
      </c>
      <c r="N2" s="45">
        <v>-3</v>
      </c>
      <c r="O2" s="45">
        <v>-3</v>
      </c>
      <c r="P2" s="45">
        <v>-3</v>
      </c>
      <c r="Q2" s="45">
        <v>-3</v>
      </c>
      <c r="R2" s="45">
        <v>-3</v>
      </c>
      <c r="S2" s="45">
        <v>-3</v>
      </c>
      <c r="T2" s="45">
        <v>-3</v>
      </c>
      <c r="U2" s="45">
        <v>-3</v>
      </c>
      <c r="V2" s="45">
        <v>-3</v>
      </c>
      <c r="W2" s="45">
        <v>-3</v>
      </c>
      <c r="X2" s="103">
        <v>-3</v>
      </c>
      <c r="Y2" s="81">
        <v>-3</v>
      </c>
      <c r="Z2" s="10">
        <v>-3</v>
      </c>
      <c r="AA2" s="48">
        <v>-3</v>
      </c>
      <c r="AB2" s="10">
        <v>-3</v>
      </c>
      <c r="AC2" s="10">
        <v>-3</v>
      </c>
      <c r="AD2" s="10">
        <v>-3</v>
      </c>
      <c r="AE2" s="42">
        <v>100</v>
      </c>
      <c r="AF2" s="43">
        <v>0.5</v>
      </c>
      <c r="AG2" s="36">
        <v>0</v>
      </c>
      <c r="AH2" s="35">
        <v>0.17</v>
      </c>
      <c r="AI2" s="50">
        <v>42236</v>
      </c>
      <c r="AJ2" s="50" t="s">
        <v>207</v>
      </c>
      <c r="AK2" s="50">
        <v>100</v>
      </c>
      <c r="AL2" s="34">
        <v>-3</v>
      </c>
      <c r="AM2" s="48">
        <v>-3</v>
      </c>
      <c r="AN2" s="48">
        <v>-3</v>
      </c>
      <c r="AO2" s="48">
        <v>-3</v>
      </c>
      <c r="AP2" s="48">
        <v>-3</v>
      </c>
      <c r="AQ2" s="48">
        <v>-3</v>
      </c>
      <c r="AR2" s="48">
        <v>-3</v>
      </c>
      <c r="AS2" s="10">
        <v>-3</v>
      </c>
      <c r="AT2" s="10">
        <v>-3</v>
      </c>
      <c r="AU2" s="44">
        <v>-1</v>
      </c>
      <c r="AV2" s="48">
        <v>-1</v>
      </c>
      <c r="AW2" s="48">
        <v>-1</v>
      </c>
      <c r="AX2" s="48">
        <v>-1</v>
      </c>
      <c r="AY2" s="48">
        <v>-1</v>
      </c>
      <c r="AZ2" s="45">
        <v>2</v>
      </c>
      <c r="BA2" s="45">
        <v>65</v>
      </c>
      <c r="BB2" s="35">
        <v>0.5</v>
      </c>
      <c r="BC2" s="53">
        <v>-1</v>
      </c>
      <c r="BD2" s="53">
        <v>-1</v>
      </c>
      <c r="BE2" s="53">
        <v>-1</v>
      </c>
      <c r="BF2" s="53">
        <v>-1</v>
      </c>
      <c r="BG2" s="53">
        <v>-1</v>
      </c>
      <c r="BH2" s="53">
        <v>-1</v>
      </c>
      <c r="BI2" s="45">
        <v>100</v>
      </c>
      <c r="BJ2" s="28">
        <v>-1</v>
      </c>
      <c r="BK2" s="48">
        <v>-1</v>
      </c>
      <c r="BL2" s="48">
        <v>-1</v>
      </c>
      <c r="BM2" s="48">
        <v>-1</v>
      </c>
      <c r="BN2" s="48">
        <v>-1</v>
      </c>
      <c r="BO2" s="48">
        <v>-1</v>
      </c>
    </row>
    <row r="3" spans="1:68" x14ac:dyDescent="0.25">
      <c r="A3" s="50">
        <v>2</v>
      </c>
      <c r="B3" s="36">
        <v>1011</v>
      </c>
      <c r="C3" s="46">
        <v>1011</v>
      </c>
      <c r="D3" s="37" t="s">
        <v>6</v>
      </c>
      <c r="E3" s="25" t="s">
        <v>411</v>
      </c>
      <c r="F3" s="39">
        <v>-3</v>
      </c>
      <c r="G3" s="45">
        <v>-3</v>
      </c>
      <c r="H3" s="45">
        <v>-3</v>
      </c>
      <c r="I3" s="36">
        <v>-3</v>
      </c>
      <c r="J3" s="45">
        <v>-3</v>
      </c>
      <c r="K3" s="45">
        <v>-3</v>
      </c>
      <c r="L3" s="45">
        <v>-3</v>
      </c>
      <c r="M3" s="45">
        <v>-3</v>
      </c>
      <c r="N3" s="45">
        <v>-3</v>
      </c>
      <c r="O3" s="45">
        <v>-3</v>
      </c>
      <c r="P3" s="45">
        <v>-3</v>
      </c>
      <c r="Q3" s="45">
        <v>-3</v>
      </c>
      <c r="R3" s="45">
        <v>-3</v>
      </c>
      <c r="S3" s="45">
        <v>-3</v>
      </c>
      <c r="T3" s="45">
        <v>-3</v>
      </c>
      <c r="U3" s="45">
        <v>-3</v>
      </c>
      <c r="V3" s="45">
        <v>-3</v>
      </c>
      <c r="W3" s="45">
        <v>-3</v>
      </c>
      <c r="X3" s="103">
        <v>-3</v>
      </c>
      <c r="Y3" s="81">
        <v>-3</v>
      </c>
      <c r="Z3" s="10">
        <v>-3</v>
      </c>
      <c r="AA3" s="48">
        <v>-3</v>
      </c>
      <c r="AB3" s="10">
        <v>-3</v>
      </c>
      <c r="AC3" s="10">
        <v>-3</v>
      </c>
      <c r="AD3" s="10">
        <v>-3</v>
      </c>
      <c r="AE3" s="42">
        <v>100</v>
      </c>
      <c r="AF3" s="43">
        <v>0.5</v>
      </c>
      <c r="AG3" s="45">
        <v>0</v>
      </c>
      <c r="AH3" s="35">
        <v>1.29</v>
      </c>
      <c r="AI3" s="50">
        <v>41976</v>
      </c>
      <c r="AJ3" s="50" t="s">
        <v>209</v>
      </c>
      <c r="AK3" s="50">
        <v>100</v>
      </c>
      <c r="AL3" s="34">
        <v>-3</v>
      </c>
      <c r="AM3" s="48">
        <v>-3</v>
      </c>
      <c r="AN3" s="48">
        <v>-3</v>
      </c>
      <c r="AO3" s="48">
        <v>-3</v>
      </c>
      <c r="AP3" s="48">
        <v>-3</v>
      </c>
      <c r="AQ3" s="48">
        <v>-3</v>
      </c>
      <c r="AR3" s="48">
        <v>-3</v>
      </c>
      <c r="AS3" s="10">
        <v>-3</v>
      </c>
      <c r="AT3" s="10">
        <v>-3</v>
      </c>
      <c r="AU3" s="44">
        <v>-1</v>
      </c>
      <c r="AV3" s="48">
        <v>-1</v>
      </c>
      <c r="AW3" s="48">
        <v>-1</v>
      </c>
      <c r="AX3" s="48">
        <v>-1</v>
      </c>
      <c r="AY3" s="48">
        <v>-1</v>
      </c>
      <c r="AZ3" s="45">
        <v>2</v>
      </c>
      <c r="BA3" s="45">
        <v>65</v>
      </c>
      <c r="BB3" s="35">
        <v>0.5</v>
      </c>
      <c r="BC3" s="53">
        <v>-1</v>
      </c>
      <c r="BD3" s="53">
        <v>-1</v>
      </c>
      <c r="BE3" s="53">
        <v>-1</v>
      </c>
      <c r="BF3" s="53">
        <v>-1</v>
      </c>
      <c r="BG3" s="53">
        <v>-1</v>
      </c>
      <c r="BH3" s="53">
        <v>-1</v>
      </c>
      <c r="BI3" s="45">
        <v>100</v>
      </c>
      <c r="BJ3" s="28">
        <v>-1</v>
      </c>
      <c r="BK3" s="48">
        <v>-1</v>
      </c>
      <c r="BL3" s="48">
        <v>-1</v>
      </c>
      <c r="BM3" s="48">
        <v>-1</v>
      </c>
      <c r="BN3" s="48">
        <v>-1</v>
      </c>
      <c r="BO3" s="48">
        <v>-1</v>
      </c>
    </row>
    <row r="4" spans="1:68" x14ac:dyDescent="0.25">
      <c r="A4" s="50">
        <v>3</v>
      </c>
      <c r="B4" s="36">
        <v>1012</v>
      </c>
      <c r="C4" s="46">
        <v>1012</v>
      </c>
      <c r="D4" s="37" t="s">
        <v>6</v>
      </c>
      <c r="E4" s="25" t="s">
        <v>412</v>
      </c>
      <c r="F4" s="39">
        <v>-3</v>
      </c>
      <c r="G4" s="45">
        <v>-3</v>
      </c>
      <c r="H4" s="45">
        <v>-3</v>
      </c>
      <c r="I4" s="36">
        <v>-3</v>
      </c>
      <c r="J4" s="45">
        <v>-3</v>
      </c>
      <c r="K4" s="45">
        <v>-3</v>
      </c>
      <c r="L4" s="45">
        <v>-3</v>
      </c>
      <c r="M4" s="45">
        <v>-3</v>
      </c>
      <c r="N4" s="45">
        <v>-3</v>
      </c>
      <c r="O4" s="45">
        <v>-3</v>
      </c>
      <c r="P4" s="45">
        <v>-3</v>
      </c>
      <c r="Q4" s="45">
        <v>-3</v>
      </c>
      <c r="R4" s="45">
        <v>-3</v>
      </c>
      <c r="S4" s="45">
        <v>-3</v>
      </c>
      <c r="T4" s="45">
        <v>-3</v>
      </c>
      <c r="U4" s="45">
        <v>-3</v>
      </c>
      <c r="V4" s="45">
        <v>-3</v>
      </c>
      <c r="W4" s="45">
        <v>-3</v>
      </c>
      <c r="X4" s="103">
        <v>-3</v>
      </c>
      <c r="Y4" s="81">
        <v>-3</v>
      </c>
      <c r="Z4" s="10">
        <v>-3</v>
      </c>
      <c r="AA4" s="48">
        <v>-3</v>
      </c>
      <c r="AB4" s="10">
        <v>-3</v>
      </c>
      <c r="AC4" s="10">
        <v>-3</v>
      </c>
      <c r="AD4" s="10">
        <v>-3</v>
      </c>
      <c r="AE4" s="42">
        <v>100</v>
      </c>
      <c r="AF4" s="66">
        <v>0.5</v>
      </c>
      <c r="AG4" s="62">
        <v>0</v>
      </c>
      <c r="AH4" s="63">
        <v>0.48</v>
      </c>
      <c r="AI4" s="50">
        <v>42269</v>
      </c>
      <c r="AJ4" s="50" t="s">
        <v>206</v>
      </c>
      <c r="AK4" s="50">
        <v>100</v>
      </c>
      <c r="AL4" s="34">
        <v>-3</v>
      </c>
      <c r="AM4" s="48">
        <v>-3</v>
      </c>
      <c r="AN4" s="48">
        <v>-3</v>
      </c>
      <c r="AO4" s="48">
        <v>-3</v>
      </c>
      <c r="AP4" s="48">
        <v>-3</v>
      </c>
      <c r="AQ4" s="48">
        <v>-3</v>
      </c>
      <c r="AR4" s="48">
        <v>-3</v>
      </c>
      <c r="AS4" s="10">
        <v>-3</v>
      </c>
      <c r="AT4" s="10">
        <v>-3</v>
      </c>
      <c r="AU4" s="44">
        <v>-1</v>
      </c>
      <c r="AV4" s="48">
        <v>-1</v>
      </c>
      <c r="AW4" s="48">
        <v>-1</v>
      </c>
      <c r="AX4" s="48">
        <v>-1</v>
      </c>
      <c r="AY4" s="48">
        <v>-1</v>
      </c>
      <c r="AZ4" s="45">
        <v>2</v>
      </c>
      <c r="BA4" s="45">
        <v>65</v>
      </c>
      <c r="BB4" s="35">
        <v>0.5</v>
      </c>
      <c r="BC4" s="53">
        <v>-1</v>
      </c>
      <c r="BD4" s="53">
        <v>-1</v>
      </c>
      <c r="BE4" s="53">
        <v>-1</v>
      </c>
      <c r="BF4" s="53">
        <v>-1</v>
      </c>
      <c r="BG4" s="53">
        <v>-1</v>
      </c>
      <c r="BH4" s="53">
        <v>-1</v>
      </c>
      <c r="BI4" s="45">
        <v>100</v>
      </c>
      <c r="BJ4" s="28">
        <v>-1</v>
      </c>
      <c r="BK4" s="48">
        <v>-1</v>
      </c>
      <c r="BL4" s="48">
        <v>-1</v>
      </c>
      <c r="BM4" s="48">
        <v>-1</v>
      </c>
      <c r="BN4" s="48">
        <v>-1</v>
      </c>
      <c r="BO4" s="48">
        <v>-1</v>
      </c>
    </row>
    <row r="5" spans="1:68" x14ac:dyDescent="0.25">
      <c r="A5" s="50">
        <v>4</v>
      </c>
      <c r="B5" s="36">
        <v>1013</v>
      </c>
      <c r="C5" s="46">
        <v>1013</v>
      </c>
      <c r="D5" s="37" t="s">
        <v>6</v>
      </c>
      <c r="E5" s="25" t="s">
        <v>413</v>
      </c>
      <c r="F5" s="39">
        <v>-3</v>
      </c>
      <c r="G5" s="45">
        <v>-3</v>
      </c>
      <c r="H5" s="45">
        <v>-3</v>
      </c>
      <c r="I5" s="36">
        <v>-3</v>
      </c>
      <c r="J5" s="45">
        <v>-3</v>
      </c>
      <c r="K5" s="45">
        <v>-3</v>
      </c>
      <c r="L5" s="45">
        <v>-3</v>
      </c>
      <c r="M5" s="45">
        <v>-3</v>
      </c>
      <c r="N5" s="45">
        <v>-3</v>
      </c>
      <c r="O5" s="45">
        <v>-3</v>
      </c>
      <c r="P5" s="45">
        <v>-3</v>
      </c>
      <c r="Q5" s="45">
        <v>-3</v>
      </c>
      <c r="R5" s="45">
        <v>-3</v>
      </c>
      <c r="S5" s="45">
        <v>-3</v>
      </c>
      <c r="T5" s="45">
        <v>-3</v>
      </c>
      <c r="U5" s="45">
        <v>-3</v>
      </c>
      <c r="V5" s="45">
        <v>-3</v>
      </c>
      <c r="W5" s="45">
        <v>-3</v>
      </c>
      <c r="X5" s="103">
        <v>-3</v>
      </c>
      <c r="Y5" s="81">
        <v>-3</v>
      </c>
      <c r="Z5" s="10">
        <v>-3</v>
      </c>
      <c r="AA5" s="48">
        <v>-3</v>
      </c>
      <c r="AB5" s="10">
        <v>-3</v>
      </c>
      <c r="AC5" s="10">
        <v>-3</v>
      </c>
      <c r="AD5" s="10">
        <v>-3</v>
      </c>
      <c r="AE5" s="42">
        <v>100</v>
      </c>
      <c r="AF5" s="43">
        <v>0.5</v>
      </c>
      <c r="AG5" s="45">
        <v>0</v>
      </c>
      <c r="AH5" s="35">
        <v>0.17</v>
      </c>
      <c r="AI5" s="50">
        <v>26716</v>
      </c>
      <c r="AJ5" s="50" t="s">
        <v>208</v>
      </c>
      <c r="AK5" s="50">
        <v>100</v>
      </c>
      <c r="AL5" s="34">
        <v>-3</v>
      </c>
      <c r="AM5" s="48">
        <v>-3</v>
      </c>
      <c r="AN5" s="48">
        <v>-3</v>
      </c>
      <c r="AO5" s="48">
        <v>-3</v>
      </c>
      <c r="AP5" s="48">
        <v>-3</v>
      </c>
      <c r="AQ5" s="48">
        <v>-3</v>
      </c>
      <c r="AR5" s="48">
        <v>-3</v>
      </c>
      <c r="AS5" s="10">
        <v>-3</v>
      </c>
      <c r="AT5" s="10">
        <v>-3</v>
      </c>
      <c r="AU5" s="44">
        <v>-1</v>
      </c>
      <c r="AV5" s="48">
        <v>-1</v>
      </c>
      <c r="AW5" s="48">
        <v>-1</v>
      </c>
      <c r="AX5" s="48">
        <v>-1</v>
      </c>
      <c r="AY5" s="48">
        <v>-1</v>
      </c>
      <c r="AZ5" s="45">
        <v>2</v>
      </c>
      <c r="BA5" s="45">
        <v>65</v>
      </c>
      <c r="BB5" s="35">
        <v>0.5</v>
      </c>
      <c r="BC5" s="53">
        <v>-1</v>
      </c>
      <c r="BD5" s="53">
        <v>-1</v>
      </c>
      <c r="BE5" s="53">
        <v>-1</v>
      </c>
      <c r="BF5" s="53">
        <v>-1</v>
      </c>
      <c r="BG5" s="53">
        <v>-1</v>
      </c>
      <c r="BH5" s="53">
        <v>-1</v>
      </c>
      <c r="BI5" s="45">
        <v>100</v>
      </c>
      <c r="BJ5" s="28">
        <v>-1</v>
      </c>
      <c r="BK5" s="48">
        <v>-1</v>
      </c>
      <c r="BL5" s="48">
        <v>-1</v>
      </c>
      <c r="BM5" s="48">
        <v>-1</v>
      </c>
      <c r="BN5" s="48">
        <v>-1</v>
      </c>
      <c r="BO5" s="48">
        <v>-1</v>
      </c>
    </row>
    <row r="6" spans="1:68" x14ac:dyDescent="0.25">
      <c r="A6" s="50">
        <v>5</v>
      </c>
      <c r="B6" s="36">
        <v>1016</v>
      </c>
      <c r="C6" s="46">
        <v>1016</v>
      </c>
      <c r="D6" s="37" t="s">
        <v>6</v>
      </c>
      <c r="E6" s="25" t="s">
        <v>414</v>
      </c>
      <c r="F6" s="39">
        <v>-3</v>
      </c>
      <c r="G6" s="45">
        <v>-3</v>
      </c>
      <c r="H6" s="45">
        <v>-3</v>
      </c>
      <c r="I6" s="36">
        <v>-3</v>
      </c>
      <c r="J6" s="45">
        <v>-3</v>
      </c>
      <c r="K6" s="45">
        <v>-3</v>
      </c>
      <c r="L6" s="45">
        <v>-3</v>
      </c>
      <c r="M6" s="45">
        <v>-3</v>
      </c>
      <c r="N6" s="45">
        <v>-3</v>
      </c>
      <c r="O6" s="45">
        <v>-3</v>
      </c>
      <c r="P6" s="45">
        <v>-3</v>
      </c>
      <c r="Q6" s="45">
        <v>-3</v>
      </c>
      <c r="R6" s="45">
        <v>-3</v>
      </c>
      <c r="S6" s="45">
        <v>-3</v>
      </c>
      <c r="T6" s="45">
        <v>-3</v>
      </c>
      <c r="U6" s="45">
        <v>-3</v>
      </c>
      <c r="V6" s="45">
        <v>-3</v>
      </c>
      <c r="W6" s="45">
        <v>-3</v>
      </c>
      <c r="X6" s="103">
        <v>-3</v>
      </c>
      <c r="Y6" s="81">
        <v>-3</v>
      </c>
      <c r="Z6" s="10">
        <v>-3</v>
      </c>
      <c r="AA6" s="48">
        <v>-3</v>
      </c>
      <c r="AB6" s="10">
        <v>-3</v>
      </c>
      <c r="AC6" s="10">
        <v>-3</v>
      </c>
      <c r="AD6" s="10">
        <v>-3</v>
      </c>
      <c r="AE6" s="42">
        <v>100</v>
      </c>
      <c r="AF6" s="66">
        <v>0.3</v>
      </c>
      <c r="AG6" s="62">
        <v>0</v>
      </c>
      <c r="AH6" s="63">
        <v>0.17</v>
      </c>
      <c r="AI6" s="46">
        <v>26857</v>
      </c>
      <c r="AJ6" s="47" t="s">
        <v>415</v>
      </c>
      <c r="AK6" s="46">
        <v>100</v>
      </c>
      <c r="AL6" s="34">
        <v>-3</v>
      </c>
      <c r="AM6" s="48">
        <v>-3</v>
      </c>
      <c r="AN6" s="48">
        <v>-3</v>
      </c>
      <c r="AO6" s="48">
        <v>-3</v>
      </c>
      <c r="AP6" s="48">
        <v>-3</v>
      </c>
      <c r="AQ6" s="48">
        <v>-3</v>
      </c>
      <c r="AR6" s="48">
        <v>-3</v>
      </c>
      <c r="AS6" s="10">
        <v>-3</v>
      </c>
      <c r="AT6" s="10">
        <v>-3</v>
      </c>
      <c r="AU6" s="44">
        <v>-1</v>
      </c>
      <c r="AV6" s="48">
        <v>-1</v>
      </c>
      <c r="AW6" s="48">
        <v>-1</v>
      </c>
      <c r="AX6" s="48">
        <v>-1</v>
      </c>
      <c r="AY6" s="48">
        <v>-1</v>
      </c>
      <c r="AZ6" s="45">
        <v>2</v>
      </c>
      <c r="BA6" s="45">
        <v>65</v>
      </c>
      <c r="BB6" s="35">
        <v>0.5</v>
      </c>
      <c r="BC6" s="53">
        <v>-1</v>
      </c>
      <c r="BD6" s="53">
        <v>-1</v>
      </c>
      <c r="BE6" s="53">
        <v>-1</v>
      </c>
      <c r="BF6" s="53">
        <v>-1</v>
      </c>
      <c r="BG6" s="53">
        <v>-1</v>
      </c>
      <c r="BH6" s="53">
        <v>-1</v>
      </c>
      <c r="BI6" s="45">
        <v>100</v>
      </c>
      <c r="BJ6" s="28">
        <v>-1</v>
      </c>
      <c r="BK6" s="48">
        <v>-1</v>
      </c>
      <c r="BL6" s="48">
        <v>-1</v>
      </c>
      <c r="BM6" s="48">
        <v>-1</v>
      </c>
      <c r="BN6" s="48">
        <v>-1</v>
      </c>
      <c r="BO6" s="48">
        <v>-1</v>
      </c>
    </row>
    <row r="7" spans="1:68" x14ac:dyDescent="0.25">
      <c r="A7" s="50">
        <v>6</v>
      </c>
      <c r="B7" s="36">
        <v>1017</v>
      </c>
      <c r="C7" s="46">
        <v>1017</v>
      </c>
      <c r="D7" s="37" t="s">
        <v>6</v>
      </c>
      <c r="E7" s="25" t="s">
        <v>416</v>
      </c>
      <c r="F7" s="39">
        <v>-3</v>
      </c>
      <c r="G7" s="45">
        <v>-3</v>
      </c>
      <c r="H7" s="45">
        <v>-3</v>
      </c>
      <c r="I7" s="36">
        <v>-3</v>
      </c>
      <c r="J7" s="45">
        <v>-3</v>
      </c>
      <c r="K7" s="45">
        <v>-3</v>
      </c>
      <c r="L7" s="45">
        <v>-3</v>
      </c>
      <c r="M7" s="45">
        <v>-3</v>
      </c>
      <c r="N7" s="45">
        <v>-3</v>
      </c>
      <c r="O7" s="45">
        <v>-3</v>
      </c>
      <c r="P7" s="45">
        <v>-3</v>
      </c>
      <c r="Q7" s="45">
        <v>-3</v>
      </c>
      <c r="R7" s="45">
        <v>-3</v>
      </c>
      <c r="S7" s="45">
        <v>-3</v>
      </c>
      <c r="T7" s="45">
        <v>-3</v>
      </c>
      <c r="U7" s="45">
        <v>-3</v>
      </c>
      <c r="V7" s="45">
        <v>-3</v>
      </c>
      <c r="W7" s="45">
        <v>-3</v>
      </c>
      <c r="X7" s="103">
        <v>-3</v>
      </c>
      <c r="Y7" s="81">
        <v>-3</v>
      </c>
      <c r="Z7" s="10">
        <v>-3</v>
      </c>
      <c r="AA7" s="48">
        <v>-3</v>
      </c>
      <c r="AB7" s="10">
        <v>-3</v>
      </c>
      <c r="AC7" s="10">
        <v>-3</v>
      </c>
      <c r="AD7" s="10">
        <v>-3</v>
      </c>
      <c r="AE7" s="42">
        <v>75</v>
      </c>
      <c r="AF7" s="66">
        <v>0.1</v>
      </c>
      <c r="AG7" s="62">
        <v>0</v>
      </c>
      <c r="AH7" s="35">
        <v>0</v>
      </c>
      <c r="AI7" s="46">
        <v>505272</v>
      </c>
      <c r="AJ7" s="47" t="s">
        <v>417</v>
      </c>
      <c r="AK7" s="46">
        <v>100</v>
      </c>
      <c r="AL7" s="34">
        <v>-3</v>
      </c>
      <c r="AM7" s="48">
        <v>-3</v>
      </c>
      <c r="AN7" s="48">
        <v>-3</v>
      </c>
      <c r="AO7" s="48">
        <v>-3</v>
      </c>
      <c r="AP7" s="48">
        <v>-3</v>
      </c>
      <c r="AQ7" s="48">
        <v>-3</v>
      </c>
      <c r="AR7" s="48">
        <v>-3</v>
      </c>
      <c r="AS7" s="10">
        <v>-3</v>
      </c>
      <c r="AT7" s="10">
        <v>-3</v>
      </c>
      <c r="AU7" s="44">
        <v>-1</v>
      </c>
      <c r="AV7" s="48">
        <v>-1</v>
      </c>
      <c r="AW7" s="48">
        <v>-1</v>
      </c>
      <c r="AX7" s="48">
        <v>-1</v>
      </c>
      <c r="AY7" s="48">
        <v>-1</v>
      </c>
      <c r="AZ7" s="45">
        <v>2</v>
      </c>
      <c r="BA7" s="45">
        <v>65</v>
      </c>
      <c r="BB7" s="35">
        <v>0.5</v>
      </c>
      <c r="BC7" s="53">
        <v>-1</v>
      </c>
      <c r="BD7" s="53">
        <v>-1</v>
      </c>
      <c r="BE7" s="53">
        <v>-1</v>
      </c>
      <c r="BF7" s="53">
        <v>-1</v>
      </c>
      <c r="BG7" s="53">
        <v>-1</v>
      </c>
      <c r="BH7" s="53">
        <v>-1</v>
      </c>
      <c r="BI7" s="45">
        <v>100</v>
      </c>
      <c r="BJ7" s="28">
        <v>-1</v>
      </c>
      <c r="BK7" s="48">
        <v>-1</v>
      </c>
      <c r="BL7" s="48">
        <v>-1</v>
      </c>
      <c r="BM7" s="48">
        <v>-1</v>
      </c>
      <c r="BN7" s="48">
        <v>-1</v>
      </c>
      <c r="BO7" s="48">
        <v>-1</v>
      </c>
    </row>
    <row r="8" spans="1:68" s="60" customFormat="1" ht="15" customHeight="1" x14ac:dyDescent="0.25">
      <c r="A8" s="50">
        <v>7</v>
      </c>
      <c r="B8" s="36">
        <v>1018</v>
      </c>
      <c r="C8" s="46">
        <v>1018</v>
      </c>
      <c r="D8" s="37" t="s">
        <v>6</v>
      </c>
      <c r="E8" s="25" t="s">
        <v>418</v>
      </c>
      <c r="F8" s="39">
        <v>-3</v>
      </c>
      <c r="G8" s="45">
        <v>-3</v>
      </c>
      <c r="H8" s="45">
        <v>-3</v>
      </c>
      <c r="I8" s="36">
        <v>-3</v>
      </c>
      <c r="J8" s="45">
        <v>-3</v>
      </c>
      <c r="K8" s="45">
        <v>-3</v>
      </c>
      <c r="L8" s="45">
        <v>-3</v>
      </c>
      <c r="M8" s="45">
        <v>-3</v>
      </c>
      <c r="N8" s="45">
        <v>-3</v>
      </c>
      <c r="O8" s="45">
        <v>-3</v>
      </c>
      <c r="P8" s="45">
        <v>-3</v>
      </c>
      <c r="Q8" s="45">
        <v>-3</v>
      </c>
      <c r="R8" s="45">
        <v>-3</v>
      </c>
      <c r="S8" s="45">
        <v>-3</v>
      </c>
      <c r="T8" s="45">
        <v>-3</v>
      </c>
      <c r="U8" s="45">
        <v>-3</v>
      </c>
      <c r="V8" s="45">
        <v>-3</v>
      </c>
      <c r="W8" s="45">
        <v>-3</v>
      </c>
      <c r="X8" s="103">
        <v>-3</v>
      </c>
      <c r="Y8" s="81">
        <v>-3</v>
      </c>
      <c r="Z8" s="10">
        <v>-3</v>
      </c>
      <c r="AA8" s="48">
        <v>-3</v>
      </c>
      <c r="AB8" s="10">
        <v>-3</v>
      </c>
      <c r="AC8" s="10">
        <v>-3</v>
      </c>
      <c r="AD8" s="10">
        <v>-3</v>
      </c>
      <c r="AE8" s="42">
        <v>100</v>
      </c>
      <c r="AF8" s="66">
        <v>0.5</v>
      </c>
      <c r="AG8" s="62">
        <v>0</v>
      </c>
      <c r="AH8" s="63">
        <v>1.22</v>
      </c>
      <c r="AI8" s="50">
        <v>41088</v>
      </c>
      <c r="AJ8" s="50" t="s">
        <v>420</v>
      </c>
      <c r="AK8" s="50">
        <v>100</v>
      </c>
      <c r="AL8" s="34">
        <v>-3</v>
      </c>
      <c r="AM8" s="48">
        <v>-3</v>
      </c>
      <c r="AN8" s="48">
        <v>-3</v>
      </c>
      <c r="AO8" s="48">
        <v>-3</v>
      </c>
      <c r="AP8" s="48">
        <v>-3</v>
      </c>
      <c r="AQ8" s="48">
        <v>-3</v>
      </c>
      <c r="AR8" s="48">
        <v>-3</v>
      </c>
      <c r="AS8" s="10">
        <v>-3</v>
      </c>
      <c r="AT8" s="10">
        <v>-3</v>
      </c>
      <c r="AU8" s="44">
        <v>-1</v>
      </c>
      <c r="AV8" s="48">
        <v>-1</v>
      </c>
      <c r="AW8" s="48">
        <v>-1</v>
      </c>
      <c r="AX8" s="48">
        <v>-1</v>
      </c>
      <c r="AY8" s="48">
        <v>-1</v>
      </c>
      <c r="AZ8" s="45">
        <v>2</v>
      </c>
      <c r="BA8" s="45">
        <v>65</v>
      </c>
      <c r="BB8" s="35">
        <v>0.5</v>
      </c>
      <c r="BC8" s="53">
        <v>-1</v>
      </c>
      <c r="BD8" s="53">
        <v>-1</v>
      </c>
      <c r="BE8" s="53">
        <v>-1</v>
      </c>
      <c r="BF8" s="53">
        <v>-1</v>
      </c>
      <c r="BG8" s="53">
        <v>-1</v>
      </c>
      <c r="BH8" s="53">
        <v>-1</v>
      </c>
      <c r="BI8" s="45">
        <v>100</v>
      </c>
      <c r="BJ8" s="28">
        <v>-1</v>
      </c>
      <c r="BK8" s="48">
        <v>-1</v>
      </c>
      <c r="BL8" s="48">
        <v>-1</v>
      </c>
      <c r="BM8" s="48">
        <v>-1</v>
      </c>
      <c r="BN8" s="48">
        <v>-1</v>
      </c>
      <c r="BO8" s="48">
        <v>-1</v>
      </c>
      <c r="BP8" s="59"/>
    </row>
    <row r="9" spans="1:68" s="60" customFormat="1" ht="15" customHeight="1" x14ac:dyDescent="0.25">
      <c r="A9" s="50">
        <v>8</v>
      </c>
      <c r="B9" s="36">
        <v>1019</v>
      </c>
      <c r="C9" s="46">
        <v>1019</v>
      </c>
      <c r="D9" s="37" t="s">
        <v>6</v>
      </c>
      <c r="E9" s="25" t="s">
        <v>419</v>
      </c>
      <c r="F9" s="39">
        <v>-3</v>
      </c>
      <c r="G9" s="45">
        <v>-3</v>
      </c>
      <c r="H9" s="45">
        <v>-3</v>
      </c>
      <c r="I9" s="36">
        <v>-3</v>
      </c>
      <c r="J9" s="45">
        <v>-3</v>
      </c>
      <c r="K9" s="45">
        <v>-3</v>
      </c>
      <c r="L9" s="45">
        <v>-3</v>
      </c>
      <c r="M9" s="45">
        <v>-3</v>
      </c>
      <c r="N9" s="45">
        <v>-3</v>
      </c>
      <c r="O9" s="45">
        <v>-3</v>
      </c>
      <c r="P9" s="45">
        <v>-3</v>
      </c>
      <c r="Q9" s="45">
        <v>-3</v>
      </c>
      <c r="R9" s="45">
        <v>-3</v>
      </c>
      <c r="S9" s="45">
        <v>-3</v>
      </c>
      <c r="T9" s="45">
        <v>-3</v>
      </c>
      <c r="U9" s="45">
        <v>-3</v>
      </c>
      <c r="V9" s="45">
        <v>-3</v>
      </c>
      <c r="W9" s="45">
        <v>-3</v>
      </c>
      <c r="X9" s="103">
        <v>-3</v>
      </c>
      <c r="Y9" s="81">
        <v>-3</v>
      </c>
      <c r="Z9" s="10">
        <v>-3</v>
      </c>
      <c r="AA9" s="48">
        <v>-3</v>
      </c>
      <c r="AB9" s="10">
        <v>-3</v>
      </c>
      <c r="AC9" s="10">
        <v>-3</v>
      </c>
      <c r="AD9" s="10">
        <v>-3</v>
      </c>
      <c r="AE9" s="42">
        <v>100</v>
      </c>
      <c r="AF9" s="66">
        <v>10</v>
      </c>
      <c r="AG9" s="62">
        <v>100</v>
      </c>
      <c r="AH9" s="63">
        <v>4.05</v>
      </c>
      <c r="AI9" s="50">
        <v>42058</v>
      </c>
      <c r="AJ9" s="50" t="s">
        <v>421</v>
      </c>
      <c r="AK9" s="58">
        <v>100</v>
      </c>
      <c r="AL9" s="34">
        <v>-3</v>
      </c>
      <c r="AM9" s="48">
        <v>-3</v>
      </c>
      <c r="AN9" s="48">
        <v>-3</v>
      </c>
      <c r="AO9" s="48">
        <v>-3</v>
      </c>
      <c r="AP9" s="48">
        <v>-3</v>
      </c>
      <c r="AQ9" s="48">
        <v>-3</v>
      </c>
      <c r="AR9" s="48">
        <v>-3</v>
      </c>
      <c r="AS9" s="10">
        <v>-3</v>
      </c>
      <c r="AT9" s="10">
        <v>-3</v>
      </c>
      <c r="AU9" s="44">
        <v>-1</v>
      </c>
      <c r="AV9" s="48">
        <v>-1</v>
      </c>
      <c r="AW9" s="48">
        <v>-1</v>
      </c>
      <c r="AX9" s="48">
        <v>-1</v>
      </c>
      <c r="AY9" s="48">
        <v>-1</v>
      </c>
      <c r="AZ9" s="45">
        <v>2</v>
      </c>
      <c r="BA9" s="45">
        <v>65</v>
      </c>
      <c r="BB9" s="35">
        <v>0.5</v>
      </c>
      <c r="BC9" s="53">
        <v>-1</v>
      </c>
      <c r="BD9" s="53">
        <v>-1</v>
      </c>
      <c r="BE9" s="53">
        <v>-1</v>
      </c>
      <c r="BF9" s="53">
        <v>-1</v>
      </c>
      <c r="BG9" s="53">
        <v>-1</v>
      </c>
      <c r="BH9" s="53">
        <v>-1</v>
      </c>
      <c r="BI9" s="45">
        <v>100</v>
      </c>
      <c r="BJ9" s="28">
        <v>-1</v>
      </c>
      <c r="BK9" s="48">
        <v>-1</v>
      </c>
      <c r="BL9" s="48">
        <v>-1</v>
      </c>
      <c r="BM9" s="48">
        <v>-1</v>
      </c>
      <c r="BN9" s="48">
        <v>-1</v>
      </c>
      <c r="BO9" s="48">
        <v>-1</v>
      </c>
      <c r="BP9" s="59"/>
    </row>
    <row r="10" spans="1:68" s="60" customFormat="1" ht="15" customHeight="1" x14ac:dyDescent="0.25">
      <c r="A10" s="50">
        <v>9</v>
      </c>
      <c r="B10" s="36">
        <v>1020</v>
      </c>
      <c r="C10" s="46">
        <v>1020</v>
      </c>
      <c r="D10" s="37" t="s">
        <v>6</v>
      </c>
      <c r="E10" s="38" t="s">
        <v>427</v>
      </c>
      <c r="F10" s="39">
        <v>32</v>
      </c>
      <c r="G10" s="45">
        <v>17</v>
      </c>
      <c r="H10" s="45">
        <v>8</v>
      </c>
      <c r="I10" s="36">
        <v>68</v>
      </c>
      <c r="J10" s="45">
        <v>36</v>
      </c>
      <c r="K10" s="45">
        <v>12</v>
      </c>
      <c r="L10" s="36">
        <v>29027</v>
      </c>
      <c r="M10" s="45" t="s">
        <v>369</v>
      </c>
      <c r="N10" s="45">
        <v>100</v>
      </c>
      <c r="O10" s="45">
        <v>32</v>
      </c>
      <c r="P10" s="45">
        <v>50</v>
      </c>
      <c r="Q10" s="45">
        <v>35</v>
      </c>
      <c r="R10" s="45">
        <v>11</v>
      </c>
      <c r="S10" s="45">
        <v>5</v>
      </c>
      <c r="T10" s="45">
        <v>29027</v>
      </c>
      <c r="U10" s="45" t="s">
        <v>369</v>
      </c>
      <c r="V10" s="45">
        <v>100</v>
      </c>
      <c r="W10" s="45">
        <v>1</v>
      </c>
      <c r="X10" s="103">
        <v>5</v>
      </c>
      <c r="Y10" s="29">
        <v>28</v>
      </c>
      <c r="Z10" s="45">
        <v>5.2</v>
      </c>
      <c r="AA10" s="36">
        <v>85</v>
      </c>
      <c r="AB10" s="45">
        <v>19092</v>
      </c>
      <c r="AC10" s="45" t="s">
        <v>160</v>
      </c>
      <c r="AD10" s="45">
        <v>100</v>
      </c>
      <c r="AE10" s="42">
        <v>60</v>
      </c>
      <c r="AF10" s="43">
        <v>0.5</v>
      </c>
      <c r="AG10" s="45">
        <v>0</v>
      </c>
      <c r="AH10" s="35">
        <v>0.1</v>
      </c>
      <c r="AI10" s="50">
        <v>42236</v>
      </c>
      <c r="AJ10" s="50" t="s">
        <v>207</v>
      </c>
      <c r="AK10" s="50">
        <v>100</v>
      </c>
      <c r="AL10" s="34">
        <v>22</v>
      </c>
      <c r="AM10" s="43">
        <v>1.4</v>
      </c>
      <c r="AN10" s="35">
        <v>0.12</v>
      </c>
      <c r="AO10" s="35">
        <v>0.42</v>
      </c>
      <c r="AP10" s="35">
        <v>0.51</v>
      </c>
      <c r="AQ10" s="84">
        <v>1.51</v>
      </c>
      <c r="AR10" s="36">
        <v>29027</v>
      </c>
      <c r="AS10" s="45" t="s">
        <v>369</v>
      </c>
      <c r="AT10" s="45">
        <v>100</v>
      </c>
      <c r="AU10" s="44">
        <v>-1</v>
      </c>
      <c r="AV10" s="48">
        <v>-1</v>
      </c>
      <c r="AW10" s="48">
        <v>-1</v>
      </c>
      <c r="AX10" s="48">
        <v>-1</v>
      </c>
      <c r="AY10" s="48">
        <v>-1</v>
      </c>
      <c r="AZ10" s="45">
        <v>2</v>
      </c>
      <c r="BA10" s="45">
        <v>41</v>
      </c>
      <c r="BB10" s="35">
        <v>1.1000000000000001</v>
      </c>
      <c r="BC10" s="53">
        <v>-1</v>
      </c>
      <c r="BD10" s="53">
        <v>-1</v>
      </c>
      <c r="BE10" s="53">
        <v>-1</v>
      </c>
      <c r="BF10" s="53">
        <v>-1</v>
      </c>
      <c r="BG10" s="53">
        <v>100</v>
      </c>
      <c r="BH10" s="53">
        <v>-1</v>
      </c>
      <c r="BI10" s="45">
        <v>-1</v>
      </c>
      <c r="BJ10" s="28">
        <v>1</v>
      </c>
      <c r="BK10" s="53">
        <v>41</v>
      </c>
      <c r="BL10" s="54">
        <v>0.7</v>
      </c>
      <c r="BM10" s="53">
        <v>3</v>
      </c>
      <c r="BN10" s="53">
        <v>41</v>
      </c>
      <c r="BO10" s="54">
        <v>0.7</v>
      </c>
      <c r="BP10" s="59"/>
    </row>
    <row r="11" spans="1:68" s="60" customFormat="1" ht="15" customHeight="1" x14ac:dyDescent="0.25">
      <c r="A11" s="50">
        <v>10</v>
      </c>
      <c r="B11" s="36">
        <v>1021</v>
      </c>
      <c r="C11" s="46">
        <v>1021</v>
      </c>
      <c r="D11" s="37" t="s">
        <v>6</v>
      </c>
      <c r="E11" s="38" t="s">
        <v>426</v>
      </c>
      <c r="F11" s="39">
        <v>33</v>
      </c>
      <c r="G11" s="45">
        <v>17</v>
      </c>
      <c r="H11" s="45">
        <v>8</v>
      </c>
      <c r="I11" s="36">
        <v>67</v>
      </c>
      <c r="J11" s="45">
        <v>35</v>
      </c>
      <c r="K11" s="45">
        <v>11</v>
      </c>
      <c r="L11" s="36">
        <v>29027</v>
      </c>
      <c r="M11" s="45" t="s">
        <v>369</v>
      </c>
      <c r="N11" s="45">
        <v>100</v>
      </c>
      <c r="O11" s="45">
        <v>33</v>
      </c>
      <c r="P11" s="45">
        <v>51</v>
      </c>
      <c r="Q11" s="45">
        <v>35</v>
      </c>
      <c r="R11" s="45">
        <v>11</v>
      </c>
      <c r="S11" s="45">
        <v>5</v>
      </c>
      <c r="T11" s="45">
        <v>29027</v>
      </c>
      <c r="U11" s="45" t="s">
        <v>369</v>
      </c>
      <c r="V11" s="45">
        <v>100</v>
      </c>
      <c r="W11" s="45">
        <v>1</v>
      </c>
      <c r="X11" s="103">
        <v>5</v>
      </c>
      <c r="Y11" s="29">
        <v>27</v>
      </c>
      <c r="Z11" s="45">
        <v>5.2</v>
      </c>
      <c r="AA11" s="36">
        <v>85</v>
      </c>
      <c r="AB11" s="45">
        <v>19092</v>
      </c>
      <c r="AC11" s="45" t="s">
        <v>160</v>
      </c>
      <c r="AD11" s="45">
        <v>100</v>
      </c>
      <c r="AE11" s="42">
        <v>60</v>
      </c>
      <c r="AF11" s="43">
        <v>0.5</v>
      </c>
      <c r="AG11" s="36">
        <v>0</v>
      </c>
      <c r="AH11" s="35">
        <v>0.77400000000000002</v>
      </c>
      <c r="AI11" s="50">
        <v>41976</v>
      </c>
      <c r="AJ11" s="50" t="s">
        <v>209</v>
      </c>
      <c r="AK11" s="50">
        <v>100</v>
      </c>
      <c r="AL11" s="34">
        <v>22</v>
      </c>
      <c r="AM11" s="43">
        <v>1.4</v>
      </c>
      <c r="AN11" s="35">
        <v>0.12</v>
      </c>
      <c r="AO11" s="35">
        <v>0.43</v>
      </c>
      <c r="AP11" s="35">
        <v>0.52</v>
      </c>
      <c r="AQ11" s="84">
        <v>1.54</v>
      </c>
      <c r="AR11" s="36">
        <v>29027</v>
      </c>
      <c r="AS11" s="45" t="s">
        <v>369</v>
      </c>
      <c r="AT11" s="45">
        <v>100</v>
      </c>
      <c r="AU11" s="44">
        <v>-1</v>
      </c>
      <c r="AV11" s="48">
        <v>-1</v>
      </c>
      <c r="AW11" s="48">
        <v>-1</v>
      </c>
      <c r="AX11" s="48">
        <v>-1</v>
      </c>
      <c r="AY11" s="48">
        <v>-1</v>
      </c>
      <c r="AZ11" s="45">
        <v>2</v>
      </c>
      <c r="BA11" s="45">
        <v>42</v>
      </c>
      <c r="BB11" s="35">
        <v>1.1000000000000001</v>
      </c>
      <c r="BC11" s="53">
        <v>-1</v>
      </c>
      <c r="BD11" s="53">
        <v>-1</v>
      </c>
      <c r="BE11" s="53">
        <v>-1</v>
      </c>
      <c r="BF11" s="53">
        <v>-1</v>
      </c>
      <c r="BG11" s="53">
        <v>100</v>
      </c>
      <c r="BH11" s="53">
        <v>-1</v>
      </c>
      <c r="BI11" s="45">
        <v>-1</v>
      </c>
      <c r="BJ11" s="28">
        <v>1</v>
      </c>
      <c r="BK11" s="53">
        <v>42</v>
      </c>
      <c r="BL11" s="54">
        <v>0.7</v>
      </c>
      <c r="BM11" s="53">
        <v>3</v>
      </c>
      <c r="BN11" s="53">
        <v>42</v>
      </c>
      <c r="BO11" s="54">
        <v>0.7</v>
      </c>
      <c r="BP11" s="59"/>
    </row>
    <row r="12" spans="1:68" s="60" customFormat="1" ht="15" customHeight="1" x14ac:dyDescent="0.25">
      <c r="A12" s="50">
        <v>11</v>
      </c>
      <c r="B12" s="36">
        <v>1022</v>
      </c>
      <c r="C12" s="46">
        <v>1022</v>
      </c>
      <c r="D12" s="37" t="s">
        <v>6</v>
      </c>
      <c r="E12" s="38" t="s">
        <v>428</v>
      </c>
      <c r="F12" s="39">
        <v>24</v>
      </c>
      <c r="G12" s="45">
        <v>13</v>
      </c>
      <c r="H12" s="45">
        <v>6</v>
      </c>
      <c r="I12" s="36">
        <v>57</v>
      </c>
      <c r="J12" s="45">
        <v>30</v>
      </c>
      <c r="K12" s="45">
        <v>8</v>
      </c>
      <c r="L12" s="36">
        <v>29027</v>
      </c>
      <c r="M12" s="45" t="s">
        <v>369</v>
      </c>
      <c r="N12" s="45">
        <v>100</v>
      </c>
      <c r="O12" s="45">
        <v>24</v>
      </c>
      <c r="P12" s="45">
        <v>38</v>
      </c>
      <c r="Q12" s="45">
        <v>30</v>
      </c>
      <c r="R12" s="45">
        <v>10</v>
      </c>
      <c r="S12" s="45">
        <v>4</v>
      </c>
      <c r="T12" s="45">
        <v>29027</v>
      </c>
      <c r="U12" s="45" t="s">
        <v>369</v>
      </c>
      <c r="V12" s="45">
        <v>100</v>
      </c>
      <c r="W12" s="45">
        <v>1</v>
      </c>
      <c r="X12" s="103">
        <v>5</v>
      </c>
      <c r="Y12" s="29">
        <v>31</v>
      </c>
      <c r="Z12" s="45">
        <v>5.2</v>
      </c>
      <c r="AA12" s="36">
        <v>85</v>
      </c>
      <c r="AB12" s="45">
        <v>19092</v>
      </c>
      <c r="AC12" s="45" t="s">
        <v>160</v>
      </c>
      <c r="AD12" s="45">
        <v>100</v>
      </c>
      <c r="AE12" s="42">
        <v>60</v>
      </c>
      <c r="AF12" s="43">
        <v>0.5</v>
      </c>
      <c r="AG12" s="45">
        <v>0</v>
      </c>
      <c r="AH12" s="35">
        <v>0.28999999999999998</v>
      </c>
      <c r="AI12" s="50">
        <v>42269</v>
      </c>
      <c r="AJ12" s="50" t="s">
        <v>206</v>
      </c>
      <c r="AK12" s="50">
        <v>100</v>
      </c>
      <c r="AL12" s="34">
        <v>16</v>
      </c>
      <c r="AM12" s="43">
        <v>1.4</v>
      </c>
      <c r="AN12" s="35">
        <v>0.09</v>
      </c>
      <c r="AO12" s="35">
        <v>0.32</v>
      </c>
      <c r="AP12" s="35">
        <v>0.39</v>
      </c>
      <c r="AQ12" s="84">
        <v>1.1499999999999999</v>
      </c>
      <c r="AR12" s="36">
        <v>29027</v>
      </c>
      <c r="AS12" s="45" t="s">
        <v>369</v>
      </c>
      <c r="AT12" s="45">
        <v>100</v>
      </c>
      <c r="AU12" s="44">
        <v>-1</v>
      </c>
      <c r="AV12" s="48">
        <v>-1</v>
      </c>
      <c r="AW12" s="48">
        <v>-1</v>
      </c>
      <c r="AX12" s="48">
        <v>-1</v>
      </c>
      <c r="AY12" s="48">
        <v>-1</v>
      </c>
      <c r="AZ12" s="45">
        <v>2</v>
      </c>
      <c r="BA12" s="45">
        <v>32</v>
      </c>
      <c r="BB12" s="35">
        <v>1.1000000000000001</v>
      </c>
      <c r="BC12" s="53">
        <v>-1</v>
      </c>
      <c r="BD12" s="53">
        <v>-1</v>
      </c>
      <c r="BE12" s="53">
        <v>-1</v>
      </c>
      <c r="BF12" s="53">
        <v>-1</v>
      </c>
      <c r="BG12" s="53">
        <v>100</v>
      </c>
      <c r="BH12" s="53">
        <v>-1</v>
      </c>
      <c r="BI12" s="45">
        <v>-1</v>
      </c>
      <c r="BJ12" s="28">
        <v>1</v>
      </c>
      <c r="BK12" s="53">
        <v>32</v>
      </c>
      <c r="BL12" s="54">
        <v>0.7</v>
      </c>
      <c r="BM12" s="53">
        <v>3</v>
      </c>
      <c r="BN12" s="53">
        <v>32</v>
      </c>
      <c r="BO12" s="54">
        <v>0.7</v>
      </c>
      <c r="BP12" s="59"/>
    </row>
    <row r="13" spans="1:68" s="60" customFormat="1" ht="15" customHeight="1" x14ac:dyDescent="0.25">
      <c r="A13" s="50">
        <v>12</v>
      </c>
      <c r="B13" s="36">
        <v>1023</v>
      </c>
      <c r="C13" s="46">
        <v>1023</v>
      </c>
      <c r="D13" s="37" t="s">
        <v>6</v>
      </c>
      <c r="E13" s="38" t="s">
        <v>429</v>
      </c>
      <c r="F13" s="39">
        <v>18</v>
      </c>
      <c r="G13" s="45">
        <v>9</v>
      </c>
      <c r="H13" s="45">
        <v>4</v>
      </c>
      <c r="I13" s="36">
        <v>48</v>
      </c>
      <c r="J13" s="45">
        <v>26</v>
      </c>
      <c r="K13" s="45">
        <v>6</v>
      </c>
      <c r="L13" s="36">
        <v>29027</v>
      </c>
      <c r="M13" s="45" t="s">
        <v>369</v>
      </c>
      <c r="N13" s="45">
        <v>100</v>
      </c>
      <c r="O13" s="45">
        <v>18</v>
      </c>
      <c r="P13" s="45">
        <v>29</v>
      </c>
      <c r="Q13" s="45">
        <v>25</v>
      </c>
      <c r="R13" s="45">
        <v>8</v>
      </c>
      <c r="S13" s="45">
        <v>3</v>
      </c>
      <c r="T13" s="45">
        <v>29027</v>
      </c>
      <c r="U13" s="45" t="s">
        <v>369</v>
      </c>
      <c r="V13" s="45">
        <v>100</v>
      </c>
      <c r="W13" s="45">
        <v>1</v>
      </c>
      <c r="X13" s="103">
        <v>5</v>
      </c>
      <c r="Y13" s="29">
        <v>33</v>
      </c>
      <c r="Z13" s="45">
        <v>5.2</v>
      </c>
      <c r="AA13" s="36">
        <v>85</v>
      </c>
      <c r="AB13" s="45">
        <v>19092</v>
      </c>
      <c r="AC13" s="45" t="s">
        <v>160</v>
      </c>
      <c r="AD13" s="45">
        <v>100</v>
      </c>
      <c r="AE13" s="42">
        <v>60</v>
      </c>
      <c r="AF13" s="43">
        <v>0.5</v>
      </c>
      <c r="AG13" s="45">
        <v>0</v>
      </c>
      <c r="AH13" s="35">
        <v>0.1</v>
      </c>
      <c r="AI13" s="50">
        <v>26716</v>
      </c>
      <c r="AJ13" s="50" t="s">
        <v>208</v>
      </c>
      <c r="AK13" s="50">
        <v>100</v>
      </c>
      <c r="AL13" s="34">
        <v>12</v>
      </c>
      <c r="AM13" s="43">
        <v>1.4</v>
      </c>
      <c r="AN13" s="35">
        <v>7.0000000000000007E-2</v>
      </c>
      <c r="AO13" s="35">
        <v>0.24</v>
      </c>
      <c r="AP13" s="35">
        <v>0.28999999999999998</v>
      </c>
      <c r="AQ13" s="84">
        <v>0.86</v>
      </c>
      <c r="AR13" s="36">
        <v>29027</v>
      </c>
      <c r="AS13" s="45" t="s">
        <v>369</v>
      </c>
      <c r="AT13" s="45">
        <v>100</v>
      </c>
      <c r="AU13" s="44">
        <v>-1</v>
      </c>
      <c r="AV13" s="48">
        <v>-1</v>
      </c>
      <c r="AW13" s="48">
        <v>-1</v>
      </c>
      <c r="AX13" s="48">
        <v>-1</v>
      </c>
      <c r="AY13" s="48">
        <v>-1</v>
      </c>
      <c r="AZ13" s="45">
        <v>2</v>
      </c>
      <c r="BA13" s="45">
        <v>24</v>
      </c>
      <c r="BB13" s="35">
        <v>1.1000000000000001</v>
      </c>
      <c r="BC13" s="53">
        <v>-1</v>
      </c>
      <c r="BD13" s="53">
        <v>-1</v>
      </c>
      <c r="BE13" s="53">
        <v>-1</v>
      </c>
      <c r="BF13" s="53">
        <v>-1</v>
      </c>
      <c r="BG13" s="53">
        <v>100</v>
      </c>
      <c r="BH13" s="53">
        <v>-1</v>
      </c>
      <c r="BI13" s="45">
        <v>-1</v>
      </c>
      <c r="BJ13" s="28">
        <v>1</v>
      </c>
      <c r="BK13" s="53">
        <v>24</v>
      </c>
      <c r="BL13" s="54">
        <v>0.7</v>
      </c>
      <c r="BM13" s="53">
        <v>3</v>
      </c>
      <c r="BN13" s="53">
        <v>24</v>
      </c>
      <c r="BO13" s="54">
        <v>0.7</v>
      </c>
      <c r="BP13" s="59"/>
    </row>
    <row r="14" spans="1:68" s="60" customFormat="1" ht="15" customHeight="1" x14ac:dyDescent="0.25">
      <c r="A14" s="50">
        <v>13</v>
      </c>
      <c r="B14" s="36">
        <v>1026</v>
      </c>
      <c r="C14" s="46">
        <v>1026</v>
      </c>
      <c r="D14" s="37" t="s">
        <v>6</v>
      </c>
      <c r="E14" s="38" t="s">
        <v>430</v>
      </c>
      <c r="F14" s="39">
        <v>21</v>
      </c>
      <c r="G14" s="45">
        <v>11</v>
      </c>
      <c r="H14" s="45">
        <v>5</v>
      </c>
      <c r="I14" s="36">
        <v>48</v>
      </c>
      <c r="J14" s="45">
        <v>25</v>
      </c>
      <c r="K14" s="45">
        <v>6</v>
      </c>
      <c r="L14" s="36">
        <v>29027</v>
      </c>
      <c r="M14" s="45" t="s">
        <v>369</v>
      </c>
      <c r="N14" s="45">
        <v>100</v>
      </c>
      <c r="O14" s="45">
        <v>21</v>
      </c>
      <c r="P14" s="45">
        <v>34</v>
      </c>
      <c r="Q14" s="45">
        <v>25</v>
      </c>
      <c r="R14" s="45">
        <v>8</v>
      </c>
      <c r="S14" s="45">
        <v>3</v>
      </c>
      <c r="T14" s="45">
        <v>29027</v>
      </c>
      <c r="U14" s="45" t="s">
        <v>369</v>
      </c>
      <c r="V14" s="45">
        <v>100</v>
      </c>
      <c r="W14" s="45">
        <v>1</v>
      </c>
      <c r="X14" s="103">
        <v>5</v>
      </c>
      <c r="Y14" s="29">
        <v>32</v>
      </c>
      <c r="Z14" s="45">
        <v>5.2</v>
      </c>
      <c r="AA14" s="36">
        <v>85</v>
      </c>
      <c r="AB14" s="45">
        <v>19092</v>
      </c>
      <c r="AC14" s="45" t="s">
        <v>160</v>
      </c>
      <c r="AD14" s="45">
        <v>100</v>
      </c>
      <c r="AE14" s="42">
        <v>60</v>
      </c>
      <c r="AF14" s="43">
        <v>0.3</v>
      </c>
      <c r="AG14" s="45">
        <v>0</v>
      </c>
      <c r="AH14" s="35">
        <v>0.1</v>
      </c>
      <c r="AI14" s="46">
        <v>26857</v>
      </c>
      <c r="AJ14" s="47" t="s">
        <v>415</v>
      </c>
      <c r="AK14" s="46">
        <v>100</v>
      </c>
      <c r="AL14" s="34">
        <v>15</v>
      </c>
      <c r="AM14" s="43">
        <v>1.4</v>
      </c>
      <c r="AN14" s="35">
        <v>0.08</v>
      </c>
      <c r="AO14" s="35">
        <v>0.28000000000000003</v>
      </c>
      <c r="AP14" s="35">
        <v>0.34</v>
      </c>
      <c r="AQ14" s="84">
        <v>1.01</v>
      </c>
      <c r="AR14" s="36">
        <v>29027</v>
      </c>
      <c r="AS14" s="45" t="s">
        <v>369</v>
      </c>
      <c r="AT14" s="45">
        <v>100</v>
      </c>
      <c r="AU14" s="44">
        <v>-1</v>
      </c>
      <c r="AV14" s="48">
        <v>-1</v>
      </c>
      <c r="AW14" s="48">
        <v>-1</v>
      </c>
      <c r="AX14" s="48">
        <v>-1</v>
      </c>
      <c r="AY14" s="48">
        <v>-1</v>
      </c>
      <c r="AZ14" s="45">
        <v>2</v>
      </c>
      <c r="BA14" s="45">
        <v>28</v>
      </c>
      <c r="BB14" s="35">
        <v>1.1000000000000001</v>
      </c>
      <c r="BC14" s="53">
        <v>-1</v>
      </c>
      <c r="BD14" s="53">
        <v>-1</v>
      </c>
      <c r="BE14" s="53">
        <v>-1</v>
      </c>
      <c r="BF14" s="53">
        <v>-1</v>
      </c>
      <c r="BG14" s="53">
        <v>100</v>
      </c>
      <c r="BH14" s="53">
        <v>-1</v>
      </c>
      <c r="BI14" s="45">
        <v>-1</v>
      </c>
      <c r="BJ14" s="28">
        <v>1</v>
      </c>
      <c r="BK14" s="53">
        <v>28</v>
      </c>
      <c r="BL14" s="54">
        <v>0.7</v>
      </c>
      <c r="BM14" s="53">
        <v>3</v>
      </c>
      <c r="BN14" s="53">
        <v>28</v>
      </c>
      <c r="BO14" s="54">
        <v>0.7</v>
      </c>
      <c r="BP14" s="59"/>
    </row>
    <row r="15" spans="1:68" s="60" customFormat="1" ht="15" customHeight="1" x14ac:dyDescent="0.25">
      <c r="A15" s="50">
        <v>14</v>
      </c>
      <c r="B15" s="36">
        <v>1027</v>
      </c>
      <c r="C15" s="46">
        <v>1027</v>
      </c>
      <c r="D15" s="37" t="s">
        <v>6</v>
      </c>
      <c r="E15" s="38" t="s">
        <v>431</v>
      </c>
      <c r="F15" s="39">
        <v>50</v>
      </c>
      <c r="G15" s="45">
        <v>26</v>
      </c>
      <c r="H15" s="45">
        <v>12</v>
      </c>
      <c r="I15" s="36">
        <v>99</v>
      </c>
      <c r="J15" s="45">
        <v>53</v>
      </c>
      <c r="K15" s="45">
        <v>24</v>
      </c>
      <c r="L15" s="36">
        <v>29027</v>
      </c>
      <c r="M15" s="45" t="s">
        <v>369</v>
      </c>
      <c r="N15" s="45">
        <v>100</v>
      </c>
      <c r="O15" s="45">
        <v>50</v>
      </c>
      <c r="P15" s="45">
        <v>79</v>
      </c>
      <c r="Q15" s="45">
        <v>52</v>
      </c>
      <c r="R15" s="45">
        <v>17</v>
      </c>
      <c r="S15" s="45">
        <v>7</v>
      </c>
      <c r="T15" s="45">
        <v>29027</v>
      </c>
      <c r="U15" s="45" t="s">
        <v>369</v>
      </c>
      <c r="V15" s="45">
        <v>100</v>
      </c>
      <c r="W15" s="45">
        <v>1</v>
      </c>
      <c r="X15" s="103">
        <v>5</v>
      </c>
      <c r="Y15" s="29">
        <v>31</v>
      </c>
      <c r="Z15" s="45">
        <v>5.2</v>
      </c>
      <c r="AA15" s="36">
        <v>85</v>
      </c>
      <c r="AB15" s="45">
        <v>19092</v>
      </c>
      <c r="AC15" s="45" t="s">
        <v>160</v>
      </c>
      <c r="AD15" s="45">
        <v>100</v>
      </c>
      <c r="AE15" s="42">
        <v>50</v>
      </c>
      <c r="AF15" s="43">
        <v>0.1</v>
      </c>
      <c r="AG15" s="45">
        <v>0</v>
      </c>
      <c r="AH15" s="35">
        <v>0</v>
      </c>
      <c r="AI15" s="46">
        <v>505272</v>
      </c>
      <c r="AJ15" s="47" t="s">
        <v>417</v>
      </c>
      <c r="AK15" s="46">
        <v>100</v>
      </c>
      <c r="AL15" s="34">
        <v>34</v>
      </c>
      <c r="AM15" s="43">
        <v>1.4</v>
      </c>
      <c r="AN15" s="35">
        <v>0.18</v>
      </c>
      <c r="AO15" s="35">
        <v>0.65</v>
      </c>
      <c r="AP15" s="35">
        <v>0.8</v>
      </c>
      <c r="AQ15" s="84">
        <v>2.37</v>
      </c>
      <c r="AR15" s="36">
        <v>29027</v>
      </c>
      <c r="AS15" s="45" t="s">
        <v>369</v>
      </c>
      <c r="AT15" s="45">
        <v>100</v>
      </c>
      <c r="AU15" s="44">
        <v>-1</v>
      </c>
      <c r="AV15" s="48">
        <v>-1</v>
      </c>
      <c r="AW15" s="48">
        <v>-1</v>
      </c>
      <c r="AX15" s="48">
        <v>-1</v>
      </c>
      <c r="AY15" s="48">
        <v>-1</v>
      </c>
      <c r="AZ15" s="45">
        <v>2</v>
      </c>
      <c r="BA15" s="45">
        <v>65</v>
      </c>
      <c r="BB15" s="35">
        <v>1.1000000000000001</v>
      </c>
      <c r="BC15" s="53">
        <v>-1</v>
      </c>
      <c r="BD15" s="53">
        <v>-1</v>
      </c>
      <c r="BE15" s="53">
        <v>-1</v>
      </c>
      <c r="BF15" s="53">
        <v>-1</v>
      </c>
      <c r="BG15" s="53">
        <v>100</v>
      </c>
      <c r="BH15" s="53">
        <v>-1</v>
      </c>
      <c r="BI15" s="45">
        <v>-1</v>
      </c>
      <c r="BJ15" s="28">
        <v>1</v>
      </c>
      <c r="BK15" s="53">
        <v>65</v>
      </c>
      <c r="BL15" s="54">
        <v>0.7</v>
      </c>
      <c r="BM15" s="53">
        <v>3</v>
      </c>
      <c r="BN15" s="53">
        <v>65</v>
      </c>
      <c r="BO15" s="54">
        <v>0.7</v>
      </c>
      <c r="BP15" s="59"/>
    </row>
    <row r="16" spans="1:68" ht="15" customHeight="1" x14ac:dyDescent="0.25">
      <c r="A16" s="50">
        <v>15</v>
      </c>
      <c r="B16" s="36">
        <v>1028</v>
      </c>
      <c r="C16" s="36">
        <v>1028</v>
      </c>
      <c r="D16" s="37" t="s">
        <v>6</v>
      </c>
      <c r="E16" s="38" t="s">
        <v>432</v>
      </c>
      <c r="F16" s="39">
        <v>26</v>
      </c>
      <c r="G16" s="36">
        <v>14</v>
      </c>
      <c r="H16" s="36">
        <v>6</v>
      </c>
      <c r="I16" s="36">
        <v>44</v>
      </c>
      <c r="J16" s="36">
        <v>23</v>
      </c>
      <c r="K16" s="36">
        <v>5</v>
      </c>
      <c r="L16" s="36">
        <v>29027</v>
      </c>
      <c r="M16" s="36" t="s">
        <v>369</v>
      </c>
      <c r="N16" s="36">
        <v>100</v>
      </c>
      <c r="O16" s="36">
        <v>26</v>
      </c>
      <c r="P16" s="36">
        <v>41</v>
      </c>
      <c r="Q16" s="36">
        <v>23</v>
      </c>
      <c r="R16" s="36">
        <v>7</v>
      </c>
      <c r="S16" s="36">
        <v>3</v>
      </c>
      <c r="T16" s="36">
        <v>29027</v>
      </c>
      <c r="U16" s="36" t="s">
        <v>369</v>
      </c>
      <c r="V16" s="36">
        <v>100</v>
      </c>
      <c r="W16" s="36">
        <v>1</v>
      </c>
      <c r="X16" s="102">
        <v>5</v>
      </c>
      <c r="Y16" s="29">
        <v>30</v>
      </c>
      <c r="Z16" s="47">
        <v>5.2</v>
      </c>
      <c r="AA16" s="46">
        <v>85</v>
      </c>
      <c r="AB16" s="50">
        <v>19092</v>
      </c>
      <c r="AC16" s="50" t="s">
        <v>160</v>
      </c>
      <c r="AD16" s="50">
        <v>100</v>
      </c>
      <c r="AE16" s="42">
        <v>60</v>
      </c>
      <c r="AF16" s="43">
        <v>0.5</v>
      </c>
      <c r="AG16" s="36">
        <v>0</v>
      </c>
      <c r="AH16" s="35">
        <v>0.17</v>
      </c>
      <c r="AI16" s="50">
        <v>41088</v>
      </c>
      <c r="AJ16" s="50" t="s">
        <v>420</v>
      </c>
      <c r="AK16" s="50">
        <v>100</v>
      </c>
      <c r="AL16" s="34">
        <v>18</v>
      </c>
      <c r="AM16" s="43">
        <v>1.4</v>
      </c>
      <c r="AN16" s="35">
        <v>0.09</v>
      </c>
      <c r="AO16" s="35">
        <v>0.34</v>
      </c>
      <c r="AP16" s="35">
        <v>0.42</v>
      </c>
      <c r="AQ16" s="83">
        <v>1.23</v>
      </c>
      <c r="AR16" s="36">
        <v>29027</v>
      </c>
      <c r="AS16" s="45" t="s">
        <v>369</v>
      </c>
      <c r="AT16" s="45">
        <v>100</v>
      </c>
      <c r="AU16" s="44">
        <v>-1</v>
      </c>
      <c r="AV16" s="48">
        <v>-1</v>
      </c>
      <c r="AW16" s="48">
        <v>-1</v>
      </c>
      <c r="AX16" s="48">
        <v>-1</v>
      </c>
      <c r="AY16" s="48">
        <v>-1</v>
      </c>
      <c r="AZ16" s="45">
        <v>2</v>
      </c>
      <c r="BA16" s="36">
        <v>34</v>
      </c>
      <c r="BB16" s="43">
        <v>1.1000000000000001</v>
      </c>
      <c r="BC16" s="53">
        <v>-1</v>
      </c>
      <c r="BD16" s="53">
        <v>-1</v>
      </c>
      <c r="BE16" s="53">
        <v>-1</v>
      </c>
      <c r="BF16" s="53">
        <v>-1</v>
      </c>
      <c r="BG16" s="53">
        <v>100</v>
      </c>
      <c r="BH16" s="53">
        <v>-1</v>
      </c>
      <c r="BI16" s="45">
        <v>-1</v>
      </c>
      <c r="BJ16" s="28">
        <v>1</v>
      </c>
      <c r="BK16" s="55">
        <v>34</v>
      </c>
      <c r="BL16" s="54">
        <v>0.7</v>
      </c>
      <c r="BM16" s="45">
        <v>3</v>
      </c>
      <c r="BN16" s="55">
        <v>34</v>
      </c>
      <c r="BO16" s="54">
        <v>0.7</v>
      </c>
    </row>
    <row r="17" spans="1:67" s="50" customFormat="1" ht="15" customHeight="1" x14ac:dyDescent="0.25">
      <c r="A17" s="50">
        <v>16</v>
      </c>
      <c r="B17" s="36">
        <v>1029</v>
      </c>
      <c r="C17" s="36">
        <v>1029</v>
      </c>
      <c r="D17" s="37" t="s">
        <v>6</v>
      </c>
      <c r="E17" s="38" t="s">
        <v>433</v>
      </c>
      <c r="F17" s="39">
        <v>30</v>
      </c>
      <c r="G17" s="36">
        <v>15</v>
      </c>
      <c r="H17" s="36">
        <v>7</v>
      </c>
      <c r="I17" s="36">
        <v>65</v>
      </c>
      <c r="J17" s="36">
        <v>34</v>
      </c>
      <c r="K17" s="36">
        <v>11</v>
      </c>
      <c r="L17" s="36">
        <v>29027</v>
      </c>
      <c r="M17" s="36" t="s">
        <v>369</v>
      </c>
      <c r="N17" s="36">
        <v>100</v>
      </c>
      <c r="O17" s="36">
        <v>30</v>
      </c>
      <c r="P17" s="36">
        <v>47</v>
      </c>
      <c r="Q17" s="36">
        <v>34</v>
      </c>
      <c r="R17" s="36">
        <v>11</v>
      </c>
      <c r="S17" s="36">
        <v>5</v>
      </c>
      <c r="T17" s="36">
        <v>29027</v>
      </c>
      <c r="U17" s="36" t="s">
        <v>369</v>
      </c>
      <c r="V17" s="36">
        <v>100</v>
      </c>
      <c r="W17" s="36">
        <v>1</v>
      </c>
      <c r="X17" s="102">
        <v>5</v>
      </c>
      <c r="Y17" s="29">
        <v>28</v>
      </c>
      <c r="Z17" s="47">
        <v>5.2</v>
      </c>
      <c r="AA17" s="46">
        <v>85</v>
      </c>
      <c r="AB17" s="50">
        <v>19092</v>
      </c>
      <c r="AC17" s="50" t="s">
        <v>160</v>
      </c>
      <c r="AD17" s="50">
        <v>100</v>
      </c>
      <c r="AE17" s="42">
        <v>60</v>
      </c>
      <c r="AF17" s="43">
        <v>10</v>
      </c>
      <c r="AG17" s="36">
        <v>100</v>
      </c>
      <c r="AH17" s="35">
        <v>2.4300000000000002</v>
      </c>
      <c r="AI17" s="50">
        <v>42058</v>
      </c>
      <c r="AJ17" s="50" t="s">
        <v>421</v>
      </c>
      <c r="AK17" s="58">
        <v>100</v>
      </c>
      <c r="AL17" s="34">
        <v>20</v>
      </c>
      <c r="AM17" s="43">
        <v>1.4</v>
      </c>
      <c r="AN17" s="35">
        <v>0.11</v>
      </c>
      <c r="AO17" s="35">
        <v>0.39</v>
      </c>
      <c r="AP17" s="35">
        <v>0.48</v>
      </c>
      <c r="AQ17" s="83">
        <v>1.4</v>
      </c>
      <c r="AR17" s="46">
        <v>29027</v>
      </c>
      <c r="AS17" s="50" t="s">
        <v>369</v>
      </c>
      <c r="AT17" s="50">
        <v>100</v>
      </c>
      <c r="AU17" s="44">
        <v>-1</v>
      </c>
      <c r="AV17" s="48">
        <v>-1</v>
      </c>
      <c r="AW17" s="48">
        <v>-1</v>
      </c>
      <c r="AX17" s="48">
        <v>-1</v>
      </c>
      <c r="AY17" s="48">
        <v>-1</v>
      </c>
      <c r="AZ17" s="45">
        <v>2</v>
      </c>
      <c r="BA17" s="36">
        <v>39</v>
      </c>
      <c r="BB17" s="43">
        <v>1.1000000000000001</v>
      </c>
      <c r="BC17" s="53">
        <v>-1</v>
      </c>
      <c r="BD17" s="53">
        <v>-1</v>
      </c>
      <c r="BE17" s="53">
        <v>-1</v>
      </c>
      <c r="BF17" s="53">
        <v>-1</v>
      </c>
      <c r="BG17" s="53">
        <v>100</v>
      </c>
      <c r="BH17" s="53">
        <v>-1</v>
      </c>
      <c r="BI17" s="45">
        <v>-1</v>
      </c>
      <c r="BJ17" s="28">
        <v>1</v>
      </c>
      <c r="BK17" s="55">
        <v>39</v>
      </c>
      <c r="BL17" s="54">
        <v>0.7</v>
      </c>
      <c r="BM17" s="45">
        <v>3</v>
      </c>
      <c r="BN17" s="55">
        <v>39</v>
      </c>
      <c r="BO17" s="54">
        <v>0.7</v>
      </c>
    </row>
    <row r="18" spans="1:67" s="50" customFormat="1" ht="15" customHeight="1" x14ac:dyDescent="0.25">
      <c r="A18" s="50">
        <v>17</v>
      </c>
      <c r="B18" s="51" t="s">
        <v>503</v>
      </c>
      <c r="C18" s="51">
        <v>911030</v>
      </c>
      <c r="D18" s="21" t="s">
        <v>6</v>
      </c>
      <c r="E18" s="39" t="s">
        <v>461</v>
      </c>
      <c r="F18" s="39">
        <v>15</v>
      </c>
      <c r="G18" s="36">
        <v>8</v>
      </c>
      <c r="H18" s="36">
        <v>4</v>
      </c>
      <c r="I18" s="36">
        <v>49</v>
      </c>
      <c r="J18" s="36">
        <v>26</v>
      </c>
      <c r="K18" s="36">
        <v>6</v>
      </c>
      <c r="L18" s="36">
        <v>29027</v>
      </c>
      <c r="M18" s="36" t="s">
        <v>369</v>
      </c>
      <c r="N18" s="36">
        <v>100</v>
      </c>
      <c r="O18" s="36">
        <v>15</v>
      </c>
      <c r="P18" s="36">
        <v>23</v>
      </c>
      <c r="Q18" s="36">
        <v>25</v>
      </c>
      <c r="R18" s="36">
        <v>8</v>
      </c>
      <c r="S18" s="36">
        <v>3</v>
      </c>
      <c r="T18" s="36">
        <v>29027</v>
      </c>
      <c r="U18" s="36" t="s">
        <v>369</v>
      </c>
      <c r="V18" s="36">
        <v>100</v>
      </c>
      <c r="W18" s="36">
        <v>1</v>
      </c>
      <c r="X18" s="102">
        <v>5</v>
      </c>
      <c r="Y18" s="29">
        <v>64</v>
      </c>
      <c r="Z18" s="47">
        <v>5.2</v>
      </c>
      <c r="AA18" s="46">
        <v>85</v>
      </c>
      <c r="AB18" s="50">
        <v>19092</v>
      </c>
      <c r="AC18" s="50" t="s">
        <v>160</v>
      </c>
      <c r="AD18" s="50">
        <v>100</v>
      </c>
      <c r="AE18" s="42">
        <v>30</v>
      </c>
      <c r="AF18" s="43">
        <v>0.5</v>
      </c>
      <c r="AG18" s="36">
        <v>0</v>
      </c>
      <c r="AH18" s="35">
        <v>0.05</v>
      </c>
      <c r="AI18" s="50">
        <v>42236</v>
      </c>
      <c r="AJ18" s="50" t="s">
        <v>207</v>
      </c>
      <c r="AK18" s="50">
        <v>100</v>
      </c>
      <c r="AL18" s="34">
        <v>10</v>
      </c>
      <c r="AM18" s="43">
        <v>1.4</v>
      </c>
      <c r="AN18" s="35">
        <v>0.05</v>
      </c>
      <c r="AO18" s="35">
        <v>0.19</v>
      </c>
      <c r="AP18" s="35">
        <v>0.24</v>
      </c>
      <c r="AQ18" s="83">
        <v>0.7</v>
      </c>
      <c r="AR18" s="46">
        <v>29027</v>
      </c>
      <c r="AS18" s="50" t="s">
        <v>369</v>
      </c>
      <c r="AT18" s="50">
        <v>100</v>
      </c>
      <c r="AU18" s="44">
        <v>-1</v>
      </c>
      <c r="AV18" s="48">
        <v>-1</v>
      </c>
      <c r="AW18" s="48">
        <v>-1</v>
      </c>
      <c r="AX18" s="48">
        <v>-1</v>
      </c>
      <c r="AY18" s="48">
        <v>-1</v>
      </c>
      <c r="AZ18" s="45">
        <v>1</v>
      </c>
      <c r="BA18" s="36">
        <v>19</v>
      </c>
      <c r="BB18" s="43">
        <v>1.1000000000000001</v>
      </c>
      <c r="BC18" s="53">
        <v>-1</v>
      </c>
      <c r="BD18" s="53">
        <v>-1</v>
      </c>
      <c r="BE18" s="53">
        <v>-1</v>
      </c>
      <c r="BF18" s="53">
        <v>-1</v>
      </c>
      <c r="BG18" s="53">
        <v>100</v>
      </c>
      <c r="BH18" s="53">
        <v>-1</v>
      </c>
      <c r="BI18" s="45">
        <v>-1</v>
      </c>
      <c r="BJ18" s="28">
        <v>1</v>
      </c>
      <c r="BK18" s="55">
        <v>19</v>
      </c>
      <c r="BL18" s="54">
        <v>0.7</v>
      </c>
      <c r="BM18" s="45">
        <v>3</v>
      </c>
      <c r="BN18" s="55">
        <v>19</v>
      </c>
      <c r="BO18" s="54">
        <v>0.7</v>
      </c>
    </row>
    <row r="19" spans="1:67" s="50" customFormat="1" ht="15" customHeight="1" x14ac:dyDescent="0.25">
      <c r="A19" s="50">
        <v>18</v>
      </c>
      <c r="B19" s="51" t="s">
        <v>504</v>
      </c>
      <c r="C19" s="51">
        <v>921030</v>
      </c>
      <c r="D19" s="21" t="s">
        <v>6</v>
      </c>
      <c r="E19" s="39" t="s">
        <v>461</v>
      </c>
      <c r="F19" s="39">
        <v>55</v>
      </c>
      <c r="G19" s="41">
        <v>29</v>
      </c>
      <c r="H19" s="36">
        <v>13</v>
      </c>
      <c r="I19" s="36">
        <v>81</v>
      </c>
      <c r="J19" s="36">
        <v>43</v>
      </c>
      <c r="K19" s="36">
        <v>16</v>
      </c>
      <c r="L19" s="36">
        <v>29027</v>
      </c>
      <c r="M19" s="36" t="s">
        <v>369</v>
      </c>
      <c r="N19" s="36">
        <v>100</v>
      </c>
      <c r="O19" s="36">
        <v>55</v>
      </c>
      <c r="P19" s="36">
        <v>87</v>
      </c>
      <c r="Q19" s="36">
        <v>42</v>
      </c>
      <c r="R19" s="36">
        <v>14</v>
      </c>
      <c r="S19" s="36">
        <v>5</v>
      </c>
      <c r="T19" s="36">
        <v>29027</v>
      </c>
      <c r="U19" s="36" t="s">
        <v>369</v>
      </c>
      <c r="V19" s="36">
        <v>100</v>
      </c>
      <c r="W19" s="36">
        <v>1</v>
      </c>
      <c r="X19" s="102">
        <v>5</v>
      </c>
      <c r="Y19" s="29">
        <v>49</v>
      </c>
      <c r="Z19" s="47">
        <v>5.2</v>
      </c>
      <c r="AA19" s="46">
        <v>85</v>
      </c>
      <c r="AB19" s="50">
        <v>19092</v>
      </c>
      <c r="AC19" s="50" t="s">
        <v>160</v>
      </c>
      <c r="AD19" s="50">
        <v>100</v>
      </c>
      <c r="AE19" s="42">
        <v>30</v>
      </c>
      <c r="AF19" s="43">
        <v>0.5</v>
      </c>
      <c r="AG19" s="36">
        <v>0</v>
      </c>
      <c r="AH19" s="35">
        <v>0.05</v>
      </c>
      <c r="AI19" s="50">
        <v>42236</v>
      </c>
      <c r="AJ19" s="50" t="s">
        <v>207</v>
      </c>
      <c r="AK19" s="50">
        <v>100</v>
      </c>
      <c r="AL19" s="34">
        <v>37</v>
      </c>
      <c r="AM19" s="43">
        <v>1.4</v>
      </c>
      <c r="AN19" s="35">
        <v>0.2</v>
      </c>
      <c r="AO19" s="35">
        <v>0.72</v>
      </c>
      <c r="AP19" s="35">
        <v>0.88</v>
      </c>
      <c r="AQ19" s="83">
        <v>2.6</v>
      </c>
      <c r="AR19" s="46">
        <v>29027</v>
      </c>
      <c r="AS19" s="50" t="s">
        <v>369</v>
      </c>
      <c r="AT19" s="50">
        <v>100</v>
      </c>
      <c r="AU19" s="44">
        <v>-1</v>
      </c>
      <c r="AV19" s="48">
        <v>-1</v>
      </c>
      <c r="AW19" s="48">
        <v>-1</v>
      </c>
      <c r="AX19" s="48">
        <v>-1</v>
      </c>
      <c r="AY19" s="48">
        <v>-1</v>
      </c>
      <c r="AZ19" s="45">
        <v>1</v>
      </c>
      <c r="BA19" s="36">
        <v>71</v>
      </c>
      <c r="BB19" s="43">
        <v>1.1000000000000001</v>
      </c>
      <c r="BC19" s="45">
        <v>-1</v>
      </c>
      <c r="BD19" s="45">
        <v>-1</v>
      </c>
      <c r="BE19" s="45">
        <v>-1</v>
      </c>
      <c r="BF19" s="45">
        <v>-1</v>
      </c>
      <c r="BG19" s="45">
        <v>100</v>
      </c>
      <c r="BH19" s="45">
        <v>-1</v>
      </c>
      <c r="BI19" s="45">
        <v>-1</v>
      </c>
      <c r="BJ19" s="28">
        <v>1</v>
      </c>
      <c r="BK19" s="36">
        <v>71</v>
      </c>
      <c r="BL19" s="43">
        <v>0.7</v>
      </c>
      <c r="BM19" s="45">
        <v>3</v>
      </c>
      <c r="BN19" s="36">
        <v>71</v>
      </c>
      <c r="BO19" s="43">
        <v>0.7</v>
      </c>
    </row>
    <row r="20" spans="1:67" s="50" customFormat="1" ht="15" customHeight="1" x14ac:dyDescent="0.25">
      <c r="A20" s="50">
        <v>19</v>
      </c>
      <c r="B20" s="51" t="s">
        <v>505</v>
      </c>
      <c r="C20" s="51">
        <v>931030</v>
      </c>
      <c r="D20" s="37" t="s">
        <v>6</v>
      </c>
      <c r="E20" s="39" t="s">
        <v>461</v>
      </c>
      <c r="F20" s="39">
        <v>77</v>
      </c>
      <c r="G20" s="41">
        <v>40</v>
      </c>
      <c r="H20" s="36">
        <v>19</v>
      </c>
      <c r="I20" s="36">
        <v>103</v>
      </c>
      <c r="J20" s="36">
        <v>55</v>
      </c>
      <c r="K20" s="36">
        <v>26</v>
      </c>
      <c r="L20" s="36">
        <v>29027</v>
      </c>
      <c r="M20" s="36" t="s">
        <v>369</v>
      </c>
      <c r="N20" s="36">
        <v>100</v>
      </c>
      <c r="O20" s="36">
        <v>77</v>
      </c>
      <c r="P20" s="36">
        <v>122</v>
      </c>
      <c r="Q20" s="36">
        <v>53</v>
      </c>
      <c r="R20" s="36">
        <v>17</v>
      </c>
      <c r="S20" s="36">
        <v>8</v>
      </c>
      <c r="T20" s="36">
        <v>29027</v>
      </c>
      <c r="U20" s="36" t="s">
        <v>369</v>
      </c>
      <c r="V20" s="36">
        <v>100</v>
      </c>
      <c r="W20" s="36">
        <v>1</v>
      </c>
      <c r="X20" s="102">
        <v>5</v>
      </c>
      <c r="Y20" s="29">
        <v>47</v>
      </c>
      <c r="Z20" s="47">
        <v>5.2</v>
      </c>
      <c r="AA20" s="46">
        <v>85</v>
      </c>
      <c r="AB20" s="50">
        <v>19092</v>
      </c>
      <c r="AC20" s="50" t="s">
        <v>160</v>
      </c>
      <c r="AD20" s="50">
        <v>100</v>
      </c>
      <c r="AE20" s="42">
        <v>22.8</v>
      </c>
      <c r="AF20" s="43">
        <v>0.5</v>
      </c>
      <c r="AG20" s="36">
        <v>0</v>
      </c>
      <c r="AH20" s="35">
        <v>0.04</v>
      </c>
      <c r="AI20" s="50">
        <v>42236</v>
      </c>
      <c r="AJ20" s="50" t="s">
        <v>207</v>
      </c>
      <c r="AK20" s="50">
        <v>100</v>
      </c>
      <c r="AL20" s="34">
        <v>52</v>
      </c>
      <c r="AM20" s="43">
        <v>1.4</v>
      </c>
      <c r="AN20" s="35">
        <v>0.28000000000000003</v>
      </c>
      <c r="AO20" s="35">
        <v>1.01</v>
      </c>
      <c r="AP20" s="35">
        <v>1.24</v>
      </c>
      <c r="AQ20" s="83">
        <v>3.65</v>
      </c>
      <c r="AR20" s="46">
        <v>29027</v>
      </c>
      <c r="AS20" s="50" t="s">
        <v>369</v>
      </c>
      <c r="AT20" s="50">
        <v>100</v>
      </c>
      <c r="AU20" s="44">
        <v>-1</v>
      </c>
      <c r="AV20" s="48">
        <v>-1</v>
      </c>
      <c r="AW20" s="48">
        <v>-1</v>
      </c>
      <c r="AX20" s="48">
        <v>-1</v>
      </c>
      <c r="AY20" s="48">
        <v>-1</v>
      </c>
      <c r="AZ20" s="45">
        <v>1</v>
      </c>
      <c r="BA20" s="36">
        <v>100</v>
      </c>
      <c r="BB20" s="43">
        <v>1.1000000000000001</v>
      </c>
      <c r="BC20" s="45">
        <v>-1</v>
      </c>
      <c r="BD20" s="45">
        <v>-1</v>
      </c>
      <c r="BE20" s="45">
        <v>-1</v>
      </c>
      <c r="BF20" s="45">
        <v>-1</v>
      </c>
      <c r="BG20" s="45">
        <v>100</v>
      </c>
      <c r="BH20" s="45">
        <v>-1</v>
      </c>
      <c r="BI20" s="45">
        <v>-1</v>
      </c>
      <c r="BJ20" s="28">
        <v>1</v>
      </c>
      <c r="BK20" s="36">
        <v>100</v>
      </c>
      <c r="BL20" s="43">
        <v>0.7</v>
      </c>
      <c r="BM20" s="45">
        <v>3</v>
      </c>
      <c r="BN20" s="36">
        <v>100</v>
      </c>
      <c r="BO20" s="43">
        <v>0.7</v>
      </c>
    </row>
    <row r="21" spans="1:67" s="50" customFormat="1" x14ac:dyDescent="0.25">
      <c r="A21" s="50">
        <v>20</v>
      </c>
      <c r="B21" s="51" t="s">
        <v>506</v>
      </c>
      <c r="C21" s="51">
        <v>911031</v>
      </c>
      <c r="D21" s="37" t="s">
        <v>6</v>
      </c>
      <c r="E21" s="39" t="s">
        <v>460</v>
      </c>
      <c r="F21" s="39">
        <v>21</v>
      </c>
      <c r="G21" s="41">
        <v>11</v>
      </c>
      <c r="H21" s="36">
        <v>5</v>
      </c>
      <c r="I21" s="36">
        <v>58</v>
      </c>
      <c r="J21" s="36">
        <v>31</v>
      </c>
      <c r="K21" s="36">
        <v>9</v>
      </c>
      <c r="L21" s="36">
        <v>29027</v>
      </c>
      <c r="M21" s="36" t="s">
        <v>369</v>
      </c>
      <c r="N21" s="36">
        <v>100</v>
      </c>
      <c r="O21" s="36">
        <v>21</v>
      </c>
      <c r="P21" s="36">
        <v>32</v>
      </c>
      <c r="Q21" s="36">
        <v>30</v>
      </c>
      <c r="R21" s="36">
        <v>10</v>
      </c>
      <c r="S21" s="36">
        <v>4</v>
      </c>
      <c r="T21" s="36">
        <v>29027</v>
      </c>
      <c r="U21" s="36" t="s">
        <v>369</v>
      </c>
      <c r="V21" s="36">
        <v>100</v>
      </c>
      <c r="W21" s="36">
        <v>1</v>
      </c>
      <c r="X21" s="102">
        <v>5</v>
      </c>
      <c r="Y21" s="29">
        <v>62</v>
      </c>
      <c r="Z21" s="47">
        <v>5.2</v>
      </c>
      <c r="AA21" s="46">
        <v>85</v>
      </c>
      <c r="AB21" s="50">
        <v>19092</v>
      </c>
      <c r="AC21" s="50" t="s">
        <v>160</v>
      </c>
      <c r="AD21" s="50">
        <v>100</v>
      </c>
      <c r="AE21" s="42">
        <v>30</v>
      </c>
      <c r="AF21" s="43">
        <v>0.5</v>
      </c>
      <c r="AG21" s="36">
        <v>0</v>
      </c>
      <c r="AH21" s="35">
        <v>0.38700000000000001</v>
      </c>
      <c r="AI21" s="50">
        <v>41976</v>
      </c>
      <c r="AJ21" s="50" t="s">
        <v>209</v>
      </c>
      <c r="AK21" s="50">
        <v>100</v>
      </c>
      <c r="AL21" s="34">
        <v>14</v>
      </c>
      <c r="AM21" s="43">
        <v>1.4</v>
      </c>
      <c r="AN21" s="35">
        <v>0.08</v>
      </c>
      <c r="AO21" s="35">
        <v>0.27</v>
      </c>
      <c r="AP21" s="35">
        <v>0.33</v>
      </c>
      <c r="AQ21" s="83">
        <v>0.97</v>
      </c>
      <c r="AR21" s="46">
        <v>29027</v>
      </c>
      <c r="AS21" s="50" t="s">
        <v>369</v>
      </c>
      <c r="AT21" s="50">
        <v>100</v>
      </c>
      <c r="AU21" s="44">
        <v>-1</v>
      </c>
      <c r="AV21" s="48">
        <v>-1</v>
      </c>
      <c r="AW21" s="48">
        <v>-1</v>
      </c>
      <c r="AX21" s="48">
        <v>-1</v>
      </c>
      <c r="AY21" s="48">
        <v>-1</v>
      </c>
      <c r="AZ21" s="45">
        <v>1</v>
      </c>
      <c r="BA21" s="36">
        <v>27</v>
      </c>
      <c r="BB21" s="43">
        <v>1.1000000000000001</v>
      </c>
      <c r="BC21" s="45">
        <v>-1</v>
      </c>
      <c r="BD21" s="45">
        <v>-1</v>
      </c>
      <c r="BE21" s="45">
        <v>-1</v>
      </c>
      <c r="BF21" s="45">
        <v>-1</v>
      </c>
      <c r="BG21" s="45">
        <v>100</v>
      </c>
      <c r="BH21" s="45">
        <v>-1</v>
      </c>
      <c r="BI21" s="45">
        <v>-1</v>
      </c>
      <c r="BJ21" s="28">
        <v>1</v>
      </c>
      <c r="BK21" s="36">
        <v>27</v>
      </c>
      <c r="BL21" s="43">
        <v>0.7</v>
      </c>
      <c r="BM21" s="45">
        <v>3</v>
      </c>
      <c r="BN21" s="36">
        <v>27</v>
      </c>
      <c r="BO21" s="43">
        <v>0.7</v>
      </c>
    </row>
    <row r="22" spans="1:67" s="50" customFormat="1" x14ac:dyDescent="0.25">
      <c r="A22" s="50">
        <v>21</v>
      </c>
      <c r="B22" s="51" t="s">
        <v>507</v>
      </c>
      <c r="C22" s="51">
        <v>921031</v>
      </c>
      <c r="D22" s="37" t="s">
        <v>6</v>
      </c>
      <c r="E22" s="39" t="s">
        <v>460</v>
      </c>
      <c r="F22" s="39">
        <v>53</v>
      </c>
      <c r="G22" s="41">
        <v>28</v>
      </c>
      <c r="H22" s="36">
        <v>13</v>
      </c>
      <c r="I22" s="36">
        <v>77</v>
      </c>
      <c r="J22" s="36">
        <v>41</v>
      </c>
      <c r="K22" s="36">
        <v>15</v>
      </c>
      <c r="L22" s="36">
        <v>29027</v>
      </c>
      <c r="M22" s="36" t="s">
        <v>369</v>
      </c>
      <c r="N22" s="36">
        <v>100</v>
      </c>
      <c r="O22" s="36">
        <v>53</v>
      </c>
      <c r="P22" s="36">
        <v>84</v>
      </c>
      <c r="Q22" s="36">
        <v>40</v>
      </c>
      <c r="R22" s="36">
        <v>13</v>
      </c>
      <c r="S22" s="36">
        <v>4</v>
      </c>
      <c r="T22" s="36">
        <v>29027</v>
      </c>
      <c r="U22" s="36" t="s">
        <v>369</v>
      </c>
      <c r="V22" s="36">
        <v>100</v>
      </c>
      <c r="W22" s="36">
        <v>1</v>
      </c>
      <c r="X22" s="102">
        <v>5</v>
      </c>
      <c r="Y22" s="29">
        <v>49</v>
      </c>
      <c r="Z22" s="47">
        <v>5.2</v>
      </c>
      <c r="AA22" s="46">
        <v>85</v>
      </c>
      <c r="AB22" s="50">
        <v>19092</v>
      </c>
      <c r="AC22" s="50" t="s">
        <v>160</v>
      </c>
      <c r="AD22" s="50">
        <v>100</v>
      </c>
      <c r="AE22" s="42">
        <v>30</v>
      </c>
      <c r="AF22" s="43">
        <v>0.5</v>
      </c>
      <c r="AG22" s="36">
        <v>0</v>
      </c>
      <c r="AH22" s="35">
        <v>0.38700000000000001</v>
      </c>
      <c r="AI22" s="50">
        <v>41976</v>
      </c>
      <c r="AJ22" s="50" t="s">
        <v>209</v>
      </c>
      <c r="AK22" s="50">
        <v>100</v>
      </c>
      <c r="AL22" s="34">
        <v>36</v>
      </c>
      <c r="AM22" s="43">
        <v>1.4</v>
      </c>
      <c r="AN22" s="35">
        <v>0.19</v>
      </c>
      <c r="AO22" s="35">
        <v>0.7</v>
      </c>
      <c r="AP22" s="35">
        <v>0.86</v>
      </c>
      <c r="AQ22" s="83">
        <v>2.52</v>
      </c>
      <c r="AR22" s="46">
        <v>29027</v>
      </c>
      <c r="AS22" s="50" t="s">
        <v>369</v>
      </c>
      <c r="AT22" s="50">
        <v>100</v>
      </c>
      <c r="AU22" s="44">
        <v>-1</v>
      </c>
      <c r="AV22" s="48">
        <v>-1</v>
      </c>
      <c r="AW22" s="48">
        <v>-1</v>
      </c>
      <c r="AX22" s="48">
        <v>-1</v>
      </c>
      <c r="AY22" s="48">
        <v>-1</v>
      </c>
      <c r="AZ22" s="45">
        <v>1</v>
      </c>
      <c r="BA22" s="36">
        <v>69</v>
      </c>
      <c r="BB22" s="43">
        <v>1.1000000000000001</v>
      </c>
      <c r="BC22" s="45">
        <v>-1</v>
      </c>
      <c r="BD22" s="45">
        <v>-1</v>
      </c>
      <c r="BE22" s="45">
        <v>-1</v>
      </c>
      <c r="BF22" s="45">
        <v>-1</v>
      </c>
      <c r="BG22" s="45">
        <v>100</v>
      </c>
      <c r="BH22" s="45">
        <v>-1</v>
      </c>
      <c r="BI22" s="45">
        <v>-1</v>
      </c>
      <c r="BJ22" s="28">
        <v>1</v>
      </c>
      <c r="BK22" s="36">
        <v>69</v>
      </c>
      <c r="BL22" s="43">
        <v>0.7</v>
      </c>
      <c r="BM22" s="45">
        <v>3</v>
      </c>
      <c r="BN22" s="36">
        <v>69</v>
      </c>
      <c r="BO22" s="43">
        <v>0.7</v>
      </c>
    </row>
    <row r="23" spans="1:67" s="50" customFormat="1" x14ac:dyDescent="0.25">
      <c r="A23" s="50">
        <v>22</v>
      </c>
      <c r="B23" s="51" t="s">
        <v>508</v>
      </c>
      <c r="C23" s="51">
        <v>931031</v>
      </c>
      <c r="D23" s="37" t="s">
        <v>6</v>
      </c>
      <c r="E23" s="39" t="s">
        <v>460</v>
      </c>
      <c r="F23" s="39">
        <v>77</v>
      </c>
      <c r="G23" s="41">
        <v>40</v>
      </c>
      <c r="H23" s="36">
        <v>19</v>
      </c>
      <c r="I23" s="36">
        <v>96</v>
      </c>
      <c r="J23" s="36">
        <v>51</v>
      </c>
      <c r="K23" s="36">
        <v>23</v>
      </c>
      <c r="L23" s="36">
        <v>29027</v>
      </c>
      <c r="M23" s="36" t="s">
        <v>369</v>
      </c>
      <c r="N23" s="36">
        <v>100</v>
      </c>
      <c r="O23" s="36">
        <v>77</v>
      </c>
      <c r="P23" s="36">
        <v>121</v>
      </c>
      <c r="Q23" s="36">
        <v>50</v>
      </c>
      <c r="R23" s="36">
        <v>16</v>
      </c>
      <c r="S23" s="36">
        <v>7</v>
      </c>
      <c r="T23" s="36">
        <v>29027</v>
      </c>
      <c r="U23" s="36" t="s">
        <v>369</v>
      </c>
      <c r="V23" s="36">
        <v>100</v>
      </c>
      <c r="W23" s="36">
        <v>1</v>
      </c>
      <c r="X23" s="102">
        <v>5</v>
      </c>
      <c r="Y23" s="29">
        <v>47</v>
      </c>
      <c r="Z23" s="47">
        <v>5.2</v>
      </c>
      <c r="AA23" s="46">
        <v>85</v>
      </c>
      <c r="AB23" s="50">
        <v>19092</v>
      </c>
      <c r="AC23" s="50" t="s">
        <v>160</v>
      </c>
      <c r="AD23" s="50">
        <v>100</v>
      </c>
      <c r="AE23" s="42">
        <v>23.3</v>
      </c>
      <c r="AF23" s="43">
        <v>0.5</v>
      </c>
      <c r="AG23" s="36">
        <v>0</v>
      </c>
      <c r="AH23" s="35">
        <v>0.30078672000000001</v>
      </c>
      <c r="AI23" s="50">
        <v>41976</v>
      </c>
      <c r="AJ23" s="50" t="s">
        <v>209</v>
      </c>
      <c r="AK23" s="50">
        <v>100</v>
      </c>
      <c r="AL23" s="34">
        <v>52</v>
      </c>
      <c r="AM23" s="43">
        <v>1.4</v>
      </c>
      <c r="AN23" s="35">
        <v>0.28000000000000003</v>
      </c>
      <c r="AO23" s="35">
        <v>1</v>
      </c>
      <c r="AP23" s="35">
        <v>1.23</v>
      </c>
      <c r="AQ23" s="83">
        <v>3.63</v>
      </c>
      <c r="AR23" s="46">
        <v>29027</v>
      </c>
      <c r="AS23" s="50" t="s">
        <v>369</v>
      </c>
      <c r="AT23" s="50">
        <v>100</v>
      </c>
      <c r="AU23" s="44">
        <v>-1</v>
      </c>
      <c r="AV23" s="48">
        <v>-1</v>
      </c>
      <c r="AW23" s="48">
        <v>-1</v>
      </c>
      <c r="AX23" s="48">
        <v>-1</v>
      </c>
      <c r="AY23" s="48">
        <v>-1</v>
      </c>
      <c r="AZ23" s="45">
        <v>1</v>
      </c>
      <c r="BA23" s="36">
        <v>100</v>
      </c>
      <c r="BB23" s="43">
        <v>1.1000000000000001</v>
      </c>
      <c r="BC23" s="45">
        <v>-1</v>
      </c>
      <c r="BD23" s="45">
        <v>-1</v>
      </c>
      <c r="BE23" s="45">
        <v>-1</v>
      </c>
      <c r="BF23" s="45">
        <v>-1</v>
      </c>
      <c r="BG23" s="45">
        <v>100</v>
      </c>
      <c r="BH23" s="45">
        <v>-1</v>
      </c>
      <c r="BI23" s="45">
        <v>-1</v>
      </c>
      <c r="BJ23" s="28">
        <v>1</v>
      </c>
      <c r="BK23" s="36">
        <v>100</v>
      </c>
      <c r="BL23" s="43">
        <v>0.7</v>
      </c>
      <c r="BM23" s="45">
        <v>3</v>
      </c>
      <c r="BN23" s="36">
        <v>100</v>
      </c>
      <c r="BO23" s="43">
        <v>0.7</v>
      </c>
    </row>
    <row r="24" spans="1:67" s="50" customFormat="1" ht="15" customHeight="1" x14ac:dyDescent="0.25">
      <c r="A24" s="50">
        <v>23</v>
      </c>
      <c r="B24" s="51" t="s">
        <v>509</v>
      </c>
      <c r="C24" s="51">
        <v>911032</v>
      </c>
      <c r="D24" s="37" t="s">
        <v>6</v>
      </c>
      <c r="E24" s="39" t="s">
        <v>462</v>
      </c>
      <c r="F24" s="39">
        <v>16</v>
      </c>
      <c r="G24" s="41">
        <v>9</v>
      </c>
      <c r="H24" s="36">
        <v>4</v>
      </c>
      <c r="I24" s="36">
        <v>54</v>
      </c>
      <c r="J24" s="36">
        <v>29</v>
      </c>
      <c r="K24" s="36">
        <v>8</v>
      </c>
      <c r="L24" s="36">
        <v>29027</v>
      </c>
      <c r="M24" s="36" t="s">
        <v>369</v>
      </c>
      <c r="N24" s="36">
        <v>100</v>
      </c>
      <c r="O24" s="36">
        <v>16</v>
      </c>
      <c r="P24" s="36">
        <v>26</v>
      </c>
      <c r="Q24" s="36">
        <v>28</v>
      </c>
      <c r="R24" s="36">
        <v>9</v>
      </c>
      <c r="S24" s="36">
        <v>4</v>
      </c>
      <c r="T24" s="36">
        <v>29027</v>
      </c>
      <c r="U24" s="36" t="s">
        <v>369</v>
      </c>
      <c r="V24" s="36">
        <v>100</v>
      </c>
      <c r="W24" s="36">
        <v>1</v>
      </c>
      <c r="X24" s="102">
        <v>5</v>
      </c>
      <c r="Y24" s="29">
        <v>64</v>
      </c>
      <c r="Z24" s="47">
        <v>5.2</v>
      </c>
      <c r="AA24" s="46">
        <v>85</v>
      </c>
      <c r="AB24" s="50">
        <v>19092</v>
      </c>
      <c r="AC24" s="50" t="s">
        <v>160</v>
      </c>
      <c r="AD24" s="50">
        <v>100</v>
      </c>
      <c r="AE24" s="42">
        <v>30</v>
      </c>
      <c r="AF24" s="43">
        <v>0.5</v>
      </c>
      <c r="AG24" s="36">
        <v>0</v>
      </c>
      <c r="AH24" s="35">
        <v>0.14000000000000001</v>
      </c>
      <c r="AI24" s="50">
        <v>42269</v>
      </c>
      <c r="AJ24" s="50" t="s">
        <v>206</v>
      </c>
      <c r="AK24" s="50">
        <v>100</v>
      </c>
      <c r="AL24" s="34">
        <v>11</v>
      </c>
      <c r="AM24" s="43">
        <v>1.4</v>
      </c>
      <c r="AN24" s="35">
        <v>0.06</v>
      </c>
      <c r="AO24" s="35">
        <v>0.22</v>
      </c>
      <c r="AP24" s="35">
        <v>0.26</v>
      </c>
      <c r="AQ24" s="83">
        <v>0.78</v>
      </c>
      <c r="AR24" s="46">
        <v>29027</v>
      </c>
      <c r="AS24" s="50" t="s">
        <v>369</v>
      </c>
      <c r="AT24" s="50">
        <v>100</v>
      </c>
      <c r="AU24" s="44">
        <v>-1</v>
      </c>
      <c r="AV24" s="48">
        <v>-1</v>
      </c>
      <c r="AW24" s="48">
        <v>-1</v>
      </c>
      <c r="AX24" s="48">
        <v>-1</v>
      </c>
      <c r="AY24" s="48">
        <v>-1</v>
      </c>
      <c r="AZ24" s="45">
        <v>1</v>
      </c>
      <c r="BA24" s="36">
        <v>21</v>
      </c>
      <c r="BB24" s="43">
        <v>1.1000000000000001</v>
      </c>
      <c r="BC24" s="45">
        <v>-1</v>
      </c>
      <c r="BD24" s="45">
        <v>-1</v>
      </c>
      <c r="BE24" s="45">
        <v>-1</v>
      </c>
      <c r="BF24" s="45">
        <v>-1</v>
      </c>
      <c r="BG24" s="45">
        <v>100</v>
      </c>
      <c r="BH24" s="45">
        <v>-1</v>
      </c>
      <c r="BI24" s="45">
        <v>-1</v>
      </c>
      <c r="BJ24" s="28">
        <v>1</v>
      </c>
      <c r="BK24" s="36">
        <v>21</v>
      </c>
      <c r="BL24" s="43">
        <v>0.7</v>
      </c>
      <c r="BM24" s="45">
        <v>3</v>
      </c>
      <c r="BN24" s="36">
        <v>21</v>
      </c>
      <c r="BO24" s="43">
        <v>0.7</v>
      </c>
    </row>
    <row r="25" spans="1:67" s="50" customFormat="1" ht="15" customHeight="1" x14ac:dyDescent="0.25">
      <c r="A25" s="50">
        <v>24</v>
      </c>
      <c r="B25" s="51" t="s">
        <v>510</v>
      </c>
      <c r="C25" s="51">
        <v>921032</v>
      </c>
      <c r="D25" s="37" t="s">
        <v>6</v>
      </c>
      <c r="E25" s="39" t="s">
        <v>462</v>
      </c>
      <c r="F25" s="39">
        <v>53</v>
      </c>
      <c r="G25" s="41">
        <v>28</v>
      </c>
      <c r="H25" s="36">
        <v>13</v>
      </c>
      <c r="I25" s="36">
        <v>73</v>
      </c>
      <c r="J25" s="36">
        <v>39</v>
      </c>
      <c r="K25" s="36">
        <v>13</v>
      </c>
      <c r="L25" s="36">
        <v>29027</v>
      </c>
      <c r="M25" s="36" t="s">
        <v>369</v>
      </c>
      <c r="N25" s="36">
        <v>100</v>
      </c>
      <c r="O25" s="36">
        <v>53</v>
      </c>
      <c r="P25" s="36">
        <v>84</v>
      </c>
      <c r="Q25" s="36">
        <v>38</v>
      </c>
      <c r="R25" s="36">
        <v>12</v>
      </c>
      <c r="S25" s="36">
        <v>4</v>
      </c>
      <c r="T25" s="36">
        <v>29027</v>
      </c>
      <c r="U25" s="36" t="s">
        <v>369</v>
      </c>
      <c r="V25" s="36">
        <v>100</v>
      </c>
      <c r="W25" s="36">
        <v>1</v>
      </c>
      <c r="X25" s="102">
        <v>5</v>
      </c>
      <c r="Y25" s="29">
        <v>49</v>
      </c>
      <c r="Z25" s="47">
        <v>5.2</v>
      </c>
      <c r="AA25" s="46">
        <v>85</v>
      </c>
      <c r="AB25" s="50">
        <v>19092</v>
      </c>
      <c r="AC25" s="50" t="s">
        <v>160</v>
      </c>
      <c r="AD25" s="50">
        <v>100</v>
      </c>
      <c r="AE25" s="42">
        <v>30</v>
      </c>
      <c r="AF25" s="43">
        <v>0.5</v>
      </c>
      <c r="AG25" s="36">
        <v>0</v>
      </c>
      <c r="AH25" s="35">
        <v>0.14000000000000001</v>
      </c>
      <c r="AI25" s="50">
        <v>42269</v>
      </c>
      <c r="AJ25" s="50" t="s">
        <v>206</v>
      </c>
      <c r="AK25" s="50">
        <v>100</v>
      </c>
      <c r="AL25" s="34">
        <v>36</v>
      </c>
      <c r="AM25" s="43">
        <v>1.4</v>
      </c>
      <c r="AN25" s="35">
        <v>0.19</v>
      </c>
      <c r="AO25" s="35">
        <v>0.7</v>
      </c>
      <c r="AP25" s="35">
        <v>0.86</v>
      </c>
      <c r="AQ25" s="83">
        <v>2.52</v>
      </c>
      <c r="AR25" s="46">
        <v>29027</v>
      </c>
      <c r="AS25" s="50" t="s">
        <v>369</v>
      </c>
      <c r="AT25" s="50">
        <v>100</v>
      </c>
      <c r="AU25" s="44">
        <v>-1</v>
      </c>
      <c r="AV25" s="48">
        <v>-1</v>
      </c>
      <c r="AW25" s="48">
        <v>-1</v>
      </c>
      <c r="AX25" s="48">
        <v>-1</v>
      </c>
      <c r="AY25" s="48">
        <v>-1</v>
      </c>
      <c r="AZ25" s="45">
        <v>1</v>
      </c>
      <c r="BA25" s="36">
        <v>69</v>
      </c>
      <c r="BB25" s="43">
        <v>1.1000000000000001</v>
      </c>
      <c r="BC25" s="45">
        <v>-1</v>
      </c>
      <c r="BD25" s="45">
        <v>-1</v>
      </c>
      <c r="BE25" s="45">
        <v>-1</v>
      </c>
      <c r="BF25" s="45">
        <v>-1</v>
      </c>
      <c r="BG25" s="45">
        <v>100</v>
      </c>
      <c r="BH25" s="45">
        <v>-1</v>
      </c>
      <c r="BI25" s="45">
        <v>-1</v>
      </c>
      <c r="BJ25" s="28">
        <v>1</v>
      </c>
      <c r="BK25" s="36">
        <v>69</v>
      </c>
      <c r="BL25" s="43">
        <v>0.7</v>
      </c>
      <c r="BM25" s="45">
        <v>3</v>
      </c>
      <c r="BN25" s="36">
        <v>69</v>
      </c>
      <c r="BO25" s="43">
        <v>0.7</v>
      </c>
    </row>
    <row r="26" spans="1:67" s="50" customFormat="1" ht="15" customHeight="1" x14ac:dyDescent="0.25">
      <c r="A26" s="50">
        <v>25</v>
      </c>
      <c r="B26" s="51" t="s">
        <v>511</v>
      </c>
      <c r="C26" s="51">
        <v>931032</v>
      </c>
      <c r="D26" s="37" t="s">
        <v>6</v>
      </c>
      <c r="E26" s="39" t="s">
        <v>462</v>
      </c>
      <c r="F26" s="39">
        <v>76</v>
      </c>
      <c r="G26" s="41">
        <v>40</v>
      </c>
      <c r="H26" s="36">
        <v>19</v>
      </c>
      <c r="I26" s="36">
        <v>98</v>
      </c>
      <c r="J26" s="36">
        <v>52</v>
      </c>
      <c r="K26" s="36">
        <v>23</v>
      </c>
      <c r="L26" s="36">
        <v>29027</v>
      </c>
      <c r="M26" s="36" t="s">
        <v>369</v>
      </c>
      <c r="N26" s="36">
        <v>100</v>
      </c>
      <c r="O26" s="36">
        <v>76</v>
      </c>
      <c r="P26" s="36">
        <v>120</v>
      </c>
      <c r="Q26" s="36">
        <v>51</v>
      </c>
      <c r="R26" s="36">
        <v>17</v>
      </c>
      <c r="S26" s="36">
        <v>7</v>
      </c>
      <c r="T26" s="36">
        <v>29027</v>
      </c>
      <c r="U26" s="36" t="s">
        <v>369</v>
      </c>
      <c r="V26" s="36">
        <v>100</v>
      </c>
      <c r="W26" s="36">
        <v>1</v>
      </c>
      <c r="X26" s="102">
        <v>5</v>
      </c>
      <c r="Y26" s="29">
        <v>46</v>
      </c>
      <c r="Z26" s="47">
        <v>5.2</v>
      </c>
      <c r="AA26" s="46">
        <v>85</v>
      </c>
      <c r="AB26" s="50">
        <v>19092</v>
      </c>
      <c r="AC26" s="50" t="s">
        <v>160</v>
      </c>
      <c r="AD26" s="50">
        <v>100</v>
      </c>
      <c r="AE26" s="42">
        <v>23.9</v>
      </c>
      <c r="AF26" s="43">
        <v>0.5</v>
      </c>
      <c r="AG26" s="36">
        <v>0</v>
      </c>
      <c r="AH26" s="35">
        <v>0.11</v>
      </c>
      <c r="AI26" s="50">
        <v>42269</v>
      </c>
      <c r="AJ26" s="50" t="s">
        <v>206</v>
      </c>
      <c r="AK26" s="50">
        <v>100</v>
      </c>
      <c r="AL26" s="34">
        <v>51</v>
      </c>
      <c r="AM26" s="43">
        <v>1.4</v>
      </c>
      <c r="AN26" s="35">
        <v>0.28000000000000003</v>
      </c>
      <c r="AO26" s="35">
        <v>1</v>
      </c>
      <c r="AP26" s="35">
        <v>1.22</v>
      </c>
      <c r="AQ26" s="83">
        <v>3.6</v>
      </c>
      <c r="AR26" s="46">
        <v>29027</v>
      </c>
      <c r="AS26" s="50" t="s">
        <v>369</v>
      </c>
      <c r="AT26" s="50">
        <v>100</v>
      </c>
      <c r="AU26" s="44">
        <v>-1</v>
      </c>
      <c r="AV26" s="48">
        <v>-1</v>
      </c>
      <c r="AW26" s="48">
        <v>-1</v>
      </c>
      <c r="AX26" s="48">
        <v>-1</v>
      </c>
      <c r="AY26" s="48">
        <v>-1</v>
      </c>
      <c r="AZ26" s="45">
        <v>1</v>
      </c>
      <c r="BA26" s="36">
        <v>99</v>
      </c>
      <c r="BB26" s="43">
        <v>1.1000000000000001</v>
      </c>
      <c r="BC26" s="45">
        <v>-1</v>
      </c>
      <c r="BD26" s="45">
        <v>-1</v>
      </c>
      <c r="BE26" s="45">
        <v>-1</v>
      </c>
      <c r="BF26" s="45">
        <v>-1</v>
      </c>
      <c r="BG26" s="45">
        <v>100</v>
      </c>
      <c r="BH26" s="45">
        <v>-1</v>
      </c>
      <c r="BI26" s="45">
        <v>-1</v>
      </c>
      <c r="BJ26" s="28">
        <v>1</v>
      </c>
      <c r="BK26" s="36">
        <v>99</v>
      </c>
      <c r="BL26" s="43">
        <v>0.7</v>
      </c>
      <c r="BM26" s="45">
        <v>3</v>
      </c>
      <c r="BN26" s="36">
        <v>99</v>
      </c>
      <c r="BO26" s="43">
        <v>0.7</v>
      </c>
    </row>
    <row r="27" spans="1:67" s="50" customFormat="1" ht="15" customHeight="1" x14ac:dyDescent="0.25">
      <c r="A27" s="50">
        <v>26</v>
      </c>
      <c r="B27" s="51">
        <v>1033</v>
      </c>
      <c r="C27" s="51">
        <v>1033</v>
      </c>
      <c r="D27" s="37" t="s">
        <v>6</v>
      </c>
      <c r="E27" s="39" t="s">
        <v>463</v>
      </c>
      <c r="F27" s="39">
        <v>14</v>
      </c>
      <c r="G27" s="36">
        <v>7</v>
      </c>
      <c r="H27" s="36">
        <v>3</v>
      </c>
      <c r="I27" s="36">
        <v>44</v>
      </c>
      <c r="J27" s="36">
        <v>23</v>
      </c>
      <c r="K27" s="36">
        <v>5</v>
      </c>
      <c r="L27" s="36">
        <v>29027</v>
      </c>
      <c r="M27" s="36" t="s">
        <v>369</v>
      </c>
      <c r="N27" s="36">
        <v>100</v>
      </c>
      <c r="O27" s="36">
        <v>14</v>
      </c>
      <c r="P27" s="36">
        <v>22</v>
      </c>
      <c r="Q27" s="36">
        <v>23</v>
      </c>
      <c r="R27" s="36">
        <v>7</v>
      </c>
      <c r="S27" s="36">
        <v>3</v>
      </c>
      <c r="T27" s="36">
        <v>29027</v>
      </c>
      <c r="U27" s="36" t="s">
        <v>369</v>
      </c>
      <c r="V27" s="36">
        <v>100</v>
      </c>
      <c r="W27" s="36">
        <v>1</v>
      </c>
      <c r="X27" s="102">
        <v>5</v>
      </c>
      <c r="Y27" s="29">
        <v>65</v>
      </c>
      <c r="Z27" s="47">
        <v>5.2</v>
      </c>
      <c r="AA27" s="46">
        <v>85</v>
      </c>
      <c r="AB27" s="50">
        <v>19092</v>
      </c>
      <c r="AC27" s="50" t="s">
        <v>160</v>
      </c>
      <c r="AD27" s="50">
        <v>100</v>
      </c>
      <c r="AE27" s="42">
        <v>30</v>
      </c>
      <c r="AF27" s="43">
        <v>0.5</v>
      </c>
      <c r="AG27" s="36">
        <v>0</v>
      </c>
      <c r="AH27" s="35">
        <v>0.05</v>
      </c>
      <c r="AI27" s="50">
        <v>26716</v>
      </c>
      <c r="AJ27" s="50" t="s">
        <v>208</v>
      </c>
      <c r="AK27" s="50">
        <v>100</v>
      </c>
      <c r="AL27" s="34">
        <v>9</v>
      </c>
      <c r="AM27" s="43">
        <v>1.4</v>
      </c>
      <c r="AN27" s="35">
        <v>0.05</v>
      </c>
      <c r="AO27" s="35">
        <v>0.18</v>
      </c>
      <c r="AP27" s="35">
        <v>0.22</v>
      </c>
      <c r="AQ27" s="83">
        <v>0.65</v>
      </c>
      <c r="AR27" s="46">
        <v>29027</v>
      </c>
      <c r="AS27" s="50" t="s">
        <v>369</v>
      </c>
      <c r="AT27" s="50">
        <v>100</v>
      </c>
      <c r="AU27" s="44">
        <v>-1</v>
      </c>
      <c r="AV27" s="48">
        <v>-1</v>
      </c>
      <c r="AW27" s="48">
        <v>-1</v>
      </c>
      <c r="AX27" s="48">
        <v>-1</v>
      </c>
      <c r="AY27" s="48">
        <v>-1</v>
      </c>
      <c r="AZ27" s="45">
        <v>1</v>
      </c>
      <c r="BA27" s="36">
        <v>18</v>
      </c>
      <c r="BB27" s="43">
        <v>1.1000000000000001</v>
      </c>
      <c r="BC27" s="45">
        <v>-1</v>
      </c>
      <c r="BD27" s="45">
        <v>-1</v>
      </c>
      <c r="BE27" s="45">
        <v>-1</v>
      </c>
      <c r="BF27" s="45">
        <v>-1</v>
      </c>
      <c r="BG27" s="45">
        <v>100</v>
      </c>
      <c r="BH27" s="45">
        <v>-1</v>
      </c>
      <c r="BI27" s="45">
        <v>-1</v>
      </c>
      <c r="BJ27" s="28">
        <v>1</v>
      </c>
      <c r="BK27" s="36">
        <v>18</v>
      </c>
      <c r="BL27" s="43">
        <v>0.7</v>
      </c>
      <c r="BM27" s="45">
        <v>3</v>
      </c>
      <c r="BN27" s="36">
        <v>18</v>
      </c>
      <c r="BO27" s="43">
        <v>0.7</v>
      </c>
    </row>
    <row r="28" spans="1:67" s="50" customFormat="1" ht="15" customHeight="1" x14ac:dyDescent="0.25">
      <c r="A28" s="50">
        <v>27</v>
      </c>
      <c r="B28" s="51">
        <v>1036</v>
      </c>
      <c r="C28" s="51">
        <v>1036</v>
      </c>
      <c r="D28" s="37" t="s">
        <v>6</v>
      </c>
      <c r="E28" s="39" t="s">
        <v>465</v>
      </c>
      <c r="F28" s="39">
        <v>28</v>
      </c>
      <c r="G28" s="36">
        <v>14</v>
      </c>
      <c r="H28" s="36">
        <v>7</v>
      </c>
      <c r="I28" s="36">
        <v>56</v>
      </c>
      <c r="J28" s="36">
        <v>29</v>
      </c>
      <c r="K28" s="36">
        <v>8</v>
      </c>
      <c r="L28" s="36">
        <v>29027</v>
      </c>
      <c r="M28" s="36" t="s">
        <v>369</v>
      </c>
      <c r="N28" s="36">
        <v>100</v>
      </c>
      <c r="O28" s="36">
        <v>28</v>
      </c>
      <c r="P28" s="36">
        <v>44</v>
      </c>
      <c r="Q28" s="36">
        <v>29</v>
      </c>
      <c r="R28" s="36">
        <v>9</v>
      </c>
      <c r="S28" s="36">
        <v>4</v>
      </c>
      <c r="T28" s="36">
        <v>29027</v>
      </c>
      <c r="U28" s="36" t="s">
        <v>369</v>
      </c>
      <c r="V28" s="36">
        <v>100</v>
      </c>
      <c r="W28" s="36">
        <v>1</v>
      </c>
      <c r="X28" s="102">
        <v>5</v>
      </c>
      <c r="Y28" s="29">
        <v>59</v>
      </c>
      <c r="Z28" s="47">
        <v>5.2</v>
      </c>
      <c r="AA28" s="46">
        <v>85</v>
      </c>
      <c r="AB28" s="50">
        <v>19092</v>
      </c>
      <c r="AC28" s="50" t="s">
        <v>160</v>
      </c>
      <c r="AD28" s="50">
        <v>100</v>
      </c>
      <c r="AE28" s="42">
        <v>30</v>
      </c>
      <c r="AF28" s="43">
        <v>0.3</v>
      </c>
      <c r="AG28" s="36">
        <v>0</v>
      </c>
      <c r="AH28" s="35">
        <v>0.05</v>
      </c>
      <c r="AI28" s="50">
        <v>26857</v>
      </c>
      <c r="AJ28" s="50" t="s">
        <v>415</v>
      </c>
      <c r="AK28" s="50">
        <v>100</v>
      </c>
      <c r="AL28" s="34">
        <v>19</v>
      </c>
      <c r="AM28" s="43">
        <v>1.4</v>
      </c>
      <c r="AN28" s="35">
        <v>0.1</v>
      </c>
      <c r="AO28" s="35">
        <v>0.36</v>
      </c>
      <c r="AP28" s="35">
        <v>0.45</v>
      </c>
      <c r="AQ28" s="83">
        <v>1.31</v>
      </c>
      <c r="AR28" s="46">
        <v>29027</v>
      </c>
      <c r="AS28" s="50" t="s">
        <v>369</v>
      </c>
      <c r="AT28" s="50">
        <v>100</v>
      </c>
      <c r="AU28" s="44">
        <v>-1</v>
      </c>
      <c r="AV28" s="48">
        <v>-1</v>
      </c>
      <c r="AW28" s="48">
        <v>-1</v>
      </c>
      <c r="AX28" s="48">
        <v>-1</v>
      </c>
      <c r="AY28" s="48">
        <v>-1</v>
      </c>
      <c r="AZ28" s="45">
        <v>1</v>
      </c>
      <c r="BA28" s="36">
        <v>36</v>
      </c>
      <c r="BB28" s="43">
        <v>1.1000000000000001</v>
      </c>
      <c r="BC28" s="45">
        <v>-1</v>
      </c>
      <c r="BD28" s="45">
        <v>-1</v>
      </c>
      <c r="BE28" s="45">
        <v>-1</v>
      </c>
      <c r="BF28" s="45">
        <v>-1</v>
      </c>
      <c r="BG28" s="45">
        <v>100</v>
      </c>
      <c r="BH28" s="45">
        <v>-1</v>
      </c>
      <c r="BI28" s="45">
        <v>-1</v>
      </c>
      <c r="BJ28" s="28">
        <v>1</v>
      </c>
      <c r="BK28" s="36">
        <v>36</v>
      </c>
      <c r="BL28" s="43">
        <v>0.7</v>
      </c>
      <c r="BM28" s="45">
        <v>3</v>
      </c>
      <c r="BN28" s="36">
        <v>36</v>
      </c>
      <c r="BO28" s="43">
        <v>0.7</v>
      </c>
    </row>
    <row r="29" spans="1:67" s="50" customFormat="1" ht="15" customHeight="1" x14ac:dyDescent="0.25">
      <c r="A29" s="50">
        <v>28</v>
      </c>
      <c r="B29" s="51" t="s">
        <v>512</v>
      </c>
      <c r="C29" s="51">
        <v>911037</v>
      </c>
      <c r="D29" s="37" t="s">
        <v>6</v>
      </c>
      <c r="E29" s="39" t="s">
        <v>466</v>
      </c>
      <c r="F29" s="39">
        <v>19</v>
      </c>
      <c r="G29" s="41">
        <v>10</v>
      </c>
      <c r="H29" s="36">
        <v>5</v>
      </c>
      <c r="I29" s="36">
        <v>78</v>
      </c>
      <c r="J29" s="36">
        <v>41</v>
      </c>
      <c r="K29" s="36">
        <v>15</v>
      </c>
      <c r="L29" s="36">
        <v>29027</v>
      </c>
      <c r="M29" s="36" t="s">
        <v>369</v>
      </c>
      <c r="N29" s="36">
        <v>100</v>
      </c>
      <c r="O29" s="36">
        <v>19</v>
      </c>
      <c r="P29" s="36">
        <v>30</v>
      </c>
      <c r="Q29" s="36">
        <v>41</v>
      </c>
      <c r="R29" s="36">
        <v>13</v>
      </c>
      <c r="S29" s="36">
        <v>4</v>
      </c>
      <c r="T29" s="36">
        <v>29027</v>
      </c>
      <c r="U29" s="36" t="s">
        <v>369</v>
      </c>
      <c r="V29" s="36">
        <v>100</v>
      </c>
      <c r="W29" s="36">
        <v>1</v>
      </c>
      <c r="X29" s="102">
        <v>5</v>
      </c>
      <c r="Y29" s="29">
        <v>63</v>
      </c>
      <c r="Z29" s="47">
        <v>5.2</v>
      </c>
      <c r="AA29" s="46">
        <v>85</v>
      </c>
      <c r="AB29" s="50">
        <v>19092</v>
      </c>
      <c r="AC29" s="50" t="s">
        <v>160</v>
      </c>
      <c r="AD29" s="50">
        <v>100</v>
      </c>
      <c r="AE29" s="42">
        <v>30</v>
      </c>
      <c r="AF29" s="43">
        <v>0.1</v>
      </c>
      <c r="AG29" s="36">
        <v>0</v>
      </c>
      <c r="AH29" s="35">
        <v>0</v>
      </c>
      <c r="AI29" s="50">
        <v>505272</v>
      </c>
      <c r="AJ29" s="50" t="s">
        <v>417</v>
      </c>
      <c r="AK29" s="50">
        <v>100</v>
      </c>
      <c r="AL29" s="34">
        <v>13</v>
      </c>
      <c r="AM29" s="43">
        <v>1.4</v>
      </c>
      <c r="AN29" s="35">
        <v>7.0000000000000007E-2</v>
      </c>
      <c r="AO29" s="35">
        <v>0.25</v>
      </c>
      <c r="AP29" s="35">
        <v>0.31</v>
      </c>
      <c r="AQ29" s="83">
        <v>0.91</v>
      </c>
      <c r="AR29" s="46">
        <v>29027</v>
      </c>
      <c r="AS29" s="50" t="s">
        <v>369</v>
      </c>
      <c r="AT29" s="50">
        <v>100</v>
      </c>
      <c r="AU29" s="44">
        <v>-1</v>
      </c>
      <c r="AV29" s="48">
        <v>-1</v>
      </c>
      <c r="AW29" s="48">
        <v>-1</v>
      </c>
      <c r="AX29" s="48">
        <v>-1</v>
      </c>
      <c r="AY29" s="48">
        <v>-1</v>
      </c>
      <c r="AZ29" s="45">
        <v>1</v>
      </c>
      <c r="BA29" s="36">
        <v>25</v>
      </c>
      <c r="BB29" s="43">
        <v>1.1000000000000001</v>
      </c>
      <c r="BC29" s="45">
        <v>-1</v>
      </c>
      <c r="BD29" s="45">
        <v>-1</v>
      </c>
      <c r="BE29" s="45">
        <v>-1</v>
      </c>
      <c r="BF29" s="45">
        <v>-1</v>
      </c>
      <c r="BG29" s="45">
        <v>100</v>
      </c>
      <c r="BH29" s="45">
        <v>-1</v>
      </c>
      <c r="BI29" s="45">
        <v>-1</v>
      </c>
      <c r="BJ29" s="28">
        <v>1</v>
      </c>
      <c r="BK29" s="36">
        <v>25</v>
      </c>
      <c r="BL29" s="43">
        <v>0.7</v>
      </c>
      <c r="BM29" s="45">
        <v>3</v>
      </c>
      <c r="BN29" s="36">
        <v>25</v>
      </c>
      <c r="BO29" s="43">
        <v>0.7</v>
      </c>
    </row>
    <row r="30" spans="1:67" s="50" customFormat="1" ht="15" customHeight="1" x14ac:dyDescent="0.25">
      <c r="A30" s="50">
        <v>29</v>
      </c>
      <c r="B30" s="51" t="s">
        <v>513</v>
      </c>
      <c r="C30" s="51">
        <v>921037</v>
      </c>
      <c r="D30" s="37" t="s">
        <v>6</v>
      </c>
      <c r="E30" s="39" t="s">
        <v>466</v>
      </c>
      <c r="F30" s="39">
        <v>69</v>
      </c>
      <c r="G30" s="41">
        <v>36</v>
      </c>
      <c r="H30" s="36">
        <v>17</v>
      </c>
      <c r="I30" s="36">
        <v>101</v>
      </c>
      <c r="J30" s="36">
        <v>54</v>
      </c>
      <c r="K30" s="36">
        <v>25</v>
      </c>
      <c r="L30" s="36">
        <v>29027</v>
      </c>
      <c r="M30" s="36" t="s">
        <v>369</v>
      </c>
      <c r="N30" s="36">
        <v>100</v>
      </c>
      <c r="O30" s="36">
        <v>69</v>
      </c>
      <c r="P30" s="36">
        <v>109</v>
      </c>
      <c r="Q30" s="36">
        <v>53</v>
      </c>
      <c r="R30" s="36">
        <v>17</v>
      </c>
      <c r="S30" s="36">
        <v>7</v>
      </c>
      <c r="T30" s="36">
        <v>29027</v>
      </c>
      <c r="U30" s="36" t="s">
        <v>369</v>
      </c>
      <c r="V30" s="36">
        <v>100</v>
      </c>
      <c r="W30" s="36">
        <v>1</v>
      </c>
      <c r="X30" s="102">
        <v>5</v>
      </c>
      <c r="Y30" s="29">
        <v>43</v>
      </c>
      <c r="Z30" s="47">
        <v>5.2</v>
      </c>
      <c r="AA30" s="46">
        <v>85</v>
      </c>
      <c r="AB30" s="50">
        <v>19092</v>
      </c>
      <c r="AC30" s="50" t="s">
        <v>160</v>
      </c>
      <c r="AD30" s="50">
        <v>100</v>
      </c>
      <c r="AE30" s="42">
        <v>30</v>
      </c>
      <c r="AF30" s="43">
        <v>0.1</v>
      </c>
      <c r="AG30" s="36">
        <v>0</v>
      </c>
      <c r="AH30" s="35">
        <v>0</v>
      </c>
      <c r="AI30" s="50">
        <v>505272</v>
      </c>
      <c r="AJ30" s="50" t="s">
        <v>417</v>
      </c>
      <c r="AK30" s="50">
        <v>100</v>
      </c>
      <c r="AL30" s="34">
        <v>47</v>
      </c>
      <c r="AM30" s="43">
        <v>1.4</v>
      </c>
      <c r="AN30" s="35">
        <v>0.25</v>
      </c>
      <c r="AO30" s="35">
        <v>0.9</v>
      </c>
      <c r="AP30" s="35">
        <v>1.1100000000000001</v>
      </c>
      <c r="AQ30" s="83">
        <v>3.27</v>
      </c>
      <c r="AR30" s="46">
        <v>29027</v>
      </c>
      <c r="AS30" s="50" t="s">
        <v>369</v>
      </c>
      <c r="AT30" s="50">
        <v>100</v>
      </c>
      <c r="AU30" s="44">
        <v>-1</v>
      </c>
      <c r="AV30" s="48">
        <v>-1</v>
      </c>
      <c r="AW30" s="48">
        <v>-1</v>
      </c>
      <c r="AX30" s="48">
        <v>-1</v>
      </c>
      <c r="AY30" s="48">
        <v>-1</v>
      </c>
      <c r="AZ30" s="45">
        <v>1</v>
      </c>
      <c r="BA30" s="36">
        <v>90</v>
      </c>
      <c r="BB30" s="43">
        <v>1.1000000000000001</v>
      </c>
      <c r="BC30" s="45">
        <v>-1</v>
      </c>
      <c r="BD30" s="45">
        <v>-1</v>
      </c>
      <c r="BE30" s="45">
        <v>-1</v>
      </c>
      <c r="BF30" s="45">
        <v>-1</v>
      </c>
      <c r="BG30" s="45">
        <v>100</v>
      </c>
      <c r="BH30" s="45">
        <v>-1</v>
      </c>
      <c r="BI30" s="45">
        <v>-1</v>
      </c>
      <c r="BJ30" s="28">
        <v>1</v>
      </c>
      <c r="BK30" s="36">
        <v>90</v>
      </c>
      <c r="BL30" s="43">
        <v>0.7</v>
      </c>
      <c r="BM30" s="45">
        <v>3</v>
      </c>
      <c r="BN30" s="36">
        <v>90</v>
      </c>
      <c r="BO30" s="43">
        <v>0.7</v>
      </c>
    </row>
    <row r="31" spans="1:67" s="50" customFormat="1" ht="15" customHeight="1" x14ac:dyDescent="0.25">
      <c r="A31" s="50">
        <v>30</v>
      </c>
      <c r="B31" s="51" t="s">
        <v>514</v>
      </c>
      <c r="C31" s="51">
        <v>911039</v>
      </c>
      <c r="D31" s="37" t="s">
        <v>6</v>
      </c>
      <c r="E31" s="39" t="s">
        <v>467</v>
      </c>
      <c r="F31" s="39">
        <v>13</v>
      </c>
      <c r="G31" s="41">
        <v>7</v>
      </c>
      <c r="H31" s="36">
        <v>3</v>
      </c>
      <c r="I31" s="36">
        <v>46</v>
      </c>
      <c r="J31" s="36">
        <v>24</v>
      </c>
      <c r="K31" s="36">
        <v>6</v>
      </c>
      <c r="L31" s="36">
        <v>29027</v>
      </c>
      <c r="M31" s="36" t="s">
        <v>369</v>
      </c>
      <c r="N31" s="36">
        <v>100</v>
      </c>
      <c r="O31" s="36">
        <v>13</v>
      </c>
      <c r="P31" s="36">
        <v>21</v>
      </c>
      <c r="Q31" s="36">
        <v>24</v>
      </c>
      <c r="R31" s="36">
        <v>8</v>
      </c>
      <c r="S31" s="36">
        <v>3</v>
      </c>
      <c r="T31" s="36">
        <v>29027</v>
      </c>
      <c r="U31" s="36" t="s">
        <v>369</v>
      </c>
      <c r="V31" s="36">
        <v>100</v>
      </c>
      <c r="W31" s="36">
        <v>1</v>
      </c>
      <c r="X31" s="102">
        <v>5</v>
      </c>
      <c r="Y31" s="29">
        <v>65</v>
      </c>
      <c r="Z31" s="47">
        <v>5.2</v>
      </c>
      <c r="AA31" s="46">
        <v>85</v>
      </c>
      <c r="AB31" s="50">
        <v>19092</v>
      </c>
      <c r="AC31" s="50" t="s">
        <v>160</v>
      </c>
      <c r="AD31" s="50">
        <v>100</v>
      </c>
      <c r="AE31" s="42">
        <v>30</v>
      </c>
      <c r="AF31" s="43">
        <v>10</v>
      </c>
      <c r="AG31" s="36">
        <v>100</v>
      </c>
      <c r="AH31" s="35">
        <v>1.22</v>
      </c>
      <c r="AI31" s="50">
        <v>42058</v>
      </c>
      <c r="AJ31" s="50" t="s">
        <v>421</v>
      </c>
      <c r="AK31" s="50">
        <v>100</v>
      </c>
      <c r="AL31" s="34">
        <v>9</v>
      </c>
      <c r="AM31" s="43">
        <v>1.4</v>
      </c>
      <c r="AN31" s="35">
        <v>0.05</v>
      </c>
      <c r="AO31" s="35">
        <v>0.17</v>
      </c>
      <c r="AP31" s="35">
        <v>0.21</v>
      </c>
      <c r="AQ31" s="83">
        <v>0.62</v>
      </c>
      <c r="AR31" s="46">
        <v>29027</v>
      </c>
      <c r="AS31" s="50" t="s">
        <v>369</v>
      </c>
      <c r="AT31" s="50">
        <v>100</v>
      </c>
      <c r="AU31" s="44">
        <v>-1</v>
      </c>
      <c r="AV31" s="48">
        <v>-1</v>
      </c>
      <c r="AW31" s="48">
        <v>-1</v>
      </c>
      <c r="AX31" s="48">
        <v>-1</v>
      </c>
      <c r="AY31" s="48">
        <v>-1</v>
      </c>
      <c r="AZ31" s="45">
        <v>1</v>
      </c>
      <c r="BA31" s="36">
        <v>17</v>
      </c>
      <c r="BB31" s="43">
        <v>1.1000000000000001</v>
      </c>
      <c r="BC31" s="45">
        <v>-1</v>
      </c>
      <c r="BD31" s="45">
        <v>-1</v>
      </c>
      <c r="BE31" s="45">
        <v>-1</v>
      </c>
      <c r="BF31" s="45">
        <v>-1</v>
      </c>
      <c r="BG31" s="45">
        <v>100</v>
      </c>
      <c r="BH31" s="45">
        <v>-1</v>
      </c>
      <c r="BI31" s="45">
        <v>-1</v>
      </c>
      <c r="BJ31" s="28">
        <v>1</v>
      </c>
      <c r="BK31" s="36">
        <v>17</v>
      </c>
      <c r="BL31" s="43">
        <v>0.7</v>
      </c>
      <c r="BM31" s="45">
        <v>3</v>
      </c>
      <c r="BN31" s="36">
        <v>17</v>
      </c>
      <c r="BO31" s="43">
        <v>0.7</v>
      </c>
    </row>
    <row r="32" spans="1:67" s="50" customFormat="1" ht="15" customHeight="1" x14ac:dyDescent="0.25">
      <c r="A32" s="50">
        <v>31</v>
      </c>
      <c r="B32" s="51" t="s">
        <v>515</v>
      </c>
      <c r="C32" s="51">
        <v>921039</v>
      </c>
      <c r="D32" s="37" t="s">
        <v>6</v>
      </c>
      <c r="E32" s="39" t="s">
        <v>467</v>
      </c>
      <c r="F32" s="39">
        <v>60</v>
      </c>
      <c r="G32" s="41">
        <v>31</v>
      </c>
      <c r="H32" s="36">
        <v>15</v>
      </c>
      <c r="I32" s="36">
        <v>76</v>
      </c>
      <c r="J32" s="36">
        <v>40</v>
      </c>
      <c r="K32" s="36">
        <v>15</v>
      </c>
      <c r="L32" s="36">
        <v>29027</v>
      </c>
      <c r="M32" s="36" t="s">
        <v>369</v>
      </c>
      <c r="N32" s="36">
        <v>100</v>
      </c>
      <c r="O32" s="36">
        <v>60</v>
      </c>
      <c r="P32" s="36">
        <v>94</v>
      </c>
      <c r="Q32" s="36">
        <v>40</v>
      </c>
      <c r="R32" s="36">
        <v>13</v>
      </c>
      <c r="S32" s="36">
        <v>4</v>
      </c>
      <c r="T32" s="36">
        <v>29027</v>
      </c>
      <c r="U32" s="36" t="s">
        <v>369</v>
      </c>
      <c r="V32" s="36">
        <v>100</v>
      </c>
      <c r="W32" s="36">
        <v>1</v>
      </c>
      <c r="X32" s="102">
        <v>5</v>
      </c>
      <c r="Y32" s="29">
        <v>47</v>
      </c>
      <c r="Z32" s="47">
        <v>5.2</v>
      </c>
      <c r="AA32" s="46">
        <v>85</v>
      </c>
      <c r="AB32" s="50">
        <v>19092</v>
      </c>
      <c r="AC32" s="50" t="s">
        <v>160</v>
      </c>
      <c r="AD32" s="50">
        <v>100</v>
      </c>
      <c r="AE32" s="42">
        <v>30</v>
      </c>
      <c r="AF32" s="43">
        <v>10</v>
      </c>
      <c r="AG32" s="36">
        <v>100</v>
      </c>
      <c r="AH32" s="35">
        <v>1.22</v>
      </c>
      <c r="AI32" s="50">
        <v>42058</v>
      </c>
      <c r="AJ32" s="50" t="s">
        <v>421</v>
      </c>
      <c r="AK32" s="50">
        <v>100</v>
      </c>
      <c r="AL32" s="34">
        <v>40</v>
      </c>
      <c r="AM32" s="43">
        <v>1.4</v>
      </c>
      <c r="AN32" s="35">
        <v>0.22</v>
      </c>
      <c r="AO32" s="35">
        <v>0.78</v>
      </c>
      <c r="AP32" s="35">
        <v>0.96</v>
      </c>
      <c r="AQ32" s="83">
        <v>2.83</v>
      </c>
      <c r="AR32" s="46">
        <v>29027</v>
      </c>
      <c r="AS32" s="50" t="s">
        <v>369</v>
      </c>
      <c r="AT32" s="50">
        <v>100</v>
      </c>
      <c r="AU32" s="44">
        <v>-1</v>
      </c>
      <c r="AV32" s="48">
        <v>-1</v>
      </c>
      <c r="AW32" s="48">
        <v>-1</v>
      </c>
      <c r="AX32" s="48">
        <v>-1</v>
      </c>
      <c r="AY32" s="48">
        <v>-1</v>
      </c>
      <c r="AZ32" s="45">
        <v>1</v>
      </c>
      <c r="BA32" s="36">
        <v>78</v>
      </c>
      <c r="BB32" s="43">
        <v>1.1000000000000001</v>
      </c>
      <c r="BC32" s="45">
        <v>-1</v>
      </c>
      <c r="BD32" s="45">
        <v>-1</v>
      </c>
      <c r="BE32" s="45">
        <v>-1</v>
      </c>
      <c r="BF32" s="45">
        <v>-1</v>
      </c>
      <c r="BG32" s="45">
        <v>100</v>
      </c>
      <c r="BH32" s="45">
        <v>-1</v>
      </c>
      <c r="BI32" s="45">
        <v>-1</v>
      </c>
      <c r="BJ32" s="28">
        <v>1</v>
      </c>
      <c r="BK32" s="36">
        <v>78</v>
      </c>
      <c r="BL32" s="43">
        <v>0.7</v>
      </c>
      <c r="BM32" s="45">
        <v>3</v>
      </c>
      <c r="BN32" s="36">
        <v>78</v>
      </c>
      <c r="BO32" s="43">
        <v>0.7</v>
      </c>
    </row>
    <row r="33" spans="1:67" s="50" customFormat="1" ht="15" customHeight="1" x14ac:dyDescent="0.25">
      <c r="A33" s="50">
        <v>32</v>
      </c>
      <c r="B33" s="51" t="s">
        <v>210</v>
      </c>
      <c r="C33" s="51">
        <v>911040</v>
      </c>
      <c r="D33" s="21" t="s">
        <v>6</v>
      </c>
      <c r="E33" s="6" t="s">
        <v>17</v>
      </c>
      <c r="F33" s="39">
        <v>21.7</v>
      </c>
      <c r="G33" s="36">
        <v>11.272727272727273</v>
      </c>
      <c r="H33" s="36">
        <v>5.3223452656880417</v>
      </c>
      <c r="I33" s="36">
        <v>80.316601049868765</v>
      </c>
      <c r="J33" s="36">
        <v>42.519790832469816</v>
      </c>
      <c r="K33" s="36">
        <v>25.169880111655601</v>
      </c>
      <c r="L33" s="36">
        <v>29027</v>
      </c>
      <c r="M33" s="36" t="s">
        <v>369</v>
      </c>
      <c r="N33" s="36">
        <v>100</v>
      </c>
      <c r="O33" s="36">
        <v>21.7</v>
      </c>
      <c r="P33" s="36">
        <v>34.215076707994548</v>
      </c>
      <c r="Q33" s="36">
        <v>41.702142013040827</v>
      </c>
      <c r="R33" s="36">
        <v>13.584391036232166</v>
      </c>
      <c r="S33" s="36">
        <v>5.7751923021207947</v>
      </c>
      <c r="T33" s="36">
        <v>29027</v>
      </c>
      <c r="U33" s="36" t="s">
        <v>369</v>
      </c>
      <c r="V33" s="36">
        <v>100</v>
      </c>
      <c r="W33" s="36">
        <v>1</v>
      </c>
      <c r="X33" s="102">
        <v>5</v>
      </c>
      <c r="Y33" s="29">
        <v>46.666666666666664</v>
      </c>
      <c r="Z33" s="47">
        <v>5.1714666666666664</v>
      </c>
      <c r="AA33" s="46">
        <v>85</v>
      </c>
      <c r="AB33" s="50">
        <v>19092</v>
      </c>
      <c r="AC33" s="50" t="s">
        <v>160</v>
      </c>
      <c r="AD33" s="50">
        <v>100</v>
      </c>
      <c r="AE33" s="42">
        <v>50</v>
      </c>
      <c r="AF33" s="43">
        <v>1.0092597701149426</v>
      </c>
      <c r="AG33" s="36">
        <v>85</v>
      </c>
      <c r="AH33" s="35">
        <v>4.817127564674397E-2</v>
      </c>
      <c r="AI33" s="50">
        <v>40450</v>
      </c>
      <c r="AJ33" s="50" t="s">
        <v>148</v>
      </c>
      <c r="AK33" s="50">
        <v>100</v>
      </c>
      <c r="AL33" s="34">
        <v>14.686971235194585</v>
      </c>
      <c r="AM33" s="43">
        <v>1.4</v>
      </c>
      <c r="AN33" s="35">
        <v>7.9190657691995778E-2</v>
      </c>
      <c r="AO33" s="35">
        <v>0.28408077203795312</v>
      </c>
      <c r="AP33" s="35">
        <v>0.34860649312032005</v>
      </c>
      <c r="AQ33" s="83">
        <v>1.0265455626740192</v>
      </c>
      <c r="AR33" s="46">
        <v>29027</v>
      </c>
      <c r="AS33" s="50" t="s">
        <v>369</v>
      </c>
      <c r="AT33" s="50">
        <v>100</v>
      </c>
      <c r="AU33" s="44">
        <v>-1</v>
      </c>
      <c r="AV33" s="48">
        <v>-1</v>
      </c>
      <c r="AW33" s="48">
        <v>-1</v>
      </c>
      <c r="AX33" s="48">
        <v>-1</v>
      </c>
      <c r="AY33" s="48">
        <v>-1</v>
      </c>
      <c r="AZ33" s="45">
        <v>1</v>
      </c>
      <c r="BA33" s="36">
        <v>28.181818181818183</v>
      </c>
      <c r="BB33" s="43">
        <v>1.1167979002624671</v>
      </c>
      <c r="BC33" s="45">
        <v>-1</v>
      </c>
      <c r="BD33" s="45">
        <v>-1</v>
      </c>
      <c r="BE33" s="45">
        <v>-1</v>
      </c>
      <c r="BF33" s="45">
        <v>-1</v>
      </c>
      <c r="BG33" s="45">
        <v>100</v>
      </c>
      <c r="BH33" s="45">
        <v>-1</v>
      </c>
      <c r="BI33" s="45">
        <v>-1</v>
      </c>
      <c r="BJ33" s="28">
        <v>1</v>
      </c>
      <c r="BK33" s="36">
        <v>28.181818181818183</v>
      </c>
      <c r="BL33" s="43">
        <v>0.70734908136482944</v>
      </c>
      <c r="BM33" s="45">
        <v>3</v>
      </c>
      <c r="BN33" s="36">
        <v>28.181818181818183</v>
      </c>
      <c r="BO33" s="43">
        <v>0.7</v>
      </c>
    </row>
    <row r="34" spans="1:67" s="50" customFormat="1" ht="15" customHeight="1" x14ac:dyDescent="0.25">
      <c r="A34" s="50">
        <v>33</v>
      </c>
      <c r="B34" s="51" t="s">
        <v>211</v>
      </c>
      <c r="C34" s="51">
        <v>921040</v>
      </c>
      <c r="D34" s="21" t="s">
        <v>6</v>
      </c>
      <c r="E34" s="6" t="s">
        <v>17</v>
      </c>
      <c r="F34" s="39">
        <v>59.1</v>
      </c>
      <c r="G34" s="36">
        <v>30.7012987012987</v>
      </c>
      <c r="H34" s="36">
        <v>14.495419594569736</v>
      </c>
      <c r="I34" s="36">
        <v>95.428805774278217</v>
      </c>
      <c r="J34" s="36">
        <v>50.520226302845117</v>
      </c>
      <c r="K34" s="36">
        <v>29.90579244066473</v>
      </c>
      <c r="L34" s="36">
        <v>29027</v>
      </c>
      <c r="M34" s="36" t="s">
        <v>369</v>
      </c>
      <c r="N34" s="36">
        <v>100</v>
      </c>
      <c r="O34" s="36">
        <v>59.1</v>
      </c>
      <c r="P34" s="36">
        <v>93.184840250805436</v>
      </c>
      <c r="Q34" s="36">
        <v>49.548730380944619</v>
      </c>
      <c r="R34" s="36">
        <v>16.14040181996177</v>
      </c>
      <c r="S34" s="36">
        <v>6.8618404825921413</v>
      </c>
      <c r="T34" s="36">
        <v>29027</v>
      </c>
      <c r="U34" s="36" t="s">
        <v>369</v>
      </c>
      <c r="V34" s="36">
        <v>100</v>
      </c>
      <c r="W34" s="36">
        <v>1</v>
      </c>
      <c r="X34" s="102">
        <v>5</v>
      </c>
      <c r="Y34" s="29">
        <v>46.666666666666664</v>
      </c>
      <c r="Z34" s="47">
        <v>5.1714666666666664</v>
      </c>
      <c r="AA34" s="46">
        <v>85</v>
      </c>
      <c r="AB34" s="50">
        <v>19092</v>
      </c>
      <c r="AC34" s="50" t="s">
        <v>160</v>
      </c>
      <c r="AD34" s="50">
        <v>100</v>
      </c>
      <c r="AE34" s="42">
        <v>50</v>
      </c>
      <c r="AF34" s="43">
        <v>1.0092597701149426</v>
      </c>
      <c r="AG34" s="36">
        <v>85</v>
      </c>
      <c r="AH34" s="35">
        <v>4.817127564674397E-2</v>
      </c>
      <c r="AI34" s="50">
        <v>40450</v>
      </c>
      <c r="AJ34" s="50" t="s">
        <v>148</v>
      </c>
      <c r="AK34" s="50">
        <v>100</v>
      </c>
      <c r="AL34" s="34">
        <v>40</v>
      </c>
      <c r="AM34" s="43">
        <v>1.4</v>
      </c>
      <c r="AN34" s="35">
        <v>0.21567593869110371</v>
      </c>
      <c r="AO34" s="35">
        <v>0.77369463720935627</v>
      </c>
      <c r="AP34" s="35">
        <v>0.94943058725395924</v>
      </c>
      <c r="AQ34" s="83">
        <v>2.7957992052550482</v>
      </c>
      <c r="AR34" s="46">
        <v>29027</v>
      </c>
      <c r="AS34" s="50" t="s">
        <v>369</v>
      </c>
      <c r="AT34" s="50">
        <v>100</v>
      </c>
      <c r="AU34" s="44">
        <v>-1</v>
      </c>
      <c r="AV34" s="48">
        <v>-1</v>
      </c>
      <c r="AW34" s="48">
        <v>-1</v>
      </c>
      <c r="AX34" s="48">
        <v>-1</v>
      </c>
      <c r="AY34" s="48">
        <v>-1</v>
      </c>
      <c r="AZ34" s="45">
        <v>1</v>
      </c>
      <c r="BA34" s="36">
        <v>76.753246753246756</v>
      </c>
      <c r="BB34" s="43">
        <v>1.1167979002624671</v>
      </c>
      <c r="BC34" s="45">
        <v>-1</v>
      </c>
      <c r="BD34" s="45">
        <v>-1</v>
      </c>
      <c r="BE34" s="45">
        <v>-1</v>
      </c>
      <c r="BF34" s="45">
        <v>-1</v>
      </c>
      <c r="BG34" s="45">
        <v>100</v>
      </c>
      <c r="BH34" s="45">
        <v>-1</v>
      </c>
      <c r="BI34" s="45">
        <v>-1</v>
      </c>
      <c r="BJ34" s="28">
        <v>1</v>
      </c>
      <c r="BK34" s="36">
        <v>76.753246753246756</v>
      </c>
      <c r="BL34" s="43">
        <v>0.70734908136482944</v>
      </c>
      <c r="BM34" s="45">
        <v>3</v>
      </c>
      <c r="BN34" s="36">
        <v>76.753246753246756</v>
      </c>
      <c r="BO34" s="43">
        <v>0.7</v>
      </c>
    </row>
    <row r="35" spans="1:67" s="50" customFormat="1" ht="15" customHeight="1" x14ac:dyDescent="0.25">
      <c r="A35" s="50">
        <v>34</v>
      </c>
      <c r="B35" s="51" t="s">
        <v>212</v>
      </c>
      <c r="C35" s="51">
        <v>931040</v>
      </c>
      <c r="D35" s="22" t="s">
        <v>6</v>
      </c>
      <c r="E35" s="6" t="s">
        <v>17</v>
      </c>
      <c r="F35" s="39">
        <v>78.3</v>
      </c>
      <c r="G35" s="36">
        <v>40.675324675324674</v>
      </c>
      <c r="H35" s="36">
        <v>19.204591442551777</v>
      </c>
      <c r="I35" s="36">
        <v>106.22933070866142</v>
      </c>
      <c r="J35" s="36">
        <v>56.238048709270259</v>
      </c>
      <c r="K35" s="36">
        <v>33.290496402085878</v>
      </c>
      <c r="L35" s="36">
        <v>29027</v>
      </c>
      <c r="M35" s="36" t="s">
        <v>369</v>
      </c>
      <c r="N35" s="36">
        <v>100</v>
      </c>
      <c r="O35" s="36">
        <v>78.3</v>
      </c>
      <c r="P35" s="36">
        <v>123.45808784497572</v>
      </c>
      <c r="Q35" s="36">
        <v>55.156599971309625</v>
      </c>
      <c r="R35" s="36">
        <v>17.967154349169768</v>
      </c>
      <c r="S35" s="36">
        <v>7.6384558727427372</v>
      </c>
      <c r="T35" s="36">
        <v>29027</v>
      </c>
      <c r="U35" s="36" t="s">
        <v>369</v>
      </c>
      <c r="V35" s="36">
        <v>100</v>
      </c>
      <c r="W35" s="36">
        <v>1</v>
      </c>
      <c r="X35" s="102">
        <v>5</v>
      </c>
      <c r="Y35" s="29">
        <v>46.666666666666664</v>
      </c>
      <c r="Z35" s="47">
        <v>5.1714666666666664</v>
      </c>
      <c r="AA35" s="46">
        <v>85</v>
      </c>
      <c r="AB35" s="50">
        <v>19092</v>
      </c>
      <c r="AC35" s="50" t="s">
        <v>160</v>
      </c>
      <c r="AD35" s="50">
        <v>100</v>
      </c>
      <c r="AE35" s="42">
        <v>50</v>
      </c>
      <c r="AF35" s="43">
        <v>1.0092597701149426</v>
      </c>
      <c r="AG35" s="36">
        <v>85</v>
      </c>
      <c r="AH35" s="35">
        <v>4.817127564674397E-2</v>
      </c>
      <c r="AI35" s="50">
        <v>40450</v>
      </c>
      <c r="AJ35" s="50" t="s">
        <v>148</v>
      </c>
      <c r="AK35" s="50">
        <v>100</v>
      </c>
      <c r="AL35" s="34">
        <v>52.994923857868017</v>
      </c>
      <c r="AM35" s="43">
        <v>1.4</v>
      </c>
      <c r="AN35" s="35">
        <v>0.28574324872273127</v>
      </c>
      <c r="AO35" s="35">
        <v>1.0250472097037664</v>
      </c>
      <c r="AP35" s="35">
        <v>1.2578750419963622</v>
      </c>
      <c r="AQ35" s="83">
        <v>3.7040791501094792</v>
      </c>
      <c r="AR35" s="46">
        <v>29027</v>
      </c>
      <c r="AS35" s="50" t="s">
        <v>369</v>
      </c>
      <c r="AT35" s="50">
        <v>100</v>
      </c>
      <c r="AU35" s="44">
        <v>-1</v>
      </c>
      <c r="AV35" s="48">
        <v>-1</v>
      </c>
      <c r="AW35" s="48">
        <v>-1</v>
      </c>
      <c r="AX35" s="48">
        <v>-1</v>
      </c>
      <c r="AY35" s="48">
        <v>-1</v>
      </c>
      <c r="AZ35" s="45">
        <v>1</v>
      </c>
      <c r="BA35" s="36">
        <v>100</v>
      </c>
      <c r="BB35" s="43">
        <v>1.1167979002624671</v>
      </c>
      <c r="BC35" s="45">
        <v>-1</v>
      </c>
      <c r="BD35" s="45">
        <v>-1</v>
      </c>
      <c r="BE35" s="45">
        <v>-1</v>
      </c>
      <c r="BF35" s="45">
        <v>-1</v>
      </c>
      <c r="BG35" s="45">
        <v>100</v>
      </c>
      <c r="BH35" s="45">
        <v>-1</v>
      </c>
      <c r="BI35" s="45">
        <v>-1</v>
      </c>
      <c r="BJ35" s="28">
        <v>1</v>
      </c>
      <c r="BK35" s="36">
        <v>100</v>
      </c>
      <c r="BL35" s="43">
        <v>0.70734908136482944</v>
      </c>
      <c r="BM35" s="45">
        <v>3</v>
      </c>
      <c r="BN35" s="36">
        <v>100</v>
      </c>
      <c r="BO35" s="43">
        <v>0.7</v>
      </c>
    </row>
    <row r="36" spans="1:67" s="50" customFormat="1" ht="15" customHeight="1" x14ac:dyDescent="0.25">
      <c r="A36" s="50">
        <v>35</v>
      </c>
      <c r="B36" s="52" t="s">
        <v>213</v>
      </c>
      <c r="C36" s="52">
        <v>911061</v>
      </c>
      <c r="D36" s="21" t="s">
        <v>6</v>
      </c>
      <c r="E36" s="11" t="s">
        <v>16</v>
      </c>
      <c r="F36" s="39">
        <v>18.2</v>
      </c>
      <c r="G36" s="36">
        <v>18.2</v>
      </c>
      <c r="H36" s="36">
        <v>12.48</v>
      </c>
      <c r="I36" s="36">
        <v>50.439960629921259</v>
      </c>
      <c r="J36" s="36">
        <v>35.604678091709125</v>
      </c>
      <c r="K36" s="36">
        <v>9.4945808244557668</v>
      </c>
      <c r="L36" s="36">
        <v>28766</v>
      </c>
      <c r="M36" s="36" t="s">
        <v>137</v>
      </c>
      <c r="N36" s="36">
        <v>100</v>
      </c>
      <c r="O36" s="36">
        <v>10.92</v>
      </c>
      <c r="P36" s="36">
        <v>24.439999999999998</v>
      </c>
      <c r="Q36" s="36">
        <v>29.670565076424271</v>
      </c>
      <c r="R36" s="36">
        <v>14.835282538212136</v>
      </c>
      <c r="S36" s="36">
        <v>5.3407017137563688</v>
      </c>
      <c r="T36" s="36">
        <v>28766</v>
      </c>
      <c r="U36" s="36" t="s">
        <v>137</v>
      </c>
      <c r="V36" s="36">
        <v>100</v>
      </c>
      <c r="W36" s="36">
        <v>1</v>
      </c>
      <c r="X36" s="102">
        <v>3</v>
      </c>
      <c r="Y36" s="29">
        <v>51.982500000000002</v>
      </c>
      <c r="Z36" s="47">
        <v>7</v>
      </c>
      <c r="AA36" s="46">
        <v>85</v>
      </c>
      <c r="AB36" s="46">
        <v>28862</v>
      </c>
      <c r="AC36" s="46" t="s">
        <v>376</v>
      </c>
      <c r="AD36" s="46">
        <v>100</v>
      </c>
      <c r="AE36" s="42">
        <v>17</v>
      </c>
      <c r="AF36" s="43">
        <v>1</v>
      </c>
      <c r="AG36" s="36">
        <v>85</v>
      </c>
      <c r="AH36" s="35">
        <v>8.6637500000000006E-2</v>
      </c>
      <c r="AI36" s="46">
        <v>40450</v>
      </c>
      <c r="AJ36" s="46" t="s">
        <v>148</v>
      </c>
      <c r="AK36" s="46">
        <v>100</v>
      </c>
      <c r="AL36" s="34">
        <v>4.68</v>
      </c>
      <c r="AM36" s="43">
        <v>0.75</v>
      </c>
      <c r="AN36" s="35">
        <v>6.2399999999999997E-2</v>
      </c>
      <c r="AO36" s="35">
        <v>7.279999999999999E-2</v>
      </c>
      <c r="AP36" s="35">
        <v>0.20799999999999999</v>
      </c>
      <c r="AQ36" s="83">
        <v>0.31199999999999994</v>
      </c>
      <c r="AR36" s="46">
        <v>28766</v>
      </c>
      <c r="AS36" s="46" t="s">
        <v>137</v>
      </c>
      <c r="AT36" s="46">
        <v>100</v>
      </c>
      <c r="AU36" s="44">
        <v>-1</v>
      </c>
      <c r="AV36" s="48">
        <v>-1</v>
      </c>
      <c r="AW36" s="48">
        <v>-1</v>
      </c>
      <c r="AX36" s="48">
        <v>-1</v>
      </c>
      <c r="AY36" s="48">
        <v>-1</v>
      </c>
      <c r="AZ36" s="45">
        <v>1</v>
      </c>
      <c r="BA36" s="36">
        <v>18.2</v>
      </c>
      <c r="BB36" s="43">
        <v>1</v>
      </c>
      <c r="BC36" s="45">
        <v>-1</v>
      </c>
      <c r="BD36" s="45">
        <v>-1</v>
      </c>
      <c r="BE36" s="45">
        <v>-1</v>
      </c>
      <c r="BF36" s="45">
        <v>100</v>
      </c>
      <c r="BG36" s="45">
        <v>-1</v>
      </c>
      <c r="BH36" s="45">
        <v>-1</v>
      </c>
      <c r="BI36" s="45">
        <v>-1</v>
      </c>
      <c r="BJ36" s="28">
        <v>1</v>
      </c>
      <c r="BK36" s="36">
        <v>16.64</v>
      </c>
      <c r="BL36" s="43">
        <v>1.25</v>
      </c>
      <c r="BM36" s="45">
        <v>3</v>
      </c>
      <c r="BN36" s="36">
        <v>16.64</v>
      </c>
      <c r="BO36" s="43">
        <v>1.25</v>
      </c>
    </row>
    <row r="37" spans="1:67" s="50" customFormat="1" ht="15" customHeight="1" x14ac:dyDescent="0.25">
      <c r="A37" s="50">
        <v>36</v>
      </c>
      <c r="B37" s="52" t="s">
        <v>214</v>
      </c>
      <c r="C37" s="52">
        <v>921061</v>
      </c>
      <c r="D37" s="21" t="s">
        <v>6</v>
      </c>
      <c r="E37" s="11" t="s">
        <v>16</v>
      </c>
      <c r="F37" s="39">
        <v>52.7</v>
      </c>
      <c r="G37" s="36">
        <v>52.7</v>
      </c>
      <c r="H37" s="36">
        <v>36.137142857142855</v>
      </c>
      <c r="I37" s="36">
        <v>63.117125984251963</v>
      </c>
      <c r="J37" s="36">
        <v>44.553265400648442</v>
      </c>
      <c r="K37" s="36">
        <v>11.880870773506253</v>
      </c>
      <c r="L37" s="36">
        <v>28766</v>
      </c>
      <c r="M37" s="36" t="s">
        <v>137</v>
      </c>
      <c r="N37" s="36">
        <v>100</v>
      </c>
      <c r="O37" s="36">
        <v>31.62</v>
      </c>
      <c r="P37" s="36">
        <v>70.76857142857142</v>
      </c>
      <c r="Q37" s="36">
        <v>37.127721167207035</v>
      </c>
      <c r="R37" s="36">
        <v>18.563860583603518</v>
      </c>
      <c r="S37" s="36">
        <v>6.6829898100972658</v>
      </c>
      <c r="T37" s="36">
        <v>28766</v>
      </c>
      <c r="U37" s="36" t="s">
        <v>137</v>
      </c>
      <c r="V37" s="36">
        <v>100</v>
      </c>
      <c r="W37" s="36">
        <v>1</v>
      </c>
      <c r="X37" s="102">
        <v>3</v>
      </c>
      <c r="Y37" s="29">
        <v>35.474999999999994</v>
      </c>
      <c r="Z37" s="47">
        <v>7</v>
      </c>
      <c r="AA37" s="46">
        <v>85</v>
      </c>
      <c r="AB37" s="46">
        <v>28862</v>
      </c>
      <c r="AC37" s="46" t="s">
        <v>376</v>
      </c>
      <c r="AD37" s="46">
        <v>100</v>
      </c>
      <c r="AE37" s="42">
        <v>12</v>
      </c>
      <c r="AF37" s="43">
        <v>1</v>
      </c>
      <c r="AG37" s="36">
        <v>85</v>
      </c>
      <c r="AH37" s="35">
        <v>5.9124999999999997E-2</v>
      </c>
      <c r="AI37" s="46">
        <v>40450</v>
      </c>
      <c r="AJ37" s="46" t="s">
        <v>148</v>
      </c>
      <c r="AK37" s="46">
        <v>100</v>
      </c>
      <c r="AL37" s="34">
        <v>13.551428571428572</v>
      </c>
      <c r="AM37" s="43">
        <v>0.75</v>
      </c>
      <c r="AN37" s="35">
        <v>0.18068571428571428</v>
      </c>
      <c r="AO37" s="35">
        <v>0.21080000000000002</v>
      </c>
      <c r="AP37" s="35">
        <v>0.60228571428571431</v>
      </c>
      <c r="AQ37" s="83">
        <v>0.90342857142857158</v>
      </c>
      <c r="AR37" s="46">
        <v>28766</v>
      </c>
      <c r="AS37" s="46" t="s">
        <v>137</v>
      </c>
      <c r="AT37" s="46">
        <v>100</v>
      </c>
      <c r="AU37" s="44">
        <v>-1</v>
      </c>
      <c r="AV37" s="48">
        <v>-1</v>
      </c>
      <c r="AW37" s="48">
        <v>-1</v>
      </c>
      <c r="AX37" s="48">
        <v>-1</v>
      </c>
      <c r="AY37" s="48">
        <v>-1</v>
      </c>
      <c r="AZ37" s="45">
        <v>1</v>
      </c>
      <c r="BA37" s="36">
        <v>52.7</v>
      </c>
      <c r="BB37" s="43">
        <v>1</v>
      </c>
      <c r="BC37" s="45">
        <v>-1</v>
      </c>
      <c r="BD37" s="45">
        <v>-1</v>
      </c>
      <c r="BE37" s="45">
        <v>-1</v>
      </c>
      <c r="BF37" s="45">
        <v>100</v>
      </c>
      <c r="BG37" s="45">
        <v>-1</v>
      </c>
      <c r="BH37" s="45">
        <v>-1</v>
      </c>
      <c r="BI37" s="45">
        <v>-1</v>
      </c>
      <c r="BJ37" s="28">
        <v>1</v>
      </c>
      <c r="BK37" s="36">
        <v>48.182857142857145</v>
      </c>
      <c r="BL37" s="43">
        <v>1.25</v>
      </c>
      <c r="BM37" s="45">
        <v>3</v>
      </c>
      <c r="BN37" s="36">
        <v>48.182857142857145</v>
      </c>
      <c r="BO37" s="43">
        <v>1.25</v>
      </c>
    </row>
    <row r="38" spans="1:67" s="50" customFormat="1" ht="15" customHeight="1" x14ac:dyDescent="0.25">
      <c r="A38" s="50">
        <v>37</v>
      </c>
      <c r="B38" s="52" t="s">
        <v>215</v>
      </c>
      <c r="C38" s="52">
        <v>931061</v>
      </c>
      <c r="D38" s="22" t="s">
        <v>6</v>
      </c>
      <c r="E38" s="11" t="s">
        <v>16</v>
      </c>
      <c r="F38" s="39">
        <v>75.8</v>
      </c>
      <c r="G38" s="36">
        <v>75.8</v>
      </c>
      <c r="H38" s="36">
        <v>51.977142857142859</v>
      </c>
      <c r="I38" s="36">
        <v>79.152559055118104</v>
      </c>
      <c r="J38" s="36">
        <v>55.872394627142185</v>
      </c>
      <c r="K38" s="36">
        <v>14.899305233904585</v>
      </c>
      <c r="L38" s="36">
        <v>28766</v>
      </c>
      <c r="M38" s="36" t="s">
        <v>137</v>
      </c>
      <c r="N38" s="36">
        <v>100</v>
      </c>
      <c r="O38" s="36">
        <v>45.48</v>
      </c>
      <c r="P38" s="36">
        <v>101.78857142857142</v>
      </c>
      <c r="Q38" s="36">
        <v>46.56032885595183</v>
      </c>
      <c r="R38" s="36">
        <v>23.280164427975915</v>
      </c>
      <c r="S38" s="36">
        <v>8.3808591940713288</v>
      </c>
      <c r="T38" s="36">
        <v>28766</v>
      </c>
      <c r="U38" s="36" t="s">
        <v>137</v>
      </c>
      <c r="V38" s="36">
        <v>100</v>
      </c>
      <c r="W38" s="36">
        <v>1</v>
      </c>
      <c r="X38" s="102">
        <v>3</v>
      </c>
      <c r="Y38" s="29">
        <v>18.150000000000002</v>
      </c>
      <c r="Z38" s="47">
        <v>7</v>
      </c>
      <c r="AA38" s="46">
        <v>85</v>
      </c>
      <c r="AB38" s="46">
        <v>28862</v>
      </c>
      <c r="AC38" s="46" t="s">
        <v>376</v>
      </c>
      <c r="AD38" s="46">
        <v>100</v>
      </c>
      <c r="AE38" s="42">
        <v>6</v>
      </c>
      <c r="AF38" s="43">
        <v>1</v>
      </c>
      <c r="AG38" s="36">
        <v>85</v>
      </c>
      <c r="AH38" s="35">
        <v>3.0250000000000006E-2</v>
      </c>
      <c r="AI38" s="46">
        <v>40450</v>
      </c>
      <c r="AJ38" s="46" t="s">
        <v>148</v>
      </c>
      <c r="AK38" s="46">
        <v>100</v>
      </c>
      <c r="AL38" s="34">
        <v>19.491428571428571</v>
      </c>
      <c r="AM38" s="43">
        <v>0.75</v>
      </c>
      <c r="AN38" s="35">
        <v>0.25988571428571428</v>
      </c>
      <c r="AO38" s="35">
        <v>0.30319999999999997</v>
      </c>
      <c r="AP38" s="35">
        <v>0.86628571428571421</v>
      </c>
      <c r="AQ38" s="83">
        <v>1.2994285714285714</v>
      </c>
      <c r="AR38" s="46">
        <v>28766</v>
      </c>
      <c r="AS38" s="46" t="s">
        <v>137</v>
      </c>
      <c r="AT38" s="46">
        <v>100</v>
      </c>
      <c r="AU38" s="44">
        <v>-1</v>
      </c>
      <c r="AV38" s="48">
        <v>-1</v>
      </c>
      <c r="AW38" s="48">
        <v>-1</v>
      </c>
      <c r="AX38" s="48">
        <v>-1</v>
      </c>
      <c r="AY38" s="48">
        <v>-1</v>
      </c>
      <c r="AZ38" s="45">
        <v>1</v>
      </c>
      <c r="BA38" s="36">
        <v>75.8</v>
      </c>
      <c r="BB38" s="43">
        <v>1</v>
      </c>
      <c r="BC38" s="45">
        <v>-1</v>
      </c>
      <c r="BD38" s="45">
        <v>-1</v>
      </c>
      <c r="BE38" s="45">
        <v>-1</v>
      </c>
      <c r="BF38" s="45">
        <v>100</v>
      </c>
      <c r="BG38" s="45">
        <v>-1</v>
      </c>
      <c r="BH38" s="45">
        <v>-1</v>
      </c>
      <c r="BI38" s="45">
        <v>-1</v>
      </c>
      <c r="BJ38" s="28">
        <v>1</v>
      </c>
      <c r="BK38" s="36">
        <v>69.30285714285715</v>
      </c>
      <c r="BL38" s="43">
        <v>1.25</v>
      </c>
      <c r="BM38" s="45">
        <v>3</v>
      </c>
      <c r="BN38" s="36">
        <v>69.30285714285715</v>
      </c>
      <c r="BO38" s="43">
        <v>1.25</v>
      </c>
    </row>
    <row r="39" spans="1:67" s="50" customFormat="1" ht="15" customHeight="1" x14ac:dyDescent="0.25">
      <c r="A39" s="50">
        <v>38</v>
      </c>
      <c r="B39" s="52" t="s">
        <v>216</v>
      </c>
      <c r="C39" s="52">
        <v>911091</v>
      </c>
      <c r="D39" s="21" t="s">
        <v>6</v>
      </c>
      <c r="E39" s="24" t="s">
        <v>353</v>
      </c>
      <c r="F39" s="39">
        <v>23.5</v>
      </c>
      <c r="G39" s="36">
        <v>14.819819819819818</v>
      </c>
      <c r="H39" s="36">
        <v>21.231146160324631</v>
      </c>
      <c r="I39" s="36">
        <v>74.222112860892395</v>
      </c>
      <c r="J39" s="36">
        <v>52.036440930123071</v>
      </c>
      <c r="K39" s="36">
        <v>13.287020114742313</v>
      </c>
      <c r="L39" s="36">
        <v>18035</v>
      </c>
      <c r="M39" s="36" t="s">
        <v>370</v>
      </c>
      <c r="N39" s="36">
        <v>100</v>
      </c>
      <c r="O39" s="36">
        <v>23.5</v>
      </c>
      <c r="P39" s="36">
        <v>43.336213591171095</v>
      </c>
      <c r="Q39" s="36">
        <v>47.562735202107461</v>
      </c>
      <c r="R39" s="36">
        <v>24.46515663464459</v>
      </c>
      <c r="S39" s="36">
        <v>6.651124555315854</v>
      </c>
      <c r="T39" s="36">
        <v>18035</v>
      </c>
      <c r="U39" s="36" t="s">
        <v>370</v>
      </c>
      <c r="V39" s="36">
        <v>100</v>
      </c>
      <c r="W39" s="36">
        <v>1</v>
      </c>
      <c r="X39" s="102">
        <v>3</v>
      </c>
      <c r="Y39" s="29">
        <v>7.8</v>
      </c>
      <c r="Z39" s="47">
        <v>2.6</v>
      </c>
      <c r="AA39" s="46">
        <v>85</v>
      </c>
      <c r="AB39" s="50">
        <v>18148</v>
      </c>
      <c r="AC39" s="50" t="s">
        <v>371</v>
      </c>
      <c r="AD39" s="50">
        <v>100</v>
      </c>
      <c r="AE39" s="42">
        <v>50</v>
      </c>
      <c r="AF39" s="43">
        <v>1.1000000000000001</v>
      </c>
      <c r="AG39" s="36">
        <v>70</v>
      </c>
      <c r="AH39" s="35">
        <v>0.52764579199999995</v>
      </c>
      <c r="AI39" s="50">
        <v>40792</v>
      </c>
      <c r="AJ39" s="50" t="s">
        <v>365</v>
      </c>
      <c r="AK39" s="50">
        <v>100</v>
      </c>
      <c r="AL39" s="34">
        <v>16</v>
      </c>
      <c r="AM39" s="43">
        <v>2.9</v>
      </c>
      <c r="AN39" s="35">
        <v>0.03</v>
      </c>
      <c r="AO39" s="35">
        <v>0.36</v>
      </c>
      <c r="AP39" s="35">
        <v>0.52</v>
      </c>
      <c r="AQ39" s="83">
        <v>1.17</v>
      </c>
      <c r="AR39" s="46">
        <v>18035</v>
      </c>
      <c r="AS39" s="50" t="s">
        <v>370</v>
      </c>
      <c r="AT39" s="50">
        <v>100</v>
      </c>
      <c r="AU39" s="44">
        <v>-1</v>
      </c>
      <c r="AV39" s="48">
        <v>-1</v>
      </c>
      <c r="AW39" s="48">
        <v>-1</v>
      </c>
      <c r="AX39" s="48">
        <v>-1</v>
      </c>
      <c r="AY39" s="48">
        <v>-1</v>
      </c>
      <c r="AZ39" s="45">
        <v>1</v>
      </c>
      <c r="BA39" s="36">
        <v>28.9</v>
      </c>
      <c r="BB39" s="43">
        <v>2.21</v>
      </c>
      <c r="BC39" s="45">
        <v>100</v>
      </c>
      <c r="BD39" s="45">
        <v>-1</v>
      </c>
      <c r="BE39" s="45">
        <v>-1</v>
      </c>
      <c r="BF39" s="45">
        <v>-1</v>
      </c>
      <c r="BG39" s="45">
        <v>-1</v>
      </c>
      <c r="BH39" s="45">
        <v>-1</v>
      </c>
      <c r="BI39" s="45">
        <v>-1</v>
      </c>
      <c r="BJ39" s="28">
        <v>1</v>
      </c>
      <c r="BK39" s="36">
        <v>28.9</v>
      </c>
      <c r="BL39" s="43">
        <v>1</v>
      </c>
      <c r="BM39" s="45">
        <v>3</v>
      </c>
      <c r="BN39" s="36">
        <v>28.9</v>
      </c>
      <c r="BO39" s="43">
        <v>1</v>
      </c>
    </row>
    <row r="40" spans="1:67" s="50" customFormat="1" ht="15" customHeight="1" x14ac:dyDescent="0.25">
      <c r="A40" s="50">
        <v>39</v>
      </c>
      <c r="B40" s="52" t="s">
        <v>217</v>
      </c>
      <c r="C40" s="52">
        <v>921091</v>
      </c>
      <c r="D40" s="21" t="s">
        <v>6</v>
      </c>
      <c r="E40" s="24" t="s">
        <v>353</v>
      </c>
      <c r="F40" s="39">
        <v>55.5</v>
      </c>
      <c r="G40" s="36">
        <v>35</v>
      </c>
      <c r="H40" s="36">
        <v>50.141643059490079</v>
      </c>
      <c r="I40" s="36">
        <v>90.61548556430445</v>
      </c>
      <c r="J40" s="36">
        <v>63.529683812138444</v>
      </c>
      <c r="K40" s="36">
        <v>16.221712546187128</v>
      </c>
      <c r="L40" s="36">
        <v>18035</v>
      </c>
      <c r="M40" s="36" t="s">
        <v>370</v>
      </c>
      <c r="N40" s="36">
        <v>100</v>
      </c>
      <c r="O40" s="36">
        <v>55.5</v>
      </c>
      <c r="P40" s="36">
        <v>102.34722784297854</v>
      </c>
      <c r="Q40" s="36">
        <v>58.067874639773279</v>
      </c>
      <c r="R40" s="36">
        <v>29.86875423514357</v>
      </c>
      <c r="S40" s="36">
        <v>8.1201525784935491</v>
      </c>
      <c r="T40" s="36">
        <v>18035</v>
      </c>
      <c r="U40" s="36" t="s">
        <v>370</v>
      </c>
      <c r="V40" s="36">
        <v>100</v>
      </c>
      <c r="W40" s="36">
        <v>1</v>
      </c>
      <c r="X40" s="102">
        <v>3</v>
      </c>
      <c r="Y40" s="29">
        <v>7.8</v>
      </c>
      <c r="Z40" s="47">
        <v>2.6</v>
      </c>
      <c r="AA40" s="46">
        <v>85</v>
      </c>
      <c r="AB40" s="50">
        <v>18148</v>
      </c>
      <c r="AC40" s="50" t="s">
        <v>371</v>
      </c>
      <c r="AD40" s="50">
        <v>100</v>
      </c>
      <c r="AE40" s="42">
        <v>35</v>
      </c>
      <c r="AF40" s="43">
        <v>1.1000000000000001</v>
      </c>
      <c r="AG40" s="36">
        <v>70</v>
      </c>
      <c r="AH40" s="35">
        <v>0.37006452299999998</v>
      </c>
      <c r="AI40" s="50">
        <v>40792</v>
      </c>
      <c r="AJ40" s="50" t="s">
        <v>365</v>
      </c>
      <c r="AK40" s="50">
        <v>100</v>
      </c>
      <c r="AL40" s="34">
        <v>38</v>
      </c>
      <c r="AM40" s="43">
        <v>2.9</v>
      </c>
      <c r="AN40" s="35">
        <v>7.0000000000000007E-2</v>
      </c>
      <c r="AO40" s="35">
        <v>0.84</v>
      </c>
      <c r="AP40" s="35">
        <v>1.22</v>
      </c>
      <c r="AQ40" s="83">
        <v>2.77</v>
      </c>
      <c r="AR40" s="46">
        <v>18035</v>
      </c>
      <c r="AS40" s="50" t="s">
        <v>370</v>
      </c>
      <c r="AT40" s="50">
        <v>100</v>
      </c>
      <c r="AU40" s="44">
        <v>-1</v>
      </c>
      <c r="AV40" s="48">
        <v>-1</v>
      </c>
      <c r="AW40" s="48">
        <v>-1</v>
      </c>
      <c r="AX40" s="48">
        <v>-1</v>
      </c>
      <c r="AY40" s="48">
        <v>-1</v>
      </c>
      <c r="AZ40" s="45">
        <v>1</v>
      </c>
      <c r="BA40" s="36">
        <v>68.3</v>
      </c>
      <c r="BB40" s="43">
        <v>2.21</v>
      </c>
      <c r="BC40" s="45">
        <v>100</v>
      </c>
      <c r="BD40" s="45">
        <v>-1</v>
      </c>
      <c r="BE40" s="45">
        <v>-1</v>
      </c>
      <c r="BF40" s="45">
        <v>-1</v>
      </c>
      <c r="BG40" s="45">
        <v>-1</v>
      </c>
      <c r="BH40" s="45">
        <v>-1</v>
      </c>
      <c r="BI40" s="45">
        <v>-1</v>
      </c>
      <c r="BJ40" s="28">
        <v>1</v>
      </c>
      <c r="BK40" s="36">
        <v>68.2</v>
      </c>
      <c r="BL40" s="43">
        <v>1</v>
      </c>
      <c r="BM40" s="45">
        <v>3</v>
      </c>
      <c r="BN40" s="36">
        <v>68.2</v>
      </c>
      <c r="BO40" s="43">
        <v>1</v>
      </c>
    </row>
    <row r="41" spans="1:67" s="50" customFormat="1" ht="15" customHeight="1" x14ac:dyDescent="0.25">
      <c r="A41" s="50">
        <v>40</v>
      </c>
      <c r="B41" s="52" t="s">
        <v>218</v>
      </c>
      <c r="C41" s="52">
        <v>931091</v>
      </c>
      <c r="D41" s="22" t="s">
        <v>6</v>
      </c>
      <c r="E41" s="24" t="s">
        <v>353</v>
      </c>
      <c r="F41" s="39">
        <v>76.7</v>
      </c>
      <c r="G41" s="36">
        <v>48.369369369369366</v>
      </c>
      <c r="H41" s="36">
        <v>69.294847255187193</v>
      </c>
      <c r="I41" s="36">
        <v>103.94816272965879</v>
      </c>
      <c r="J41" s="36">
        <v>72.877101192396239</v>
      </c>
      <c r="K41" s="36">
        <v>18.608488438857378</v>
      </c>
      <c r="L41" s="36">
        <v>18035</v>
      </c>
      <c r="M41" s="36" t="s">
        <v>370</v>
      </c>
      <c r="N41" s="36">
        <v>100</v>
      </c>
      <c r="O41" s="36">
        <v>76.7</v>
      </c>
      <c r="P41" s="36">
        <v>141.44202478480096</v>
      </c>
      <c r="Q41" s="36">
        <v>66.611670674513505</v>
      </c>
      <c r="R41" s="36">
        <v>34.263482741739487</v>
      </c>
      <c r="S41" s="36">
        <v>9.3149083334096989</v>
      </c>
      <c r="T41" s="36">
        <v>18035</v>
      </c>
      <c r="U41" s="36" t="s">
        <v>370</v>
      </c>
      <c r="V41" s="36">
        <v>100</v>
      </c>
      <c r="W41" s="36">
        <v>1</v>
      </c>
      <c r="X41" s="102">
        <v>3</v>
      </c>
      <c r="Y41" s="29">
        <v>7.8</v>
      </c>
      <c r="Z41" s="47">
        <v>2.6</v>
      </c>
      <c r="AA41" s="46">
        <v>85</v>
      </c>
      <c r="AB41" s="50">
        <v>18148</v>
      </c>
      <c r="AC41" s="50" t="s">
        <v>371</v>
      </c>
      <c r="AD41" s="50">
        <v>100</v>
      </c>
      <c r="AE41" s="42">
        <v>13</v>
      </c>
      <c r="AF41" s="43">
        <v>1.1000000000000001</v>
      </c>
      <c r="AG41" s="36">
        <v>70</v>
      </c>
      <c r="AH41" s="35">
        <v>0.140308398</v>
      </c>
      <c r="AI41" s="50">
        <v>40792</v>
      </c>
      <c r="AJ41" s="50" t="s">
        <v>365</v>
      </c>
      <c r="AK41" s="50">
        <v>100</v>
      </c>
      <c r="AL41" s="34">
        <v>53</v>
      </c>
      <c r="AM41" s="43">
        <v>2.9</v>
      </c>
      <c r="AN41" s="35">
        <v>0.1</v>
      </c>
      <c r="AO41" s="35">
        <v>1.1599999999999999</v>
      </c>
      <c r="AP41" s="35">
        <v>1.69</v>
      </c>
      <c r="AQ41" s="83">
        <v>3.83</v>
      </c>
      <c r="AR41" s="46">
        <v>18035</v>
      </c>
      <c r="AS41" s="50" t="s">
        <v>370</v>
      </c>
      <c r="AT41" s="50">
        <v>100</v>
      </c>
      <c r="AU41" s="44">
        <v>-1</v>
      </c>
      <c r="AV41" s="48">
        <v>-1</v>
      </c>
      <c r="AW41" s="48">
        <v>-1</v>
      </c>
      <c r="AX41" s="48">
        <v>-1</v>
      </c>
      <c r="AY41" s="48">
        <v>-1</v>
      </c>
      <c r="AZ41" s="45">
        <v>1</v>
      </c>
      <c r="BA41" s="36">
        <v>94.4</v>
      </c>
      <c r="BB41" s="43">
        <v>2.21</v>
      </c>
      <c r="BC41" s="45">
        <v>100</v>
      </c>
      <c r="BD41" s="45">
        <v>-1</v>
      </c>
      <c r="BE41" s="45">
        <v>-1</v>
      </c>
      <c r="BF41" s="45">
        <v>-1</v>
      </c>
      <c r="BG41" s="45">
        <v>-1</v>
      </c>
      <c r="BH41" s="45">
        <v>-1</v>
      </c>
      <c r="BI41" s="45">
        <v>-1</v>
      </c>
      <c r="BJ41" s="28">
        <v>1</v>
      </c>
      <c r="BK41" s="36">
        <v>94.3</v>
      </c>
      <c r="BL41" s="43">
        <v>1</v>
      </c>
      <c r="BM41" s="45">
        <v>3</v>
      </c>
      <c r="BN41" s="36">
        <v>94.3</v>
      </c>
      <c r="BO41" s="43">
        <v>1</v>
      </c>
    </row>
    <row r="42" spans="1:67" s="50" customFormat="1" ht="15" customHeight="1" x14ac:dyDescent="0.25">
      <c r="A42" s="50">
        <v>41</v>
      </c>
      <c r="B42" s="52" t="s">
        <v>219</v>
      </c>
      <c r="C42" s="52">
        <v>911110</v>
      </c>
      <c r="D42" s="21" t="s">
        <v>6</v>
      </c>
      <c r="E42" s="12" t="s">
        <v>9</v>
      </c>
      <c r="F42" s="39">
        <v>11.7</v>
      </c>
      <c r="G42" s="36">
        <v>6.0779220779220777</v>
      </c>
      <c r="H42" s="36">
        <v>2.8696515948640591</v>
      </c>
      <c r="I42" s="36">
        <v>46.6</v>
      </c>
      <c r="J42" s="36">
        <v>24.670145734414533</v>
      </c>
      <c r="K42" s="36">
        <v>14.603660985041991</v>
      </c>
      <c r="L42" s="36">
        <v>29027</v>
      </c>
      <c r="M42" s="36" t="s">
        <v>369</v>
      </c>
      <c r="N42" s="36">
        <v>100</v>
      </c>
      <c r="O42" s="36">
        <v>11.7</v>
      </c>
      <c r="P42" s="36">
        <v>18.447760252697524</v>
      </c>
      <c r="Q42" s="36">
        <v>24.195742753121376</v>
      </c>
      <c r="R42" s="36">
        <v>7.8817157849516999</v>
      </c>
      <c r="S42" s="36">
        <v>3.3507887256300766</v>
      </c>
      <c r="T42" s="36">
        <v>29027</v>
      </c>
      <c r="U42" s="36" t="s">
        <v>369</v>
      </c>
      <c r="V42" s="36">
        <v>100</v>
      </c>
      <c r="W42" s="36">
        <v>1</v>
      </c>
      <c r="X42" s="102">
        <v>5</v>
      </c>
      <c r="Y42" s="29">
        <v>46.666666666666664</v>
      </c>
      <c r="Z42" s="47">
        <v>5.1714666666666664</v>
      </c>
      <c r="AA42" s="46">
        <v>85</v>
      </c>
      <c r="AB42" s="50">
        <v>19092</v>
      </c>
      <c r="AC42" s="50" t="s">
        <v>160</v>
      </c>
      <c r="AD42" s="50">
        <v>100</v>
      </c>
      <c r="AE42" s="42">
        <v>50</v>
      </c>
      <c r="AF42" s="43">
        <v>1.0092597701149426</v>
      </c>
      <c r="AG42" s="36">
        <v>85</v>
      </c>
      <c r="AH42" s="35">
        <v>4.817127564674397E-2</v>
      </c>
      <c r="AI42" s="50">
        <v>40450</v>
      </c>
      <c r="AJ42" s="50" t="s">
        <v>148</v>
      </c>
      <c r="AK42" s="50">
        <v>100</v>
      </c>
      <c r="AL42" s="34">
        <v>7.9187817258883246</v>
      </c>
      <c r="AM42" s="43">
        <v>1.4</v>
      </c>
      <c r="AN42" s="35">
        <v>4.2697267050523062E-2</v>
      </c>
      <c r="AO42" s="35">
        <v>0.15316797386378117</v>
      </c>
      <c r="AP42" s="35">
        <v>0.18795833960865183</v>
      </c>
      <c r="AQ42" s="83">
        <v>0.55348309139566942</v>
      </c>
      <c r="AR42" s="46">
        <v>29027</v>
      </c>
      <c r="AS42" s="50" t="s">
        <v>369</v>
      </c>
      <c r="AT42" s="50">
        <v>100</v>
      </c>
      <c r="AU42" s="44">
        <v>-1</v>
      </c>
      <c r="AV42" s="48">
        <v>-1</v>
      </c>
      <c r="AW42" s="48">
        <v>-1</v>
      </c>
      <c r="AX42" s="48">
        <v>-1</v>
      </c>
      <c r="AY42" s="48">
        <v>-1</v>
      </c>
      <c r="AZ42" s="45">
        <v>1</v>
      </c>
      <c r="BA42" s="36">
        <v>15.194805194805195</v>
      </c>
      <c r="BB42" s="43">
        <v>1.1000000000000001</v>
      </c>
      <c r="BC42" s="45">
        <v>-1</v>
      </c>
      <c r="BD42" s="45">
        <v>-1</v>
      </c>
      <c r="BE42" s="45">
        <v>-1</v>
      </c>
      <c r="BF42" s="45">
        <v>-1</v>
      </c>
      <c r="BG42" s="45">
        <v>100</v>
      </c>
      <c r="BH42" s="45">
        <v>-1</v>
      </c>
      <c r="BI42" s="45">
        <v>-1</v>
      </c>
      <c r="BJ42" s="28">
        <v>1</v>
      </c>
      <c r="BK42" s="36">
        <v>15.194805194805195</v>
      </c>
      <c r="BL42" s="43">
        <v>0.70734908136482944</v>
      </c>
      <c r="BM42" s="45">
        <v>3</v>
      </c>
      <c r="BN42" s="36">
        <v>15.194805194805195</v>
      </c>
      <c r="BO42" s="43">
        <v>0.7</v>
      </c>
    </row>
    <row r="43" spans="1:67" s="50" customFormat="1" ht="15" customHeight="1" x14ac:dyDescent="0.25">
      <c r="A43" s="50">
        <v>42</v>
      </c>
      <c r="B43" s="51" t="s">
        <v>220</v>
      </c>
      <c r="C43" s="52">
        <v>921110</v>
      </c>
      <c r="D43" s="21" t="s">
        <v>6</v>
      </c>
      <c r="E43" s="12" t="s">
        <v>9</v>
      </c>
      <c r="F43" s="39">
        <v>58.3</v>
      </c>
      <c r="G43" s="36">
        <v>30.285714285714285</v>
      </c>
      <c r="H43" s="36">
        <v>14.299204100903816</v>
      </c>
      <c r="I43" s="36">
        <v>67.900000000000006</v>
      </c>
      <c r="J43" s="36">
        <v>35.946414063664101</v>
      </c>
      <c r="K43" s="36">
        <v>21.278724911681355</v>
      </c>
      <c r="L43" s="36">
        <v>29027</v>
      </c>
      <c r="M43" s="36" t="s">
        <v>369</v>
      </c>
      <c r="N43" s="36">
        <v>100</v>
      </c>
      <c r="O43" s="36">
        <v>58.3</v>
      </c>
      <c r="P43" s="36">
        <v>91.923454934381681</v>
      </c>
      <c r="Q43" s="36">
        <v>35.255170234698312</v>
      </c>
      <c r="R43" s="36">
        <v>11.48430261369572</v>
      </c>
      <c r="S43" s="36">
        <v>4.8823724135253697</v>
      </c>
      <c r="T43" s="36">
        <v>29027</v>
      </c>
      <c r="U43" s="36" t="s">
        <v>369</v>
      </c>
      <c r="V43" s="36">
        <v>100</v>
      </c>
      <c r="W43" s="36">
        <v>1</v>
      </c>
      <c r="X43" s="102">
        <v>5</v>
      </c>
      <c r="Y43" s="29">
        <v>46.666666666666664</v>
      </c>
      <c r="Z43" s="47">
        <v>5.1714666666666664</v>
      </c>
      <c r="AA43" s="46">
        <v>85</v>
      </c>
      <c r="AB43" s="50">
        <v>19092</v>
      </c>
      <c r="AC43" s="50" t="s">
        <v>160</v>
      </c>
      <c r="AD43" s="50">
        <v>100</v>
      </c>
      <c r="AE43" s="42">
        <v>50</v>
      </c>
      <c r="AF43" s="43">
        <v>1.0092597701149426</v>
      </c>
      <c r="AG43" s="36">
        <v>85</v>
      </c>
      <c r="AH43" s="35">
        <v>4.817127564674397E-2</v>
      </c>
      <c r="AI43" s="50">
        <v>40450</v>
      </c>
      <c r="AJ43" s="50" t="s">
        <v>148</v>
      </c>
      <c r="AK43" s="50">
        <v>100</v>
      </c>
      <c r="AL43" s="34">
        <v>39.458544839255495</v>
      </c>
      <c r="AM43" s="43">
        <v>1.4</v>
      </c>
      <c r="AN43" s="35">
        <v>0.21275646743978588</v>
      </c>
      <c r="AO43" s="35">
        <v>0.76322161335542249</v>
      </c>
      <c r="AP43" s="35">
        <v>0.93657873497302568</v>
      </c>
      <c r="AQ43" s="83">
        <v>2.7579542075527801</v>
      </c>
      <c r="AR43" s="46">
        <v>29027</v>
      </c>
      <c r="AS43" s="50" t="s">
        <v>369</v>
      </c>
      <c r="AT43" s="50">
        <v>100</v>
      </c>
      <c r="AU43" s="44">
        <v>-1</v>
      </c>
      <c r="AV43" s="48">
        <v>-1</v>
      </c>
      <c r="AW43" s="48">
        <v>-1</v>
      </c>
      <c r="AX43" s="48">
        <v>-1</v>
      </c>
      <c r="AY43" s="48">
        <v>-1</v>
      </c>
      <c r="AZ43" s="45">
        <v>1</v>
      </c>
      <c r="BA43" s="36">
        <v>75.714285714285708</v>
      </c>
      <c r="BB43" s="43">
        <v>1.1000000000000001</v>
      </c>
      <c r="BC43" s="45">
        <v>-1</v>
      </c>
      <c r="BD43" s="45">
        <v>-1</v>
      </c>
      <c r="BE43" s="45">
        <v>-1</v>
      </c>
      <c r="BF43" s="45">
        <v>-1</v>
      </c>
      <c r="BG43" s="45">
        <v>100</v>
      </c>
      <c r="BH43" s="45">
        <v>-1</v>
      </c>
      <c r="BI43" s="45">
        <v>-1</v>
      </c>
      <c r="BJ43" s="28">
        <v>1</v>
      </c>
      <c r="BK43" s="36">
        <v>75.714285714285708</v>
      </c>
      <c r="BL43" s="43">
        <v>0.70734908136482944</v>
      </c>
      <c r="BM43" s="45">
        <v>3</v>
      </c>
      <c r="BN43" s="36">
        <v>75.714285714285708</v>
      </c>
      <c r="BO43" s="43">
        <v>0.7</v>
      </c>
    </row>
    <row r="44" spans="1:67" s="50" customFormat="1" ht="15" customHeight="1" x14ac:dyDescent="0.25">
      <c r="A44" s="50">
        <v>43</v>
      </c>
      <c r="B44" s="67">
        <v>1120</v>
      </c>
      <c r="C44" s="36">
        <v>1120</v>
      </c>
      <c r="D44" s="21" t="s">
        <v>6</v>
      </c>
      <c r="E44" s="13" t="s">
        <v>8</v>
      </c>
      <c r="F44" s="39">
        <v>11.31</v>
      </c>
      <c r="G44" s="36">
        <v>5.8753246753246762</v>
      </c>
      <c r="H44" s="36">
        <v>2.7739965417019237</v>
      </c>
      <c r="I44" s="36">
        <v>53</v>
      </c>
      <c r="J44" s="36">
        <v>28.058320255879192</v>
      </c>
      <c r="K44" s="36">
        <v>16.609313995863207</v>
      </c>
      <c r="L44" s="36">
        <v>29027</v>
      </c>
      <c r="M44" s="36" t="s">
        <v>369</v>
      </c>
      <c r="N44" s="36">
        <v>100</v>
      </c>
      <c r="O44" s="36">
        <v>11.31</v>
      </c>
      <c r="P44" s="36">
        <v>17.832834910940942</v>
      </c>
      <c r="Q44" s="36">
        <v>27.518763217069377</v>
      </c>
      <c r="R44" s="36">
        <v>8.9641831888935659</v>
      </c>
      <c r="S44" s="36">
        <v>3.8109828853732628</v>
      </c>
      <c r="T44" s="36">
        <v>29027</v>
      </c>
      <c r="U44" s="36" t="s">
        <v>369</v>
      </c>
      <c r="V44" s="36">
        <v>100</v>
      </c>
      <c r="W44" s="36">
        <v>1</v>
      </c>
      <c r="X44" s="102">
        <v>5</v>
      </c>
      <c r="Y44" s="29">
        <v>40</v>
      </c>
      <c r="Z44" s="47">
        <v>5.1714666666666664</v>
      </c>
      <c r="AA44" s="46">
        <v>85</v>
      </c>
      <c r="AB44" s="50">
        <v>19092</v>
      </c>
      <c r="AC44" s="50" t="s">
        <v>160</v>
      </c>
      <c r="AD44" s="50">
        <v>101</v>
      </c>
      <c r="AE44" s="42">
        <v>60</v>
      </c>
      <c r="AF44" s="43">
        <v>1.0092597701149426</v>
      </c>
      <c r="AG44" s="36">
        <v>85</v>
      </c>
      <c r="AH44" s="35">
        <v>5.8193487358482662E-2</v>
      </c>
      <c r="AI44" s="50">
        <v>40450</v>
      </c>
      <c r="AJ44" s="50" t="s">
        <v>148</v>
      </c>
      <c r="AK44" s="50">
        <v>100</v>
      </c>
      <c r="AL44" s="34">
        <v>7.654822335025381</v>
      </c>
      <c r="AM44" s="43">
        <v>1.4</v>
      </c>
      <c r="AN44" s="57">
        <v>4.1274024815505635E-2</v>
      </c>
      <c r="AO44" s="57">
        <v>0.14806237473498848</v>
      </c>
      <c r="AP44" s="57">
        <v>0.18169306162169677</v>
      </c>
      <c r="AQ44" s="83">
        <v>0.53503365501581368</v>
      </c>
      <c r="AR44" s="46">
        <v>29027</v>
      </c>
      <c r="AS44" s="50" t="s">
        <v>369</v>
      </c>
      <c r="AT44" s="50">
        <v>100</v>
      </c>
      <c r="AU44" s="44">
        <v>-1</v>
      </c>
      <c r="AV44" s="48">
        <v>-1</v>
      </c>
      <c r="AW44" s="48">
        <v>-1</v>
      </c>
      <c r="AX44" s="48">
        <v>-1</v>
      </c>
      <c r="AY44" s="48">
        <v>-1</v>
      </c>
      <c r="AZ44" s="45">
        <v>1</v>
      </c>
      <c r="BA44" s="36">
        <v>14.688311688311689</v>
      </c>
      <c r="BB44" s="43">
        <v>1.1000000000000001</v>
      </c>
      <c r="BC44" s="45">
        <v>-1</v>
      </c>
      <c r="BD44" s="45">
        <v>-1</v>
      </c>
      <c r="BE44" s="45">
        <v>-1</v>
      </c>
      <c r="BF44" s="45">
        <v>-1</v>
      </c>
      <c r="BG44" s="45">
        <v>100</v>
      </c>
      <c r="BH44" s="45">
        <v>-1</v>
      </c>
      <c r="BI44" s="45">
        <v>-1</v>
      </c>
      <c r="BJ44" s="28">
        <v>1</v>
      </c>
      <c r="BK44" s="36">
        <v>14.688311688311689</v>
      </c>
      <c r="BL44" s="43">
        <v>0.70734908136482944</v>
      </c>
      <c r="BM44" s="45">
        <v>3</v>
      </c>
      <c r="BN44" s="36">
        <v>14.688311688311689</v>
      </c>
      <c r="BO44" s="43">
        <v>0.7</v>
      </c>
    </row>
    <row r="45" spans="1:67" s="50" customFormat="1" ht="15" customHeight="1" x14ac:dyDescent="0.25">
      <c r="A45" s="50">
        <v>44</v>
      </c>
      <c r="B45" s="67">
        <v>1130</v>
      </c>
      <c r="C45" s="36">
        <v>1130</v>
      </c>
      <c r="D45" s="21" t="s">
        <v>6</v>
      </c>
      <c r="E45" s="14" t="s">
        <v>10</v>
      </c>
      <c r="F45" s="39">
        <v>-3</v>
      </c>
      <c r="G45" s="36">
        <v>-3</v>
      </c>
      <c r="H45" s="36">
        <v>-3</v>
      </c>
      <c r="I45" s="36">
        <v>-3</v>
      </c>
      <c r="J45" s="36">
        <v>-3</v>
      </c>
      <c r="K45" s="36">
        <v>-3</v>
      </c>
      <c r="L45" s="45">
        <v>-3</v>
      </c>
      <c r="M45" s="45">
        <v>-3</v>
      </c>
      <c r="N45" s="45">
        <v>-3</v>
      </c>
      <c r="O45" s="36">
        <v>-3</v>
      </c>
      <c r="P45" s="36">
        <v>-3</v>
      </c>
      <c r="Q45" s="36">
        <v>-3</v>
      </c>
      <c r="R45" s="36">
        <v>-3</v>
      </c>
      <c r="S45" s="36">
        <v>-3</v>
      </c>
      <c r="T45" s="45">
        <v>-3</v>
      </c>
      <c r="U45" s="45">
        <v>-3</v>
      </c>
      <c r="V45" s="45">
        <v>-3</v>
      </c>
      <c r="W45" s="45">
        <v>-3</v>
      </c>
      <c r="X45" s="103">
        <v>-3</v>
      </c>
      <c r="Y45" s="29">
        <v>37</v>
      </c>
      <c r="Z45" s="59">
        <v>2.5</v>
      </c>
      <c r="AA45" s="59">
        <v>90</v>
      </c>
      <c r="AB45" s="50">
        <v>28675</v>
      </c>
      <c r="AC45" s="50" t="s">
        <v>375</v>
      </c>
      <c r="AD45" s="50">
        <v>100</v>
      </c>
      <c r="AE45" s="42">
        <v>48</v>
      </c>
      <c r="AF45" s="56">
        <v>1.6</v>
      </c>
      <c r="AG45" s="59">
        <v>90</v>
      </c>
      <c r="AH45" s="59">
        <v>2.7</v>
      </c>
      <c r="AI45" s="50">
        <v>40450</v>
      </c>
      <c r="AJ45" s="50" t="s">
        <v>148</v>
      </c>
      <c r="AK45" s="50">
        <v>100</v>
      </c>
      <c r="AL45" s="34">
        <v>30</v>
      </c>
      <c r="AM45" s="43">
        <v>0.65</v>
      </c>
      <c r="AN45" s="57">
        <v>0.65</v>
      </c>
      <c r="AO45" s="57">
        <v>1.4</v>
      </c>
      <c r="AP45" s="57">
        <v>0.35</v>
      </c>
      <c r="AQ45" s="83">
        <v>0</v>
      </c>
      <c r="AR45" s="50">
        <v>28675</v>
      </c>
      <c r="AS45" s="50" t="s">
        <v>375</v>
      </c>
      <c r="AT45" s="50">
        <v>100</v>
      </c>
      <c r="AU45" s="44">
        <v>-1</v>
      </c>
      <c r="AV45" s="48">
        <v>-1</v>
      </c>
      <c r="AW45" s="48">
        <v>-1</v>
      </c>
      <c r="AX45" s="48">
        <v>-1</v>
      </c>
      <c r="AY45" s="48">
        <v>-1</v>
      </c>
      <c r="AZ45" s="45">
        <v>1</v>
      </c>
      <c r="BA45" s="56">
        <v>60</v>
      </c>
      <c r="BB45" s="59">
        <v>1.1499999999999999</v>
      </c>
      <c r="BC45" s="59">
        <v>-1</v>
      </c>
      <c r="BD45" s="59">
        <v>-1</v>
      </c>
      <c r="BE45" s="59">
        <v>-1</v>
      </c>
      <c r="BF45" s="59">
        <v>-1</v>
      </c>
      <c r="BG45" s="59">
        <v>53</v>
      </c>
      <c r="BH45" s="59">
        <v>-1</v>
      </c>
      <c r="BI45" s="59">
        <v>47</v>
      </c>
      <c r="BJ45" s="28">
        <v>-1</v>
      </c>
      <c r="BK45" s="48">
        <v>-1</v>
      </c>
      <c r="BL45" s="48">
        <v>-1</v>
      </c>
      <c r="BM45" s="48">
        <v>-1</v>
      </c>
      <c r="BN45" s="48">
        <v>-1</v>
      </c>
      <c r="BO45" s="48">
        <v>-1</v>
      </c>
    </row>
    <row r="46" spans="1:67" s="50" customFormat="1" ht="15" customHeight="1" x14ac:dyDescent="0.25">
      <c r="A46" s="50">
        <v>45</v>
      </c>
      <c r="B46" s="67">
        <v>1140</v>
      </c>
      <c r="C46" s="36">
        <v>1140</v>
      </c>
      <c r="D46" s="21" t="s">
        <v>6</v>
      </c>
      <c r="E46" s="15" t="s">
        <v>14</v>
      </c>
      <c r="F46" s="39">
        <v>-3</v>
      </c>
      <c r="G46" s="36">
        <v>-3</v>
      </c>
      <c r="H46" s="36">
        <v>-3</v>
      </c>
      <c r="I46" s="36">
        <v>-3</v>
      </c>
      <c r="J46" s="36">
        <v>-3</v>
      </c>
      <c r="K46" s="36">
        <v>-3</v>
      </c>
      <c r="L46" s="45">
        <v>-3</v>
      </c>
      <c r="M46" s="45">
        <v>-3</v>
      </c>
      <c r="N46" s="45">
        <v>-3</v>
      </c>
      <c r="O46" s="36">
        <v>-3</v>
      </c>
      <c r="P46" s="36">
        <v>-3</v>
      </c>
      <c r="Q46" s="36">
        <v>-3</v>
      </c>
      <c r="R46" s="36">
        <v>-3</v>
      </c>
      <c r="S46" s="36">
        <v>-3</v>
      </c>
      <c r="T46" s="45">
        <v>-3</v>
      </c>
      <c r="U46" s="45">
        <v>-3</v>
      </c>
      <c r="V46" s="45">
        <v>-3</v>
      </c>
      <c r="W46" s="45">
        <v>-3</v>
      </c>
      <c r="X46" s="103">
        <v>-3</v>
      </c>
      <c r="Y46" s="81">
        <v>-3</v>
      </c>
      <c r="Z46" s="19">
        <v>-3</v>
      </c>
      <c r="AA46" s="48">
        <v>-3</v>
      </c>
      <c r="AB46" s="10">
        <v>-3</v>
      </c>
      <c r="AC46" s="10">
        <v>-3</v>
      </c>
      <c r="AD46" s="10">
        <v>-3</v>
      </c>
      <c r="AE46" s="42">
        <v>70</v>
      </c>
      <c r="AF46" s="43">
        <v>1.5666666666666667</v>
      </c>
      <c r="AG46" s="36">
        <v>80</v>
      </c>
      <c r="AH46" s="35">
        <v>4.1518184037100321</v>
      </c>
      <c r="AI46" s="50">
        <v>40450</v>
      </c>
      <c r="AJ46" s="50" t="s">
        <v>148</v>
      </c>
      <c r="AK46" s="50">
        <v>100</v>
      </c>
      <c r="AL46" s="34">
        <v>-3</v>
      </c>
      <c r="AM46" s="48">
        <v>-3</v>
      </c>
      <c r="AN46" s="48">
        <v>-3</v>
      </c>
      <c r="AO46" s="48">
        <v>-3</v>
      </c>
      <c r="AP46" s="48">
        <v>-3</v>
      </c>
      <c r="AQ46" s="48">
        <v>-3</v>
      </c>
      <c r="AR46" s="48">
        <v>-3</v>
      </c>
      <c r="AS46" s="10">
        <v>-3</v>
      </c>
      <c r="AT46" s="10">
        <v>-3</v>
      </c>
      <c r="AU46" s="44">
        <v>-1</v>
      </c>
      <c r="AV46" s="48">
        <v>-1</v>
      </c>
      <c r="AW46" s="48">
        <v>-1</v>
      </c>
      <c r="AX46" s="48">
        <v>-1</v>
      </c>
      <c r="AY46" s="48">
        <v>-1</v>
      </c>
      <c r="AZ46" s="45">
        <v>1</v>
      </c>
      <c r="BA46" s="36">
        <v>51.257017329753481</v>
      </c>
      <c r="BB46" s="43">
        <v>1.2</v>
      </c>
      <c r="BC46" s="45">
        <v>-1</v>
      </c>
      <c r="BD46" s="45">
        <v>-1</v>
      </c>
      <c r="BE46" s="45">
        <v>-1</v>
      </c>
      <c r="BF46" s="45">
        <v>-1</v>
      </c>
      <c r="BG46" s="45">
        <v>-1</v>
      </c>
      <c r="BH46" s="45">
        <v>-1</v>
      </c>
      <c r="BI46" s="45">
        <v>100</v>
      </c>
      <c r="BJ46" s="28">
        <v>-1</v>
      </c>
      <c r="BK46" s="48">
        <v>-1</v>
      </c>
      <c r="BL46" s="48">
        <v>-1</v>
      </c>
      <c r="BM46" s="48">
        <v>-1</v>
      </c>
      <c r="BN46" s="48">
        <v>-1</v>
      </c>
      <c r="BO46" s="48">
        <v>-1</v>
      </c>
    </row>
    <row r="47" spans="1:67" s="50" customFormat="1" ht="15" customHeight="1" x14ac:dyDescent="0.25">
      <c r="A47" s="50">
        <v>46</v>
      </c>
      <c r="B47" s="51" t="s">
        <v>221</v>
      </c>
      <c r="C47" s="52">
        <v>911160</v>
      </c>
      <c r="D47" s="21" t="s">
        <v>6</v>
      </c>
      <c r="E47" s="74" t="s">
        <v>11</v>
      </c>
      <c r="F47" s="39">
        <v>22</v>
      </c>
      <c r="G47" s="56">
        <v>22</v>
      </c>
      <c r="H47" s="67">
        <v>7.7647058823529411</v>
      </c>
      <c r="I47" s="43">
        <v>67.664041994750647</v>
      </c>
      <c r="J47" s="67">
        <v>39.802377643970971</v>
      </c>
      <c r="K47" s="67">
        <v>15.124903504708968</v>
      </c>
      <c r="L47" s="36">
        <v>29027</v>
      </c>
      <c r="M47" s="36" t="s">
        <v>369</v>
      </c>
      <c r="N47" s="36">
        <v>100</v>
      </c>
      <c r="O47" s="36">
        <v>15.529411764705882</v>
      </c>
      <c r="P47" s="36">
        <v>38.82352941176471</v>
      </c>
      <c r="Q47" s="36">
        <v>39.802377643970971</v>
      </c>
      <c r="R47" s="36">
        <v>15.920951057588386</v>
      </c>
      <c r="S47" s="36">
        <v>7.9604755287941931</v>
      </c>
      <c r="T47" s="36">
        <v>29027</v>
      </c>
      <c r="U47" s="36" t="s">
        <v>369</v>
      </c>
      <c r="V47" s="36">
        <v>100</v>
      </c>
      <c r="W47" s="36">
        <v>1</v>
      </c>
      <c r="X47" s="102">
        <v>4</v>
      </c>
      <c r="Y47" s="29">
        <v>32.1935</v>
      </c>
      <c r="Z47" s="47">
        <v>8</v>
      </c>
      <c r="AA47" s="46">
        <v>80</v>
      </c>
      <c r="AB47" s="50">
        <v>18101</v>
      </c>
      <c r="AC47" s="50" t="s">
        <v>374</v>
      </c>
      <c r="AD47" s="50">
        <v>100</v>
      </c>
      <c r="AE47" s="42">
        <v>16</v>
      </c>
      <c r="AF47" s="43">
        <v>1</v>
      </c>
      <c r="AG47" s="36">
        <v>80</v>
      </c>
      <c r="AH47" s="35">
        <v>8.4568000000000004E-2</v>
      </c>
      <c r="AI47" s="50">
        <v>39878</v>
      </c>
      <c r="AJ47" s="50" t="s">
        <v>373</v>
      </c>
      <c r="AK47" s="50">
        <v>100</v>
      </c>
      <c r="AL47" s="34">
        <v>6.4705882352941178</v>
      </c>
      <c r="AM47" s="43">
        <v>0.25882352941176473</v>
      </c>
      <c r="AN47" s="35">
        <v>0.12941176470588237</v>
      </c>
      <c r="AO47" s="35">
        <v>0.12941176470588237</v>
      </c>
      <c r="AP47" s="35">
        <v>0.25882352941176473</v>
      </c>
      <c r="AQ47" s="83">
        <v>0.38823529411764707</v>
      </c>
      <c r="AR47" s="46">
        <v>29027</v>
      </c>
      <c r="AS47" s="46" t="s">
        <v>369</v>
      </c>
      <c r="AT47" s="46">
        <v>100</v>
      </c>
      <c r="AU47" s="44">
        <v>-1</v>
      </c>
      <c r="AV47" s="48">
        <v>-1</v>
      </c>
      <c r="AW47" s="36">
        <v>1</v>
      </c>
      <c r="AX47" s="36">
        <v>20</v>
      </c>
      <c r="AY47" s="45">
        <v>1</v>
      </c>
      <c r="AZ47" s="45">
        <v>1</v>
      </c>
      <c r="BA47" s="36">
        <v>24.588235294117649</v>
      </c>
      <c r="BB47" s="43">
        <v>1.5</v>
      </c>
      <c r="BC47" s="45">
        <v>-1</v>
      </c>
      <c r="BD47" s="45">
        <v>-1</v>
      </c>
      <c r="BE47" s="45">
        <v>-1</v>
      </c>
      <c r="BF47" s="45">
        <v>-1</v>
      </c>
      <c r="BG47" s="45">
        <v>100</v>
      </c>
      <c r="BH47" s="45">
        <v>-1</v>
      </c>
      <c r="BI47" s="45">
        <v>-1</v>
      </c>
      <c r="BJ47" s="28">
        <v>1</v>
      </c>
      <c r="BK47" s="36">
        <v>19.411764705882351</v>
      </c>
      <c r="BL47" s="43">
        <v>1</v>
      </c>
      <c r="BM47" s="45">
        <v>3</v>
      </c>
      <c r="BN47" s="36">
        <v>19.411764705882351</v>
      </c>
      <c r="BO47" s="43">
        <v>0.5</v>
      </c>
    </row>
    <row r="48" spans="1:67" s="50" customFormat="1" ht="15" customHeight="1" x14ac:dyDescent="0.25">
      <c r="A48" s="50">
        <v>47</v>
      </c>
      <c r="B48" s="51" t="s">
        <v>222</v>
      </c>
      <c r="C48" s="52">
        <v>921160</v>
      </c>
      <c r="D48" s="21" t="s">
        <v>6</v>
      </c>
      <c r="E48" s="74" t="s">
        <v>11</v>
      </c>
      <c r="F48" s="39">
        <v>60.5</v>
      </c>
      <c r="G48" s="56">
        <v>60.5</v>
      </c>
      <c r="H48" s="67">
        <v>21.352941176470587</v>
      </c>
      <c r="I48" s="43">
        <v>83.915354330708666</v>
      </c>
      <c r="J48" s="67">
        <v>49.361973135710983</v>
      </c>
      <c r="K48" s="67">
        <v>18.757549791570174</v>
      </c>
      <c r="L48" s="36">
        <v>29027</v>
      </c>
      <c r="M48" s="36" t="s">
        <v>369</v>
      </c>
      <c r="N48" s="36">
        <v>100</v>
      </c>
      <c r="O48" s="36">
        <v>42.705882352941174</v>
      </c>
      <c r="P48" s="36">
        <v>106.76470588235293</v>
      </c>
      <c r="Q48" s="36">
        <v>49.361973135710983</v>
      </c>
      <c r="R48" s="36">
        <v>19.744789254284392</v>
      </c>
      <c r="S48" s="36">
        <v>9.8723946271421958</v>
      </c>
      <c r="T48" s="36">
        <v>29027</v>
      </c>
      <c r="U48" s="36" t="s">
        <v>369</v>
      </c>
      <c r="V48" s="36">
        <v>100</v>
      </c>
      <c r="W48" s="36">
        <v>1</v>
      </c>
      <c r="X48" s="102">
        <v>4</v>
      </c>
      <c r="Y48" s="29">
        <v>18.150300000000001</v>
      </c>
      <c r="Z48" s="47">
        <v>8</v>
      </c>
      <c r="AA48" s="46">
        <v>80</v>
      </c>
      <c r="AB48" s="50">
        <v>18101</v>
      </c>
      <c r="AC48" s="50" t="s">
        <v>374</v>
      </c>
      <c r="AD48" s="50">
        <v>100</v>
      </c>
      <c r="AE48" s="42">
        <v>9</v>
      </c>
      <c r="AF48" s="43">
        <v>1</v>
      </c>
      <c r="AG48" s="36">
        <v>80</v>
      </c>
      <c r="AH48" s="35">
        <v>4.7678400000000003E-2</v>
      </c>
      <c r="AI48" s="50">
        <v>39878</v>
      </c>
      <c r="AJ48" s="50" t="s">
        <v>373</v>
      </c>
      <c r="AK48" s="50">
        <v>100</v>
      </c>
      <c r="AL48" s="34">
        <v>17.794117647058822</v>
      </c>
      <c r="AM48" s="43">
        <v>0.71176470588235297</v>
      </c>
      <c r="AN48" s="35">
        <v>0.35588235294117648</v>
      </c>
      <c r="AO48" s="35">
        <v>0.35588235294117648</v>
      </c>
      <c r="AP48" s="35">
        <v>0.71176470588235297</v>
      </c>
      <c r="AQ48" s="83">
        <v>1.0676470588235294</v>
      </c>
      <c r="AR48" s="46">
        <v>29027</v>
      </c>
      <c r="AS48" s="46" t="s">
        <v>369</v>
      </c>
      <c r="AT48" s="46">
        <v>100</v>
      </c>
      <c r="AU48" s="44">
        <v>-1</v>
      </c>
      <c r="AV48" s="48">
        <v>-1</v>
      </c>
      <c r="AW48" s="36">
        <v>1</v>
      </c>
      <c r="AX48" s="36">
        <v>20</v>
      </c>
      <c r="AY48" s="45">
        <v>1</v>
      </c>
      <c r="AZ48" s="45">
        <v>1</v>
      </c>
      <c r="BA48" s="36">
        <v>67.617647058823536</v>
      </c>
      <c r="BB48" s="43">
        <v>1.5</v>
      </c>
      <c r="BC48" s="45">
        <v>-1</v>
      </c>
      <c r="BD48" s="45">
        <v>-1</v>
      </c>
      <c r="BE48" s="45">
        <v>-1</v>
      </c>
      <c r="BF48" s="45">
        <v>-1</v>
      </c>
      <c r="BG48" s="45">
        <v>100</v>
      </c>
      <c r="BH48" s="45">
        <v>-1</v>
      </c>
      <c r="BI48" s="45">
        <v>-1</v>
      </c>
      <c r="BJ48" s="28">
        <v>1</v>
      </c>
      <c r="BK48" s="36">
        <v>53.382352941176471</v>
      </c>
      <c r="BL48" s="43">
        <v>1</v>
      </c>
      <c r="BM48" s="45">
        <v>3</v>
      </c>
      <c r="BN48" s="36">
        <v>53.382352941176471</v>
      </c>
      <c r="BO48" s="43">
        <v>0.5</v>
      </c>
    </row>
    <row r="49" spans="1:68" ht="15" customHeight="1" x14ac:dyDescent="0.25">
      <c r="A49" s="50">
        <v>48</v>
      </c>
      <c r="B49" s="52" t="s">
        <v>223</v>
      </c>
      <c r="C49" s="52">
        <v>931160</v>
      </c>
      <c r="D49" s="22" t="s">
        <v>6</v>
      </c>
      <c r="E49" s="74" t="s">
        <v>11</v>
      </c>
      <c r="F49" s="39">
        <v>77.5</v>
      </c>
      <c r="G49" s="56">
        <v>77.5</v>
      </c>
      <c r="H49" s="67">
        <v>27.352941176470587</v>
      </c>
      <c r="I49" s="43">
        <v>91.837598425196845</v>
      </c>
      <c r="J49" s="67">
        <v>54.022116720704027</v>
      </c>
      <c r="K49" s="67">
        <v>20.528404353867533</v>
      </c>
      <c r="L49" s="36">
        <v>29027</v>
      </c>
      <c r="M49" s="36" t="s">
        <v>369</v>
      </c>
      <c r="N49" s="36">
        <v>100</v>
      </c>
      <c r="O49" s="36">
        <v>54.705882352941174</v>
      </c>
      <c r="P49" s="36">
        <v>136.76470588235296</v>
      </c>
      <c r="Q49" s="36">
        <v>54.022116720704027</v>
      </c>
      <c r="R49" s="36">
        <v>21.608846688281613</v>
      </c>
      <c r="S49" s="36">
        <v>10.804423344140806</v>
      </c>
      <c r="T49" s="36">
        <v>29027</v>
      </c>
      <c r="U49" s="36" t="s">
        <v>369</v>
      </c>
      <c r="V49" s="36">
        <v>100</v>
      </c>
      <c r="W49" s="36">
        <v>1</v>
      </c>
      <c r="X49" s="102">
        <v>4</v>
      </c>
      <c r="Y49" s="29">
        <v>14.3916</v>
      </c>
      <c r="Z49" s="47">
        <v>8</v>
      </c>
      <c r="AA49" s="46">
        <v>80</v>
      </c>
      <c r="AB49" s="50">
        <v>18101</v>
      </c>
      <c r="AC49" s="50" t="s">
        <v>374</v>
      </c>
      <c r="AD49" s="50">
        <v>100</v>
      </c>
      <c r="AE49" s="42">
        <v>7</v>
      </c>
      <c r="AF49" s="43">
        <v>1</v>
      </c>
      <c r="AG49" s="36">
        <v>80</v>
      </c>
      <c r="AH49" s="35">
        <v>3.78048E-2</v>
      </c>
      <c r="AI49" s="50">
        <v>39878</v>
      </c>
      <c r="AJ49" s="50" t="s">
        <v>373</v>
      </c>
      <c r="AK49" s="50">
        <v>100</v>
      </c>
      <c r="AL49" s="34">
        <v>22.794117647058822</v>
      </c>
      <c r="AM49" s="43">
        <v>0.91176470588235292</v>
      </c>
      <c r="AN49" s="35">
        <v>0.45588235294117646</v>
      </c>
      <c r="AO49" s="35">
        <v>0.45588235294117646</v>
      </c>
      <c r="AP49" s="35">
        <v>0.91176470588235292</v>
      </c>
      <c r="AQ49" s="83">
        <v>1.3676470588235294</v>
      </c>
      <c r="AR49" s="46">
        <v>29027</v>
      </c>
      <c r="AS49" s="46" t="s">
        <v>369</v>
      </c>
      <c r="AT49" s="46">
        <v>100</v>
      </c>
      <c r="AU49" s="44">
        <v>-1</v>
      </c>
      <c r="AV49" s="48">
        <v>-1</v>
      </c>
      <c r="AW49" s="36">
        <v>1</v>
      </c>
      <c r="AX49" s="36">
        <v>20</v>
      </c>
      <c r="AY49" s="45">
        <v>1</v>
      </c>
      <c r="AZ49" s="45">
        <v>1</v>
      </c>
      <c r="BA49" s="36">
        <v>86.617647058823536</v>
      </c>
      <c r="BB49" s="43">
        <v>1.5</v>
      </c>
      <c r="BC49" s="45">
        <v>-1</v>
      </c>
      <c r="BD49" s="45">
        <v>-1</v>
      </c>
      <c r="BE49" s="45">
        <v>-1</v>
      </c>
      <c r="BF49" s="45">
        <v>-1</v>
      </c>
      <c r="BG49" s="45">
        <v>100</v>
      </c>
      <c r="BH49" s="45">
        <v>-1</v>
      </c>
      <c r="BI49" s="45">
        <v>-1</v>
      </c>
      <c r="BJ49" s="28">
        <v>1</v>
      </c>
      <c r="BK49" s="36">
        <v>68.382352941176464</v>
      </c>
      <c r="BL49" s="43">
        <v>1</v>
      </c>
      <c r="BM49" s="45">
        <v>3</v>
      </c>
      <c r="BN49" s="36">
        <v>68.382352941176464</v>
      </c>
      <c r="BO49" s="43">
        <v>0.5</v>
      </c>
    </row>
    <row r="50" spans="1:68" ht="15" customHeight="1" x14ac:dyDescent="0.25">
      <c r="A50" s="50">
        <v>49</v>
      </c>
      <c r="B50" s="67">
        <v>1180</v>
      </c>
      <c r="C50" s="36">
        <v>1180</v>
      </c>
      <c r="D50" s="21" t="s">
        <v>6</v>
      </c>
      <c r="E50" s="16" t="s">
        <v>13</v>
      </c>
      <c r="F50" s="39">
        <v>-3</v>
      </c>
      <c r="G50" s="36">
        <v>-3</v>
      </c>
      <c r="H50" s="36">
        <v>-3</v>
      </c>
      <c r="I50" s="36">
        <v>-3</v>
      </c>
      <c r="J50" s="36">
        <v>-3</v>
      </c>
      <c r="K50" s="36">
        <v>-3</v>
      </c>
      <c r="L50" s="45">
        <v>-3</v>
      </c>
      <c r="M50" s="45">
        <v>-3</v>
      </c>
      <c r="N50" s="45">
        <v>-3</v>
      </c>
      <c r="O50" s="36">
        <v>-3</v>
      </c>
      <c r="P50" s="36">
        <v>-3</v>
      </c>
      <c r="Q50" s="36">
        <v>-3</v>
      </c>
      <c r="R50" s="36">
        <v>-3</v>
      </c>
      <c r="S50" s="36">
        <v>-3</v>
      </c>
      <c r="T50" s="45">
        <v>-3</v>
      </c>
      <c r="U50" s="45">
        <v>-3</v>
      </c>
      <c r="V50" s="45">
        <v>-3</v>
      </c>
      <c r="W50" s="45">
        <v>-3</v>
      </c>
      <c r="X50" s="103">
        <v>-3</v>
      </c>
      <c r="Y50" s="81">
        <v>-1</v>
      </c>
      <c r="Z50" s="10">
        <v>-1</v>
      </c>
      <c r="AA50" s="10">
        <v>-1</v>
      </c>
      <c r="AB50" s="10">
        <v>-1</v>
      </c>
      <c r="AC50" s="10">
        <v>-1</v>
      </c>
      <c r="AD50" s="10">
        <v>-1</v>
      </c>
      <c r="AE50" s="42">
        <v>47</v>
      </c>
      <c r="AF50" s="43">
        <v>3</v>
      </c>
      <c r="AG50" s="36">
        <v>70</v>
      </c>
      <c r="AH50" s="35">
        <v>1.41</v>
      </c>
      <c r="AI50" s="50">
        <v>39878</v>
      </c>
      <c r="AJ50" s="50" t="s">
        <v>373</v>
      </c>
      <c r="AK50" s="50">
        <v>100</v>
      </c>
      <c r="AL50" s="34">
        <v>-1</v>
      </c>
      <c r="AM50" s="48">
        <v>-1</v>
      </c>
      <c r="AN50" s="48">
        <v>-1</v>
      </c>
      <c r="AO50" s="48">
        <v>-1</v>
      </c>
      <c r="AP50" s="48">
        <v>-1</v>
      </c>
      <c r="AQ50" s="48">
        <v>-1</v>
      </c>
      <c r="AR50" s="48">
        <v>-1</v>
      </c>
      <c r="AS50" s="48">
        <v>-1</v>
      </c>
      <c r="AT50" s="48">
        <v>-1</v>
      </c>
      <c r="AU50" s="44">
        <v>-1</v>
      </c>
      <c r="AV50" s="48">
        <v>-1</v>
      </c>
      <c r="AW50" s="48">
        <v>-1</v>
      </c>
      <c r="AX50" s="48">
        <v>-1</v>
      </c>
      <c r="AY50" s="48">
        <v>-1</v>
      </c>
      <c r="AZ50" s="45">
        <v>1</v>
      </c>
      <c r="BA50" s="36">
        <v>47</v>
      </c>
      <c r="BB50" s="43">
        <v>2</v>
      </c>
      <c r="BC50" s="45">
        <v>-1</v>
      </c>
      <c r="BD50" s="45">
        <v>-1</v>
      </c>
      <c r="BE50" s="45">
        <v>-1</v>
      </c>
      <c r="BF50" s="45">
        <v>-1</v>
      </c>
      <c r="BG50" s="45">
        <v>-1</v>
      </c>
      <c r="BH50" s="45">
        <v>-1</v>
      </c>
      <c r="BI50" s="45">
        <v>100</v>
      </c>
      <c r="BJ50" s="28">
        <v>-1</v>
      </c>
      <c r="BK50" s="48">
        <v>-1</v>
      </c>
      <c r="BL50" s="48">
        <v>-1</v>
      </c>
      <c r="BM50" s="48">
        <v>-1</v>
      </c>
      <c r="BN50" s="48">
        <v>-1</v>
      </c>
      <c r="BO50" s="48">
        <v>-1</v>
      </c>
    </row>
    <row r="51" spans="1:68" ht="15" customHeight="1" x14ac:dyDescent="0.25">
      <c r="A51" s="50">
        <v>50</v>
      </c>
      <c r="B51" s="36">
        <v>2010</v>
      </c>
      <c r="C51" s="46">
        <v>2010</v>
      </c>
      <c r="D51" s="45" t="s">
        <v>7</v>
      </c>
      <c r="E51" s="25" t="s">
        <v>410</v>
      </c>
      <c r="F51" s="39">
        <v>-3</v>
      </c>
      <c r="G51" s="45">
        <v>-3</v>
      </c>
      <c r="H51" s="45">
        <v>-3</v>
      </c>
      <c r="I51" s="36">
        <v>-3</v>
      </c>
      <c r="J51" s="45">
        <v>-3</v>
      </c>
      <c r="K51" s="45">
        <v>-3</v>
      </c>
      <c r="L51" s="45">
        <v>-3</v>
      </c>
      <c r="M51" s="45">
        <v>-3</v>
      </c>
      <c r="N51" s="45">
        <v>-3</v>
      </c>
      <c r="O51" s="45">
        <v>-3</v>
      </c>
      <c r="P51" s="45">
        <v>-3</v>
      </c>
      <c r="Q51" s="45">
        <v>-3</v>
      </c>
      <c r="R51" s="45">
        <v>-3</v>
      </c>
      <c r="S51" s="45">
        <v>-3</v>
      </c>
      <c r="T51" s="45">
        <v>-3</v>
      </c>
      <c r="U51" s="45">
        <v>-3</v>
      </c>
      <c r="V51" s="45">
        <v>-3</v>
      </c>
      <c r="W51" s="45">
        <v>-3</v>
      </c>
      <c r="X51" s="103">
        <v>-3</v>
      </c>
      <c r="Y51" s="81">
        <v>-3</v>
      </c>
      <c r="Z51" s="10">
        <v>-3</v>
      </c>
      <c r="AA51" s="48">
        <v>-3</v>
      </c>
      <c r="AB51" s="10">
        <v>-3</v>
      </c>
      <c r="AC51" s="10">
        <v>-3</v>
      </c>
      <c r="AD51" s="10">
        <v>-3</v>
      </c>
      <c r="AE51" s="42">
        <v>100</v>
      </c>
      <c r="AF51" s="43">
        <v>0.5</v>
      </c>
      <c r="AG51" s="36">
        <v>0</v>
      </c>
      <c r="AH51" s="35">
        <v>0.17</v>
      </c>
      <c r="AI51" s="50">
        <v>42236</v>
      </c>
      <c r="AJ51" s="50" t="s">
        <v>207</v>
      </c>
      <c r="AK51" s="50">
        <v>100</v>
      </c>
      <c r="AL51" s="34">
        <v>-3</v>
      </c>
      <c r="AM51" s="48">
        <v>-3</v>
      </c>
      <c r="AN51" s="48">
        <v>-3</v>
      </c>
      <c r="AO51" s="48">
        <v>-3</v>
      </c>
      <c r="AP51" s="48">
        <v>-3</v>
      </c>
      <c r="AQ51" s="48">
        <v>-3</v>
      </c>
      <c r="AR51" s="48">
        <v>-3</v>
      </c>
      <c r="AS51" s="48">
        <v>-3</v>
      </c>
      <c r="AT51" s="48">
        <v>-3</v>
      </c>
      <c r="AU51" s="44">
        <v>-1</v>
      </c>
      <c r="AV51" s="48">
        <v>-1</v>
      </c>
      <c r="AW51" s="48">
        <v>-1</v>
      </c>
      <c r="AX51" s="48">
        <v>-1</v>
      </c>
      <c r="AY51" s="48">
        <v>-1</v>
      </c>
      <c r="AZ51" s="45">
        <v>2</v>
      </c>
      <c r="BA51" s="45">
        <v>65</v>
      </c>
      <c r="BB51" s="35">
        <v>0.5</v>
      </c>
      <c r="BC51" s="53">
        <v>-1</v>
      </c>
      <c r="BD51" s="53">
        <v>-1</v>
      </c>
      <c r="BE51" s="53">
        <v>-1</v>
      </c>
      <c r="BF51" s="53">
        <v>-1</v>
      </c>
      <c r="BG51" s="53">
        <v>-1</v>
      </c>
      <c r="BH51" s="53">
        <v>-1</v>
      </c>
      <c r="BI51" s="45">
        <v>100</v>
      </c>
      <c r="BJ51" s="28">
        <v>-1</v>
      </c>
      <c r="BK51" s="48">
        <v>-1</v>
      </c>
      <c r="BL51" s="48">
        <v>-1</v>
      </c>
      <c r="BM51" s="48">
        <v>-1</v>
      </c>
      <c r="BN51" s="48">
        <v>-1</v>
      </c>
      <c r="BO51" s="48">
        <v>-1</v>
      </c>
    </row>
    <row r="52" spans="1:68" ht="15" customHeight="1" x14ac:dyDescent="0.25">
      <c r="A52" s="50">
        <v>51</v>
      </c>
      <c r="B52" s="36">
        <v>2011</v>
      </c>
      <c r="C52" s="46">
        <v>2011</v>
      </c>
      <c r="D52" s="45" t="s">
        <v>7</v>
      </c>
      <c r="E52" s="25" t="s">
        <v>411</v>
      </c>
      <c r="F52" s="39">
        <v>-3</v>
      </c>
      <c r="G52" s="45">
        <v>-3</v>
      </c>
      <c r="H52" s="45">
        <v>-3</v>
      </c>
      <c r="I52" s="36">
        <v>-3</v>
      </c>
      <c r="J52" s="45">
        <v>-3</v>
      </c>
      <c r="K52" s="45">
        <v>-3</v>
      </c>
      <c r="L52" s="45">
        <v>-3</v>
      </c>
      <c r="M52" s="45">
        <v>-3</v>
      </c>
      <c r="N52" s="45">
        <v>-3</v>
      </c>
      <c r="O52" s="45">
        <v>-3</v>
      </c>
      <c r="P52" s="45">
        <v>-3</v>
      </c>
      <c r="Q52" s="45">
        <v>-3</v>
      </c>
      <c r="R52" s="45">
        <v>-3</v>
      </c>
      <c r="S52" s="45">
        <v>-3</v>
      </c>
      <c r="T52" s="45">
        <v>-3</v>
      </c>
      <c r="U52" s="45">
        <v>-3</v>
      </c>
      <c r="V52" s="45">
        <v>-3</v>
      </c>
      <c r="W52" s="45">
        <v>-3</v>
      </c>
      <c r="X52" s="103">
        <v>-3</v>
      </c>
      <c r="Y52" s="81">
        <v>-3</v>
      </c>
      <c r="Z52" s="10">
        <v>-3</v>
      </c>
      <c r="AA52" s="48">
        <v>-3</v>
      </c>
      <c r="AB52" s="10">
        <v>-3</v>
      </c>
      <c r="AC52" s="10">
        <v>-3</v>
      </c>
      <c r="AD52" s="10">
        <v>-3</v>
      </c>
      <c r="AE52" s="42">
        <v>100</v>
      </c>
      <c r="AF52" s="43">
        <v>0.5</v>
      </c>
      <c r="AG52" s="45">
        <v>0</v>
      </c>
      <c r="AH52" s="35">
        <v>1.29</v>
      </c>
      <c r="AI52" s="50">
        <v>41976</v>
      </c>
      <c r="AJ52" s="50" t="s">
        <v>209</v>
      </c>
      <c r="AK52" s="50">
        <v>100</v>
      </c>
      <c r="AL52" s="34">
        <v>-3</v>
      </c>
      <c r="AM52" s="48">
        <v>-3</v>
      </c>
      <c r="AN52" s="48">
        <v>-3</v>
      </c>
      <c r="AO52" s="48">
        <v>-3</v>
      </c>
      <c r="AP52" s="48">
        <v>-3</v>
      </c>
      <c r="AQ52" s="48">
        <v>-3</v>
      </c>
      <c r="AR52" s="48">
        <v>-3</v>
      </c>
      <c r="AS52" s="48">
        <v>-3</v>
      </c>
      <c r="AT52" s="48">
        <v>-3</v>
      </c>
      <c r="AU52" s="44">
        <v>-1</v>
      </c>
      <c r="AV52" s="48">
        <v>-1</v>
      </c>
      <c r="AW52" s="48">
        <v>-1</v>
      </c>
      <c r="AX52" s="48">
        <v>-1</v>
      </c>
      <c r="AY52" s="48">
        <v>-1</v>
      </c>
      <c r="AZ52" s="45">
        <v>2</v>
      </c>
      <c r="BA52" s="45">
        <v>65</v>
      </c>
      <c r="BB52" s="35">
        <v>0.5</v>
      </c>
      <c r="BC52" s="53">
        <v>-1</v>
      </c>
      <c r="BD52" s="53">
        <v>-1</v>
      </c>
      <c r="BE52" s="53">
        <v>-1</v>
      </c>
      <c r="BF52" s="53">
        <v>-1</v>
      </c>
      <c r="BG52" s="53">
        <v>-1</v>
      </c>
      <c r="BH52" s="53">
        <v>-1</v>
      </c>
      <c r="BI52" s="45">
        <v>100</v>
      </c>
      <c r="BJ52" s="28">
        <v>-1</v>
      </c>
      <c r="BK52" s="48">
        <v>-1</v>
      </c>
      <c r="BL52" s="48">
        <v>-1</v>
      </c>
      <c r="BM52" s="48">
        <v>-1</v>
      </c>
      <c r="BN52" s="48">
        <v>-1</v>
      </c>
      <c r="BO52" s="48">
        <v>-1</v>
      </c>
    </row>
    <row r="53" spans="1:68" ht="15" customHeight="1" x14ac:dyDescent="0.25">
      <c r="A53" s="50">
        <v>52</v>
      </c>
      <c r="B53" s="36">
        <v>2012</v>
      </c>
      <c r="C53" s="46">
        <v>2012</v>
      </c>
      <c r="D53" s="45" t="s">
        <v>7</v>
      </c>
      <c r="E53" s="25" t="s">
        <v>412</v>
      </c>
      <c r="F53" s="39">
        <v>-3</v>
      </c>
      <c r="G53" s="45">
        <v>-3</v>
      </c>
      <c r="H53" s="45">
        <v>-3</v>
      </c>
      <c r="I53" s="36">
        <v>-3</v>
      </c>
      <c r="J53" s="45">
        <v>-3</v>
      </c>
      <c r="K53" s="45">
        <v>-3</v>
      </c>
      <c r="L53" s="45">
        <v>-3</v>
      </c>
      <c r="M53" s="45">
        <v>-3</v>
      </c>
      <c r="N53" s="45">
        <v>-3</v>
      </c>
      <c r="O53" s="45">
        <v>-3</v>
      </c>
      <c r="P53" s="45">
        <v>-3</v>
      </c>
      <c r="Q53" s="45">
        <v>-3</v>
      </c>
      <c r="R53" s="45">
        <v>-3</v>
      </c>
      <c r="S53" s="45">
        <v>-3</v>
      </c>
      <c r="T53" s="45">
        <v>-3</v>
      </c>
      <c r="U53" s="45">
        <v>-3</v>
      </c>
      <c r="V53" s="45">
        <v>-3</v>
      </c>
      <c r="W53" s="45">
        <v>-3</v>
      </c>
      <c r="X53" s="103">
        <v>-3</v>
      </c>
      <c r="Y53" s="81">
        <v>-3</v>
      </c>
      <c r="Z53" s="10">
        <v>-3</v>
      </c>
      <c r="AA53" s="48">
        <v>-3</v>
      </c>
      <c r="AB53" s="10">
        <v>-3</v>
      </c>
      <c r="AC53" s="10">
        <v>-3</v>
      </c>
      <c r="AD53" s="10">
        <v>-3</v>
      </c>
      <c r="AE53" s="42">
        <v>100</v>
      </c>
      <c r="AF53" s="66">
        <v>0.5</v>
      </c>
      <c r="AG53" s="62">
        <v>0</v>
      </c>
      <c r="AH53" s="63">
        <v>0.48</v>
      </c>
      <c r="AI53" s="50">
        <v>42269</v>
      </c>
      <c r="AJ53" s="50" t="s">
        <v>206</v>
      </c>
      <c r="AK53" s="50">
        <v>100</v>
      </c>
      <c r="AL53" s="34">
        <v>-3</v>
      </c>
      <c r="AM53" s="48">
        <v>-3</v>
      </c>
      <c r="AN53" s="48">
        <v>-3</v>
      </c>
      <c r="AO53" s="48">
        <v>-3</v>
      </c>
      <c r="AP53" s="48">
        <v>-3</v>
      </c>
      <c r="AQ53" s="48">
        <v>-3</v>
      </c>
      <c r="AR53" s="48">
        <v>-3</v>
      </c>
      <c r="AS53" s="48">
        <v>-3</v>
      </c>
      <c r="AT53" s="48">
        <v>-3</v>
      </c>
      <c r="AU53" s="44">
        <v>-1</v>
      </c>
      <c r="AV53" s="48">
        <v>-1</v>
      </c>
      <c r="AW53" s="48">
        <v>-1</v>
      </c>
      <c r="AX53" s="48">
        <v>-1</v>
      </c>
      <c r="AY53" s="48">
        <v>-1</v>
      </c>
      <c r="AZ53" s="45">
        <v>2</v>
      </c>
      <c r="BA53" s="45">
        <v>65</v>
      </c>
      <c r="BB53" s="35">
        <v>0.5</v>
      </c>
      <c r="BC53" s="53">
        <v>-1</v>
      </c>
      <c r="BD53" s="53">
        <v>-1</v>
      </c>
      <c r="BE53" s="53">
        <v>-1</v>
      </c>
      <c r="BF53" s="53">
        <v>-1</v>
      </c>
      <c r="BG53" s="53">
        <v>-1</v>
      </c>
      <c r="BH53" s="53">
        <v>-1</v>
      </c>
      <c r="BI53" s="45">
        <v>100</v>
      </c>
      <c r="BJ53" s="28">
        <v>-1</v>
      </c>
      <c r="BK53" s="48">
        <v>-1</v>
      </c>
      <c r="BL53" s="48">
        <v>-1</v>
      </c>
      <c r="BM53" s="48">
        <v>-1</v>
      </c>
      <c r="BN53" s="48">
        <v>-1</v>
      </c>
      <c r="BO53" s="48">
        <v>-1</v>
      </c>
    </row>
    <row r="54" spans="1:68" ht="15" customHeight="1" x14ac:dyDescent="0.25">
      <c r="A54" s="50">
        <v>53</v>
      </c>
      <c r="B54" s="36">
        <v>2013</v>
      </c>
      <c r="C54" s="46">
        <v>2013</v>
      </c>
      <c r="D54" s="45" t="s">
        <v>7</v>
      </c>
      <c r="E54" s="25" t="s">
        <v>413</v>
      </c>
      <c r="F54" s="39">
        <v>-3</v>
      </c>
      <c r="G54" s="45">
        <v>-3</v>
      </c>
      <c r="H54" s="45">
        <v>-3</v>
      </c>
      <c r="I54" s="36">
        <v>-3</v>
      </c>
      <c r="J54" s="45">
        <v>-3</v>
      </c>
      <c r="K54" s="45">
        <v>-3</v>
      </c>
      <c r="L54" s="45">
        <v>-3</v>
      </c>
      <c r="M54" s="45">
        <v>-3</v>
      </c>
      <c r="N54" s="45">
        <v>-3</v>
      </c>
      <c r="O54" s="45">
        <v>-3</v>
      </c>
      <c r="P54" s="45">
        <v>-3</v>
      </c>
      <c r="Q54" s="45">
        <v>-3</v>
      </c>
      <c r="R54" s="45">
        <v>-3</v>
      </c>
      <c r="S54" s="45">
        <v>-3</v>
      </c>
      <c r="T54" s="45">
        <v>-3</v>
      </c>
      <c r="U54" s="45">
        <v>-3</v>
      </c>
      <c r="V54" s="45">
        <v>-3</v>
      </c>
      <c r="W54" s="45">
        <v>-3</v>
      </c>
      <c r="X54" s="103">
        <v>-3</v>
      </c>
      <c r="Y54" s="81">
        <v>-3</v>
      </c>
      <c r="Z54" s="10">
        <v>-3</v>
      </c>
      <c r="AA54" s="48">
        <v>-3</v>
      </c>
      <c r="AB54" s="10">
        <v>-3</v>
      </c>
      <c r="AC54" s="10">
        <v>-3</v>
      </c>
      <c r="AD54" s="10">
        <v>-3</v>
      </c>
      <c r="AE54" s="42">
        <v>100</v>
      </c>
      <c r="AF54" s="43">
        <v>0.5</v>
      </c>
      <c r="AG54" s="45">
        <v>0</v>
      </c>
      <c r="AH54" s="35">
        <v>0.17</v>
      </c>
      <c r="AI54" s="50">
        <v>26716</v>
      </c>
      <c r="AJ54" s="50" t="s">
        <v>208</v>
      </c>
      <c r="AK54" s="50">
        <v>100</v>
      </c>
      <c r="AL54" s="34">
        <v>-3</v>
      </c>
      <c r="AM54" s="48">
        <v>-3</v>
      </c>
      <c r="AN54" s="48">
        <v>-3</v>
      </c>
      <c r="AO54" s="48">
        <v>-3</v>
      </c>
      <c r="AP54" s="48">
        <v>-3</v>
      </c>
      <c r="AQ54" s="48">
        <v>-3</v>
      </c>
      <c r="AR54" s="48">
        <v>-3</v>
      </c>
      <c r="AS54" s="48">
        <v>-3</v>
      </c>
      <c r="AT54" s="48">
        <v>-3</v>
      </c>
      <c r="AU54" s="44">
        <v>-1</v>
      </c>
      <c r="AV54" s="48">
        <v>-1</v>
      </c>
      <c r="AW54" s="48">
        <v>-1</v>
      </c>
      <c r="AX54" s="48">
        <v>-1</v>
      </c>
      <c r="AY54" s="48">
        <v>-1</v>
      </c>
      <c r="AZ54" s="45">
        <v>2</v>
      </c>
      <c r="BA54" s="45">
        <v>65</v>
      </c>
      <c r="BB54" s="35">
        <v>0.5</v>
      </c>
      <c r="BC54" s="53">
        <v>-1</v>
      </c>
      <c r="BD54" s="53">
        <v>-1</v>
      </c>
      <c r="BE54" s="53">
        <v>-1</v>
      </c>
      <c r="BF54" s="53">
        <v>-1</v>
      </c>
      <c r="BG54" s="53">
        <v>-1</v>
      </c>
      <c r="BH54" s="53">
        <v>-1</v>
      </c>
      <c r="BI54" s="45">
        <v>100</v>
      </c>
      <c r="BJ54" s="28">
        <v>-1</v>
      </c>
      <c r="BK54" s="48">
        <v>-1</v>
      </c>
      <c r="BL54" s="48">
        <v>-1</v>
      </c>
      <c r="BM54" s="48">
        <v>-1</v>
      </c>
      <c r="BN54" s="48">
        <v>-1</v>
      </c>
      <c r="BO54" s="48">
        <v>-1</v>
      </c>
    </row>
    <row r="55" spans="1:68" ht="15" customHeight="1" x14ac:dyDescent="0.25">
      <c r="A55" s="50">
        <v>54</v>
      </c>
      <c r="B55" s="36">
        <v>2014</v>
      </c>
      <c r="C55" s="46">
        <v>2014</v>
      </c>
      <c r="D55" s="45" t="s">
        <v>7</v>
      </c>
      <c r="E55" s="25" t="s">
        <v>422</v>
      </c>
      <c r="F55" s="39">
        <v>-3</v>
      </c>
      <c r="G55" s="45">
        <v>-3</v>
      </c>
      <c r="H55" s="45">
        <v>-3</v>
      </c>
      <c r="I55" s="36">
        <v>-3</v>
      </c>
      <c r="J55" s="45">
        <v>-3</v>
      </c>
      <c r="K55" s="45">
        <v>-3</v>
      </c>
      <c r="L55" s="45">
        <v>-3</v>
      </c>
      <c r="M55" s="45">
        <v>-3</v>
      </c>
      <c r="N55" s="45">
        <v>-3</v>
      </c>
      <c r="O55" s="45">
        <v>-3</v>
      </c>
      <c r="P55" s="45">
        <v>-3</v>
      </c>
      <c r="Q55" s="45">
        <v>-3</v>
      </c>
      <c r="R55" s="45">
        <v>-3</v>
      </c>
      <c r="S55" s="45">
        <v>-3</v>
      </c>
      <c r="T55" s="45">
        <v>-3</v>
      </c>
      <c r="U55" s="45">
        <v>-3</v>
      </c>
      <c r="V55" s="45">
        <v>-3</v>
      </c>
      <c r="W55" s="45">
        <v>-3</v>
      </c>
      <c r="X55" s="103">
        <v>-3</v>
      </c>
      <c r="Y55" s="81">
        <v>-3</v>
      </c>
      <c r="Z55" s="10">
        <v>-3</v>
      </c>
      <c r="AA55" s="48">
        <v>-3</v>
      </c>
      <c r="AB55" s="10">
        <v>-3</v>
      </c>
      <c r="AC55" s="10">
        <v>-3</v>
      </c>
      <c r="AD55" s="10">
        <v>-3</v>
      </c>
      <c r="AE55" s="42">
        <v>100</v>
      </c>
      <c r="AF55" s="66">
        <v>0.5</v>
      </c>
      <c r="AG55" s="62">
        <v>0</v>
      </c>
      <c r="AH55" s="63">
        <v>0.48</v>
      </c>
      <c r="AI55" s="50">
        <v>42013</v>
      </c>
      <c r="AJ55" s="50" t="s">
        <v>423</v>
      </c>
      <c r="AK55" s="58">
        <v>100</v>
      </c>
      <c r="AL55" s="34">
        <v>-3</v>
      </c>
      <c r="AM55" s="48">
        <v>-3</v>
      </c>
      <c r="AN55" s="48">
        <v>-3</v>
      </c>
      <c r="AO55" s="48">
        <v>-3</v>
      </c>
      <c r="AP55" s="48">
        <v>-3</v>
      </c>
      <c r="AQ55" s="48">
        <v>-3</v>
      </c>
      <c r="AR55" s="48">
        <v>-3</v>
      </c>
      <c r="AS55" s="48">
        <v>-3</v>
      </c>
      <c r="AT55" s="48">
        <v>-3</v>
      </c>
      <c r="AU55" s="44">
        <v>-1</v>
      </c>
      <c r="AV55" s="48">
        <v>-1</v>
      </c>
      <c r="AW55" s="48">
        <v>-1</v>
      </c>
      <c r="AX55" s="48">
        <v>-1</v>
      </c>
      <c r="AY55" s="48">
        <v>-1</v>
      </c>
      <c r="AZ55" s="45">
        <v>2</v>
      </c>
      <c r="BA55" s="45">
        <v>65</v>
      </c>
      <c r="BB55" s="35">
        <v>0.5</v>
      </c>
      <c r="BC55" s="53">
        <v>-1</v>
      </c>
      <c r="BD55" s="53">
        <v>-1</v>
      </c>
      <c r="BE55" s="53">
        <v>-1</v>
      </c>
      <c r="BF55" s="53">
        <v>-1</v>
      </c>
      <c r="BG55" s="53">
        <v>-1</v>
      </c>
      <c r="BH55" s="53">
        <v>-1</v>
      </c>
      <c r="BI55" s="45">
        <v>100</v>
      </c>
      <c r="BJ55" s="28">
        <v>-1</v>
      </c>
      <c r="BK55" s="48">
        <v>-1</v>
      </c>
      <c r="BL55" s="48">
        <v>-1</v>
      </c>
      <c r="BM55" s="48">
        <v>-1</v>
      </c>
      <c r="BN55" s="48">
        <v>-1</v>
      </c>
      <c r="BO55" s="48">
        <v>-1</v>
      </c>
    </row>
    <row r="56" spans="1:68" ht="15" customHeight="1" x14ac:dyDescent="0.25">
      <c r="A56" s="50">
        <v>55</v>
      </c>
      <c r="B56" s="36">
        <v>2015</v>
      </c>
      <c r="C56" s="46">
        <v>2015</v>
      </c>
      <c r="D56" s="45" t="s">
        <v>7</v>
      </c>
      <c r="E56" s="9" t="s">
        <v>424</v>
      </c>
      <c r="F56" s="39">
        <v>-3</v>
      </c>
      <c r="G56" s="45">
        <v>-3</v>
      </c>
      <c r="H56" s="45">
        <v>-3</v>
      </c>
      <c r="I56" s="36">
        <v>-3</v>
      </c>
      <c r="J56" s="45">
        <v>-3</v>
      </c>
      <c r="K56" s="45">
        <v>-3</v>
      </c>
      <c r="L56" s="45">
        <v>-3</v>
      </c>
      <c r="M56" s="45">
        <v>-3</v>
      </c>
      <c r="N56" s="45">
        <v>-3</v>
      </c>
      <c r="O56" s="45">
        <v>-3</v>
      </c>
      <c r="P56" s="45">
        <v>-3</v>
      </c>
      <c r="Q56" s="45">
        <v>-3</v>
      </c>
      <c r="R56" s="45">
        <v>-3</v>
      </c>
      <c r="S56" s="45">
        <v>-3</v>
      </c>
      <c r="T56" s="45">
        <v>-3</v>
      </c>
      <c r="U56" s="45">
        <v>-3</v>
      </c>
      <c r="V56" s="45">
        <v>-3</v>
      </c>
      <c r="W56" s="45">
        <v>-3</v>
      </c>
      <c r="X56" s="103">
        <v>-3</v>
      </c>
      <c r="Y56" s="81">
        <v>-3</v>
      </c>
      <c r="Z56" s="10">
        <v>-3</v>
      </c>
      <c r="AA56" s="48">
        <v>-3</v>
      </c>
      <c r="AB56" s="10">
        <v>-3</v>
      </c>
      <c r="AC56" s="10">
        <v>-3</v>
      </c>
      <c r="AD56" s="10">
        <v>-3</v>
      </c>
      <c r="AE56" s="42">
        <v>100</v>
      </c>
      <c r="AF56" s="66">
        <v>0.5</v>
      </c>
      <c r="AG56" s="62">
        <v>0</v>
      </c>
      <c r="AH56" s="63">
        <v>0.69</v>
      </c>
      <c r="AI56" s="50">
        <v>21711</v>
      </c>
      <c r="AJ56" s="50" t="s">
        <v>425</v>
      </c>
      <c r="AK56" s="50">
        <v>100</v>
      </c>
      <c r="AL56" s="34">
        <v>-3</v>
      </c>
      <c r="AM56" s="48">
        <v>-3</v>
      </c>
      <c r="AN56" s="48">
        <v>-3</v>
      </c>
      <c r="AO56" s="48">
        <v>-3</v>
      </c>
      <c r="AP56" s="48">
        <v>-3</v>
      </c>
      <c r="AQ56" s="48">
        <v>-3</v>
      </c>
      <c r="AR56" s="48">
        <v>-3</v>
      </c>
      <c r="AS56" s="48">
        <v>-3</v>
      </c>
      <c r="AT56" s="48">
        <v>-3</v>
      </c>
      <c r="AU56" s="44">
        <v>-1</v>
      </c>
      <c r="AV56" s="48">
        <v>-1</v>
      </c>
      <c r="AW56" s="48">
        <v>-1</v>
      </c>
      <c r="AX56" s="48">
        <v>-1</v>
      </c>
      <c r="AY56" s="48">
        <v>-1</v>
      </c>
      <c r="AZ56" s="45">
        <v>2</v>
      </c>
      <c r="BA56" s="45">
        <v>65</v>
      </c>
      <c r="BB56" s="35">
        <v>0.5</v>
      </c>
      <c r="BC56" s="53">
        <v>-1</v>
      </c>
      <c r="BD56" s="53">
        <v>-1</v>
      </c>
      <c r="BE56" s="53">
        <v>-1</v>
      </c>
      <c r="BF56" s="53">
        <v>-1</v>
      </c>
      <c r="BG56" s="53">
        <v>-1</v>
      </c>
      <c r="BH56" s="53">
        <v>-1</v>
      </c>
      <c r="BI56" s="45">
        <v>100</v>
      </c>
      <c r="BJ56" s="28">
        <v>-1</v>
      </c>
      <c r="BK56" s="48">
        <v>-1</v>
      </c>
      <c r="BL56" s="48">
        <v>-1</v>
      </c>
      <c r="BM56" s="48">
        <v>-1</v>
      </c>
      <c r="BN56" s="48">
        <v>-1</v>
      </c>
      <c r="BO56" s="48">
        <v>-1</v>
      </c>
    </row>
    <row r="57" spans="1:68" ht="15" customHeight="1" x14ac:dyDescent="0.25">
      <c r="A57" s="50">
        <v>56</v>
      </c>
      <c r="B57" s="36">
        <v>2020</v>
      </c>
      <c r="C57" s="46">
        <v>2020</v>
      </c>
      <c r="D57" s="45" t="s">
        <v>7</v>
      </c>
      <c r="E57" s="38" t="s">
        <v>427</v>
      </c>
      <c r="F57" s="39">
        <v>6.46699</v>
      </c>
      <c r="G57" s="56">
        <v>6.46699</v>
      </c>
      <c r="H57" s="67">
        <v>12.72312351932773</v>
      </c>
      <c r="I57" s="36">
        <v>27.754199475065612</v>
      </c>
      <c r="J57" s="67">
        <v>16.170835231339879</v>
      </c>
      <c r="K57" s="67">
        <v>6.5475376662171358</v>
      </c>
      <c r="L57" s="36">
        <v>28766</v>
      </c>
      <c r="M57" s="36" t="s">
        <v>137</v>
      </c>
      <c r="N57" s="36">
        <v>100</v>
      </c>
      <c r="O57" s="43">
        <v>3.5418437500000004</v>
      </c>
      <c r="P57" s="36">
        <v>8.7504375000000003</v>
      </c>
      <c r="Q57" s="43">
        <v>16.522182284189611</v>
      </c>
      <c r="R57" s="43">
        <v>6.5944895446953415</v>
      </c>
      <c r="S57" s="43">
        <v>3.9177889314250076</v>
      </c>
      <c r="T57" s="36">
        <v>28766</v>
      </c>
      <c r="U57" s="36" t="s">
        <v>137</v>
      </c>
      <c r="V57" s="36">
        <v>100</v>
      </c>
      <c r="W57" s="36">
        <v>1</v>
      </c>
      <c r="X57" s="102">
        <v>3</v>
      </c>
      <c r="Y57" s="29">
        <v>34</v>
      </c>
      <c r="Z57" s="45">
        <v>4</v>
      </c>
      <c r="AA57" s="45">
        <v>85</v>
      </c>
      <c r="AB57" s="45">
        <v>28862</v>
      </c>
      <c r="AC57" s="50" t="s">
        <v>376</v>
      </c>
      <c r="AD57" s="50">
        <v>100</v>
      </c>
      <c r="AE57" s="42">
        <v>60</v>
      </c>
      <c r="AF57" s="43">
        <v>0.5</v>
      </c>
      <c r="AG57" s="45">
        <v>0</v>
      </c>
      <c r="AH57" s="63">
        <v>0.10200000000000001</v>
      </c>
      <c r="AI57" s="50">
        <v>42236</v>
      </c>
      <c r="AJ57" s="50" t="s">
        <v>207</v>
      </c>
      <c r="AK57" s="50">
        <v>100</v>
      </c>
      <c r="AL57" s="34">
        <v>11</v>
      </c>
      <c r="AM57" s="43">
        <v>0.60666479126050421</v>
      </c>
      <c r="AN57" s="57">
        <v>0.60666479126050421</v>
      </c>
      <c r="AO57" s="57">
        <v>0.46656059058823524</v>
      </c>
      <c r="AP57" s="57">
        <v>0.69644029848739486</v>
      </c>
      <c r="AQ57" s="87">
        <v>0.54234110309278361</v>
      </c>
      <c r="AR57" s="46">
        <v>28766</v>
      </c>
      <c r="AS57" s="50" t="s">
        <v>137</v>
      </c>
      <c r="AT57" s="50">
        <v>100</v>
      </c>
      <c r="AU57" s="44">
        <v>-1</v>
      </c>
      <c r="AV57" s="48">
        <v>-1</v>
      </c>
      <c r="AW57" s="48">
        <v>-1</v>
      </c>
      <c r="AX57" s="48">
        <v>-1</v>
      </c>
      <c r="AY57" s="48">
        <v>-1</v>
      </c>
      <c r="AZ57" s="59">
        <v>2</v>
      </c>
      <c r="BA57" s="43">
        <v>90</v>
      </c>
      <c r="BB57" s="59">
        <v>1</v>
      </c>
      <c r="BC57" s="59">
        <v>-1</v>
      </c>
      <c r="BD57" s="59">
        <v>-1</v>
      </c>
      <c r="BE57" s="59">
        <v>-1</v>
      </c>
      <c r="BF57" s="61">
        <v>6</v>
      </c>
      <c r="BG57" s="59">
        <v>34</v>
      </c>
      <c r="BH57" s="59">
        <v>-1</v>
      </c>
      <c r="BI57" s="59">
        <v>60</v>
      </c>
      <c r="BJ57" s="28">
        <v>1</v>
      </c>
      <c r="BK57" s="56">
        <v>33.388605610561058</v>
      </c>
      <c r="BL57" s="59">
        <v>0.2</v>
      </c>
      <c r="BM57" s="59">
        <v>3</v>
      </c>
      <c r="BN57" s="56">
        <v>30.049745049504953</v>
      </c>
      <c r="BO57" s="59">
        <v>0.15</v>
      </c>
      <c r="BP57" s="43"/>
    </row>
    <row r="58" spans="1:68" ht="15" customHeight="1" x14ac:dyDescent="0.25">
      <c r="A58" s="50">
        <v>57</v>
      </c>
      <c r="B58" s="36">
        <v>2021</v>
      </c>
      <c r="C58" s="46">
        <v>2021</v>
      </c>
      <c r="D58" s="45" t="s">
        <v>7</v>
      </c>
      <c r="E58" s="38" t="s">
        <v>426</v>
      </c>
      <c r="F58" s="39">
        <v>13.2537</v>
      </c>
      <c r="G58" s="56">
        <v>13.2537</v>
      </c>
      <c r="H58" s="67">
        <v>26.075262554621847</v>
      </c>
      <c r="I58" s="36">
        <v>39.661417322834644</v>
      </c>
      <c r="J58" s="67">
        <v>23.108511745949112</v>
      </c>
      <c r="K58" s="67">
        <v>9.3565885065471779</v>
      </c>
      <c r="L58" s="36">
        <v>28766</v>
      </c>
      <c r="M58" s="36" t="s">
        <v>137</v>
      </c>
      <c r="N58" s="36">
        <v>100</v>
      </c>
      <c r="O58" s="43">
        <v>7.2587918814432992</v>
      </c>
      <c r="P58" s="36">
        <v>17.93348582474227</v>
      </c>
      <c r="Q58" s="43">
        <v>23.610595118980292</v>
      </c>
      <c r="R58" s="43">
        <v>9.4236838680288937</v>
      </c>
      <c r="S58" s="43">
        <v>5.5986144342454427</v>
      </c>
      <c r="T58" s="36">
        <v>28766</v>
      </c>
      <c r="U58" s="36" t="s">
        <v>137</v>
      </c>
      <c r="V58" s="36">
        <v>100</v>
      </c>
      <c r="W58" s="36">
        <v>1</v>
      </c>
      <c r="X58" s="102">
        <v>3</v>
      </c>
      <c r="Y58" s="29">
        <v>27</v>
      </c>
      <c r="Z58" s="45">
        <v>4</v>
      </c>
      <c r="AA58" s="45">
        <v>85</v>
      </c>
      <c r="AB58" s="45">
        <v>28862</v>
      </c>
      <c r="AC58" s="50" t="s">
        <v>376</v>
      </c>
      <c r="AD58" s="50">
        <v>100</v>
      </c>
      <c r="AE58" s="42">
        <v>60</v>
      </c>
      <c r="AF58" s="43">
        <v>0.5</v>
      </c>
      <c r="AG58" s="45">
        <v>0</v>
      </c>
      <c r="AH58" s="63">
        <v>0.77400000000000002</v>
      </c>
      <c r="AI58" s="50">
        <v>41976</v>
      </c>
      <c r="AJ58" s="50" t="s">
        <v>209</v>
      </c>
      <c r="AK58" s="50">
        <v>100</v>
      </c>
      <c r="AL58" s="34">
        <v>11</v>
      </c>
      <c r="AM58" s="43">
        <v>0.60346723361344534</v>
      </c>
      <c r="AN58" s="57">
        <v>0.60346723361344534</v>
      </c>
      <c r="AO58" s="57">
        <v>0.46410148235294113</v>
      </c>
      <c r="AP58" s="57">
        <v>0.69276955966386544</v>
      </c>
      <c r="AQ58" s="87">
        <v>0.53948257731958771</v>
      </c>
      <c r="AR58" s="46">
        <v>28766</v>
      </c>
      <c r="AS58" s="50" t="s">
        <v>137</v>
      </c>
      <c r="AT58" s="50">
        <v>100</v>
      </c>
      <c r="AU58" s="44">
        <v>-1</v>
      </c>
      <c r="AV58" s="48">
        <v>-1</v>
      </c>
      <c r="AW58" s="48">
        <v>-1</v>
      </c>
      <c r="AX58" s="48">
        <v>-1</v>
      </c>
      <c r="AY58" s="48">
        <v>-1</v>
      </c>
      <c r="AZ58" s="59">
        <v>2</v>
      </c>
      <c r="BA58" s="43">
        <v>90</v>
      </c>
      <c r="BB58" s="59">
        <v>1</v>
      </c>
      <c r="BC58" s="59">
        <v>-1</v>
      </c>
      <c r="BD58" s="59">
        <v>-1</v>
      </c>
      <c r="BE58" s="59">
        <v>-1</v>
      </c>
      <c r="BF58" s="61">
        <v>13</v>
      </c>
      <c r="BG58" s="59">
        <v>27</v>
      </c>
      <c r="BH58" s="59">
        <v>-1</v>
      </c>
      <c r="BI58" s="59">
        <v>60</v>
      </c>
      <c r="BJ58" s="28">
        <v>1</v>
      </c>
      <c r="BK58" s="56">
        <v>33.212623762376239</v>
      </c>
      <c r="BL58" s="59">
        <v>0.2</v>
      </c>
      <c r="BM58" s="59">
        <v>3</v>
      </c>
      <c r="BN58" s="56">
        <v>29.891361386138616</v>
      </c>
      <c r="BO58" s="59">
        <v>0.15</v>
      </c>
      <c r="BP58" s="43"/>
    </row>
    <row r="59" spans="1:68" ht="15" customHeight="1" x14ac:dyDescent="0.25">
      <c r="A59" s="50">
        <v>58</v>
      </c>
      <c r="B59" s="36">
        <v>2022</v>
      </c>
      <c r="C59" s="46">
        <v>2022</v>
      </c>
      <c r="D59" s="45" t="s">
        <v>7</v>
      </c>
      <c r="E59" s="38" t="s">
        <v>428</v>
      </c>
      <c r="F59" s="39">
        <v>25.7498</v>
      </c>
      <c r="G59" s="56">
        <v>25.7498</v>
      </c>
      <c r="H59" s="67">
        <v>50.660026689075622</v>
      </c>
      <c r="I59" s="36">
        <v>44.659448818897637</v>
      </c>
      <c r="J59" s="67">
        <v>26.020587948200689</v>
      </c>
      <c r="K59" s="67">
        <v>10.535682124679166</v>
      </c>
      <c r="L59" s="36">
        <v>28766</v>
      </c>
      <c r="M59" s="36" t="s">
        <v>137</v>
      </c>
      <c r="N59" s="36">
        <v>100</v>
      </c>
      <c r="O59" s="43">
        <v>14.10266108247423</v>
      </c>
      <c r="P59" s="36">
        <v>34.841868556701037</v>
      </c>
      <c r="Q59" s="43">
        <v>26.585942597990165</v>
      </c>
      <c r="R59" s="43">
        <v>10.611232673911628</v>
      </c>
      <c r="S59" s="43">
        <v>6.3041376647670422</v>
      </c>
      <c r="T59" s="36">
        <v>28766</v>
      </c>
      <c r="U59" s="36" t="s">
        <v>137</v>
      </c>
      <c r="V59" s="36">
        <v>100</v>
      </c>
      <c r="W59" s="36">
        <v>1</v>
      </c>
      <c r="X59" s="102">
        <v>3</v>
      </c>
      <c r="Y59" s="29">
        <v>14</v>
      </c>
      <c r="Z59" s="45">
        <v>4</v>
      </c>
      <c r="AA59" s="45">
        <v>85</v>
      </c>
      <c r="AB59" s="45">
        <v>28862</v>
      </c>
      <c r="AC59" s="50" t="s">
        <v>376</v>
      </c>
      <c r="AD59" s="50">
        <v>100</v>
      </c>
      <c r="AE59" s="42">
        <v>60</v>
      </c>
      <c r="AF59" s="43">
        <v>0.5</v>
      </c>
      <c r="AG59" s="45">
        <v>0</v>
      </c>
      <c r="AH59" s="63">
        <v>0.28799999999999998</v>
      </c>
      <c r="AI59" s="50">
        <v>42269</v>
      </c>
      <c r="AJ59" s="50" t="s">
        <v>206</v>
      </c>
      <c r="AK59" s="50">
        <v>100</v>
      </c>
      <c r="AL59" s="34">
        <v>11</v>
      </c>
      <c r="AM59" s="43">
        <v>0.59591296806722682</v>
      </c>
      <c r="AN59" s="57">
        <v>0.59591296806722682</v>
      </c>
      <c r="AO59" s="57">
        <v>0.45829181176470585</v>
      </c>
      <c r="AP59" s="57">
        <v>0.68409739831932759</v>
      </c>
      <c r="AQ59" s="87">
        <v>0.53272927835051553</v>
      </c>
      <c r="AR59" s="46">
        <v>28766</v>
      </c>
      <c r="AS59" s="50" t="s">
        <v>137</v>
      </c>
      <c r="AT59" s="50">
        <v>100</v>
      </c>
      <c r="AU59" s="44">
        <v>-1</v>
      </c>
      <c r="AV59" s="48">
        <v>-1</v>
      </c>
      <c r="AW59" s="48">
        <v>-1</v>
      </c>
      <c r="AX59" s="48">
        <v>-1</v>
      </c>
      <c r="AY59" s="48">
        <v>-1</v>
      </c>
      <c r="AZ59" s="59">
        <v>2</v>
      </c>
      <c r="BA59" s="43">
        <v>90</v>
      </c>
      <c r="BB59" s="59">
        <v>1</v>
      </c>
      <c r="BC59" s="59">
        <v>-1</v>
      </c>
      <c r="BD59" s="59">
        <v>-1</v>
      </c>
      <c r="BE59" s="59">
        <v>-1</v>
      </c>
      <c r="BF59" s="61">
        <v>26</v>
      </c>
      <c r="BG59" s="59">
        <v>14</v>
      </c>
      <c r="BH59" s="59">
        <v>-1</v>
      </c>
      <c r="BI59" s="59">
        <v>60</v>
      </c>
      <c r="BJ59" s="28">
        <v>1</v>
      </c>
      <c r="BK59" s="56">
        <v>32.796864686468645</v>
      </c>
      <c r="BL59" s="59">
        <v>0.2</v>
      </c>
      <c r="BM59" s="59">
        <v>3</v>
      </c>
      <c r="BN59" s="56">
        <v>29.517178217821783</v>
      </c>
      <c r="BO59" s="59">
        <v>0.15</v>
      </c>
      <c r="BP59" s="43"/>
    </row>
    <row r="60" spans="1:68" ht="15" customHeight="1" x14ac:dyDescent="0.25">
      <c r="A60" s="50">
        <v>59</v>
      </c>
      <c r="B60" s="36">
        <v>2023</v>
      </c>
      <c r="C60" s="46">
        <v>2023</v>
      </c>
      <c r="D60" s="45" t="s">
        <v>7</v>
      </c>
      <c r="E60" s="38" t="s">
        <v>429</v>
      </c>
      <c r="F60" s="39">
        <v>7.6572300000000002</v>
      </c>
      <c r="G60" s="56">
        <v>7.6572300000000002</v>
      </c>
      <c r="H60" s="67">
        <v>15.064795694117647</v>
      </c>
      <c r="I60" s="36">
        <v>32.547965879265085</v>
      </c>
      <c r="J60" s="67">
        <v>18.963897475108997</v>
      </c>
      <c r="K60" s="67">
        <v>7.6784427792520402</v>
      </c>
      <c r="L60" s="36">
        <v>28766</v>
      </c>
      <c r="M60" s="36" t="s">
        <v>137</v>
      </c>
      <c r="N60" s="36">
        <v>100</v>
      </c>
      <c r="O60" s="43">
        <v>4.1937148840206193</v>
      </c>
      <c r="P60" s="36">
        <v>10.360942654639176</v>
      </c>
      <c r="Q60" s="43">
        <v>19.375929964037638</v>
      </c>
      <c r="R60" s="43">
        <v>7.7335042894948041</v>
      </c>
      <c r="S60" s="43">
        <v>4.5944780564376959</v>
      </c>
      <c r="T60" s="36">
        <v>28766</v>
      </c>
      <c r="U60" s="36" t="s">
        <v>137</v>
      </c>
      <c r="V60" s="36">
        <v>100</v>
      </c>
      <c r="W60" s="36">
        <v>1</v>
      </c>
      <c r="X60" s="102">
        <v>3</v>
      </c>
      <c r="Y60" s="29">
        <v>32</v>
      </c>
      <c r="Z60" s="45">
        <v>4</v>
      </c>
      <c r="AA60" s="45">
        <v>85</v>
      </c>
      <c r="AB60" s="45">
        <v>28862</v>
      </c>
      <c r="AC60" s="50" t="s">
        <v>376</v>
      </c>
      <c r="AD60" s="50">
        <v>100</v>
      </c>
      <c r="AE60" s="42">
        <v>60</v>
      </c>
      <c r="AF60" s="43">
        <v>0.5</v>
      </c>
      <c r="AG60" s="45">
        <v>0</v>
      </c>
      <c r="AH60" s="63">
        <v>0.10200000000000001</v>
      </c>
      <c r="AI60" s="50">
        <v>26716</v>
      </c>
      <c r="AJ60" s="50" t="s">
        <v>208</v>
      </c>
      <c r="AK60" s="50">
        <v>100</v>
      </c>
      <c r="AL60" s="34">
        <v>11</v>
      </c>
      <c r="AM60" s="43">
        <v>0.59452519596638642</v>
      </c>
      <c r="AN60" s="57">
        <v>0.59452519596638642</v>
      </c>
      <c r="AO60" s="57">
        <v>0.45722453411764696</v>
      </c>
      <c r="AP60" s="57">
        <v>0.682504260840336</v>
      </c>
      <c r="AQ60" s="87">
        <v>0.53148864948453611</v>
      </c>
      <c r="AR60" s="46">
        <v>28766</v>
      </c>
      <c r="AS60" s="50" t="s">
        <v>137</v>
      </c>
      <c r="AT60" s="50">
        <v>100</v>
      </c>
      <c r="AU60" s="44">
        <v>-1</v>
      </c>
      <c r="AV60" s="48">
        <v>-1</v>
      </c>
      <c r="AW60" s="48">
        <v>-1</v>
      </c>
      <c r="AX60" s="48">
        <v>-1</v>
      </c>
      <c r="AY60" s="48">
        <v>-1</v>
      </c>
      <c r="AZ60" s="59">
        <v>2</v>
      </c>
      <c r="BA60" s="43">
        <v>90</v>
      </c>
      <c r="BB60" s="59">
        <v>1</v>
      </c>
      <c r="BC60" s="59">
        <v>-1</v>
      </c>
      <c r="BD60" s="59">
        <v>-1</v>
      </c>
      <c r="BE60" s="59">
        <v>-1</v>
      </c>
      <c r="BF60" s="61">
        <v>8</v>
      </c>
      <c r="BG60" s="59">
        <v>32</v>
      </c>
      <c r="BH60" s="59">
        <v>-1</v>
      </c>
      <c r="BI60" s="59">
        <v>60</v>
      </c>
      <c r="BJ60" s="28">
        <v>1</v>
      </c>
      <c r="BK60" s="56">
        <v>32.720486798679865</v>
      </c>
      <c r="BL60" s="59">
        <v>0.2</v>
      </c>
      <c r="BM60" s="59">
        <v>3</v>
      </c>
      <c r="BN60" s="56">
        <v>29.448438118811882</v>
      </c>
      <c r="BO60" s="59">
        <v>0.15</v>
      </c>
      <c r="BP60" s="43"/>
    </row>
    <row r="61" spans="1:68" ht="15" customHeight="1" x14ac:dyDescent="0.25">
      <c r="A61" s="50">
        <v>60</v>
      </c>
      <c r="B61" s="36">
        <v>2026</v>
      </c>
      <c r="C61" s="46">
        <v>2026</v>
      </c>
      <c r="D61" s="45" t="s">
        <v>7</v>
      </c>
      <c r="E61" s="38" t="s">
        <v>430</v>
      </c>
      <c r="F61" s="39">
        <v>17.986799999999999</v>
      </c>
      <c r="G61" s="56">
        <v>17.986799999999999</v>
      </c>
      <c r="H61" s="67">
        <v>35.387139630252101</v>
      </c>
      <c r="I61" s="36">
        <v>34.670275590551185</v>
      </c>
      <c r="J61" s="67">
        <v>20.20044982755255</v>
      </c>
      <c r="K61" s="67">
        <v>8.1791202636272686</v>
      </c>
      <c r="L61" s="36">
        <v>28766</v>
      </c>
      <c r="M61" s="36" t="s">
        <v>137</v>
      </c>
      <c r="N61" s="36">
        <v>100</v>
      </c>
      <c r="O61" s="43">
        <v>9.8510180412371131</v>
      </c>
      <c r="P61" s="36">
        <v>24.337809278350516</v>
      </c>
      <c r="Q61" s="43">
        <v>20.639349142993868</v>
      </c>
      <c r="R61" s="43">
        <v>8.2377720927962521</v>
      </c>
      <c r="S61" s="43">
        <v>4.8940637643015625</v>
      </c>
      <c r="T61" s="36">
        <v>28766</v>
      </c>
      <c r="U61" s="36" t="s">
        <v>137</v>
      </c>
      <c r="V61" s="36">
        <v>100</v>
      </c>
      <c r="W61" s="36">
        <v>1</v>
      </c>
      <c r="X61" s="102">
        <v>3</v>
      </c>
      <c r="Y61" s="29">
        <v>22</v>
      </c>
      <c r="Z61" s="45">
        <v>4</v>
      </c>
      <c r="AA61" s="45">
        <v>85</v>
      </c>
      <c r="AB61" s="45">
        <v>28862</v>
      </c>
      <c r="AC61" s="46" t="s">
        <v>376</v>
      </c>
      <c r="AD61" s="46">
        <v>100</v>
      </c>
      <c r="AE61" s="42">
        <v>60</v>
      </c>
      <c r="AF61" s="43">
        <v>0.5</v>
      </c>
      <c r="AG61" s="45">
        <v>0</v>
      </c>
      <c r="AH61" s="63">
        <v>0.10200000000000001</v>
      </c>
      <c r="AI61" s="46">
        <v>26857</v>
      </c>
      <c r="AJ61" s="47" t="s">
        <v>415</v>
      </c>
      <c r="AK61" s="46">
        <v>100</v>
      </c>
      <c r="AL61" s="34">
        <v>11</v>
      </c>
      <c r="AM61" s="43">
        <v>0.59946597647058819</v>
      </c>
      <c r="AN61" s="57">
        <v>0.59946597647058819</v>
      </c>
      <c r="AO61" s="57">
        <v>0.46102428235294113</v>
      </c>
      <c r="AP61" s="57">
        <v>0.68817618823529392</v>
      </c>
      <c r="AQ61" s="87">
        <v>0.53590556701030934</v>
      </c>
      <c r="AR61" s="46">
        <v>28766</v>
      </c>
      <c r="AS61" s="50" t="s">
        <v>137</v>
      </c>
      <c r="AT61" s="50">
        <v>100</v>
      </c>
      <c r="AU61" s="44">
        <v>-1</v>
      </c>
      <c r="AV61" s="48">
        <v>-1</v>
      </c>
      <c r="AW61" s="48">
        <v>-1</v>
      </c>
      <c r="AX61" s="48">
        <v>-1</v>
      </c>
      <c r="AY61" s="48">
        <v>-1</v>
      </c>
      <c r="AZ61" s="59">
        <v>2</v>
      </c>
      <c r="BA61" s="43">
        <v>90</v>
      </c>
      <c r="BB61" s="59">
        <v>1</v>
      </c>
      <c r="BC61" s="59">
        <v>-1</v>
      </c>
      <c r="BD61" s="59">
        <v>-1</v>
      </c>
      <c r="BE61" s="59">
        <v>-1</v>
      </c>
      <c r="BF61" s="61">
        <v>18</v>
      </c>
      <c r="BG61" s="59">
        <v>22</v>
      </c>
      <c r="BH61" s="59">
        <v>-1</v>
      </c>
      <c r="BI61" s="59">
        <v>60</v>
      </c>
      <c r="BJ61" s="28">
        <v>1</v>
      </c>
      <c r="BK61" s="56">
        <v>32.99240924092409</v>
      </c>
      <c r="BL61" s="59">
        <v>0.2</v>
      </c>
      <c r="BM61" s="59">
        <v>3</v>
      </c>
      <c r="BN61" s="56">
        <v>29.693168316831684</v>
      </c>
      <c r="BO61" s="59">
        <v>0.15</v>
      </c>
      <c r="BP61" s="43"/>
    </row>
    <row r="62" spans="1:68" ht="15" customHeight="1" x14ac:dyDescent="0.25">
      <c r="A62" s="50">
        <v>61</v>
      </c>
      <c r="B62" s="36">
        <v>2029</v>
      </c>
      <c r="C62" s="36">
        <v>2029</v>
      </c>
      <c r="D62" s="45" t="s">
        <v>7</v>
      </c>
      <c r="E62" s="38" t="s">
        <v>433</v>
      </c>
      <c r="F62" s="39">
        <v>19.204499999999999</v>
      </c>
      <c r="G62" s="56">
        <v>19.204499999999999</v>
      </c>
      <c r="H62" s="67">
        <v>37.782836470588229</v>
      </c>
      <c r="I62" s="36">
        <v>44.119422572178472</v>
      </c>
      <c r="J62" s="67">
        <v>25.70594455651721</v>
      </c>
      <c r="K62" s="67">
        <v>10.408283667580225</v>
      </c>
      <c r="L62" s="36">
        <v>28766</v>
      </c>
      <c r="M62" s="36" t="s">
        <v>137</v>
      </c>
      <c r="N62" s="36">
        <v>100</v>
      </c>
      <c r="O62" s="43">
        <v>10.517928479381444</v>
      </c>
      <c r="P62" s="36">
        <v>25.985470360824745</v>
      </c>
      <c r="Q62" s="43">
        <v>26.264462884818951</v>
      </c>
      <c r="R62" s="43">
        <v>10.482920652480422</v>
      </c>
      <c r="S62" s="43">
        <v>6.227907440437348</v>
      </c>
      <c r="T62" s="36">
        <v>28766</v>
      </c>
      <c r="U62" s="36" t="s">
        <v>137</v>
      </c>
      <c r="V62" s="36">
        <v>100</v>
      </c>
      <c r="W62" s="36">
        <v>1</v>
      </c>
      <c r="X62" s="102">
        <v>3</v>
      </c>
      <c r="Y62" s="29">
        <v>21</v>
      </c>
      <c r="Z62" s="45">
        <v>4</v>
      </c>
      <c r="AA62" s="45">
        <v>85</v>
      </c>
      <c r="AB62" s="45">
        <v>28862</v>
      </c>
      <c r="AC62" s="50" t="s">
        <v>376</v>
      </c>
      <c r="AD62" s="50">
        <v>100</v>
      </c>
      <c r="AE62" s="42">
        <v>60</v>
      </c>
      <c r="AF62" s="66">
        <v>10</v>
      </c>
      <c r="AG62" s="62">
        <v>100</v>
      </c>
      <c r="AH62" s="63">
        <v>2.4300000000000002</v>
      </c>
      <c r="AI62" s="50">
        <v>42058</v>
      </c>
      <c r="AJ62" s="50" t="s">
        <v>421</v>
      </c>
      <c r="AK62" s="58">
        <v>100</v>
      </c>
      <c r="AL62" s="34">
        <v>11</v>
      </c>
      <c r="AM62" s="43">
        <v>0.60272964705882337</v>
      </c>
      <c r="AN62" s="57">
        <v>0.60272964705882337</v>
      </c>
      <c r="AO62" s="57">
        <v>0.46353423529411752</v>
      </c>
      <c r="AP62" s="57">
        <v>0.69192282352941148</v>
      </c>
      <c r="AQ62" s="87">
        <v>0.53882319587628869</v>
      </c>
      <c r="AR62" s="46">
        <v>28766</v>
      </c>
      <c r="AS62" s="50" t="s">
        <v>137</v>
      </c>
      <c r="AT62" s="50">
        <v>100</v>
      </c>
      <c r="AU62" s="44">
        <v>-1</v>
      </c>
      <c r="AV62" s="48">
        <v>-1</v>
      </c>
      <c r="AW62" s="48">
        <v>-1</v>
      </c>
      <c r="AX62" s="48">
        <v>-1</v>
      </c>
      <c r="AY62" s="48">
        <v>-1</v>
      </c>
      <c r="AZ62" s="59">
        <v>2</v>
      </c>
      <c r="BA62" s="43">
        <v>90</v>
      </c>
      <c r="BB62" s="59">
        <v>1</v>
      </c>
      <c r="BC62" s="59">
        <v>-1</v>
      </c>
      <c r="BD62" s="59">
        <v>-1</v>
      </c>
      <c r="BE62" s="59">
        <v>-1</v>
      </c>
      <c r="BF62" s="61">
        <v>19</v>
      </c>
      <c r="BG62" s="59">
        <v>21</v>
      </c>
      <c r="BH62" s="59">
        <v>-1</v>
      </c>
      <c r="BI62" s="59">
        <v>60</v>
      </c>
      <c r="BJ62" s="28">
        <v>1</v>
      </c>
      <c r="BK62" s="56">
        <v>33.172029702970292</v>
      </c>
      <c r="BL62" s="59">
        <v>0.2</v>
      </c>
      <c r="BM62" s="59">
        <v>3</v>
      </c>
      <c r="BN62" s="56">
        <v>29.854826732673263</v>
      </c>
      <c r="BO62" s="59">
        <v>0.15</v>
      </c>
      <c r="BP62" s="43"/>
    </row>
    <row r="63" spans="1:68" ht="15" customHeight="1" x14ac:dyDescent="0.25">
      <c r="A63" s="50">
        <v>62</v>
      </c>
      <c r="B63" s="52">
        <v>2030</v>
      </c>
      <c r="C63" s="52">
        <v>2030</v>
      </c>
      <c r="D63" s="45" t="s">
        <v>7</v>
      </c>
      <c r="E63" s="39" t="s">
        <v>461</v>
      </c>
      <c r="F63" s="39">
        <v>10.8071</v>
      </c>
      <c r="G63" s="56">
        <v>10.8071</v>
      </c>
      <c r="H63" s="67">
        <v>21.261834050420166</v>
      </c>
      <c r="I63" s="36">
        <v>31.904625984251965</v>
      </c>
      <c r="J63" s="67">
        <v>18.589058941237717</v>
      </c>
      <c r="K63" s="67">
        <v>7.5266714338539176</v>
      </c>
      <c r="L63" s="36">
        <v>28766</v>
      </c>
      <c r="M63" s="36" t="s">
        <v>137</v>
      </c>
      <c r="N63" s="36">
        <v>100</v>
      </c>
      <c r="O63" s="43">
        <v>5.9188369845360835</v>
      </c>
      <c r="P63" s="36">
        <v>14.623009020618559</v>
      </c>
      <c r="Q63" s="43">
        <v>18.992947236481488</v>
      </c>
      <c r="R63" s="43">
        <v>7.5806446036962312</v>
      </c>
      <c r="S63" s="43">
        <v>4.5036640546830808</v>
      </c>
      <c r="T63" s="36">
        <v>28766</v>
      </c>
      <c r="U63" s="36" t="s">
        <v>137</v>
      </c>
      <c r="V63" s="36">
        <v>100</v>
      </c>
      <c r="W63" s="36">
        <v>1</v>
      </c>
      <c r="X63" s="102">
        <v>3</v>
      </c>
      <c r="Y63" s="29">
        <v>49</v>
      </c>
      <c r="Z63" s="45">
        <v>4</v>
      </c>
      <c r="AA63" s="45">
        <v>85</v>
      </c>
      <c r="AB63" s="45">
        <v>28862</v>
      </c>
      <c r="AC63" s="50" t="s">
        <v>376</v>
      </c>
      <c r="AD63" s="50">
        <v>100</v>
      </c>
      <c r="AE63" s="42">
        <v>40</v>
      </c>
      <c r="AF63" s="43">
        <v>0.5</v>
      </c>
      <c r="AG63" s="45">
        <v>0</v>
      </c>
      <c r="AH63" s="63">
        <v>6.8000000000000005E-2</v>
      </c>
      <c r="AI63" s="50">
        <v>42236</v>
      </c>
      <c r="AJ63" s="50" t="s">
        <v>207</v>
      </c>
      <c r="AK63" s="50">
        <v>100</v>
      </c>
      <c r="AL63" s="34">
        <v>16.955621134020621</v>
      </c>
      <c r="AM63" s="43">
        <v>0.89660391932773098</v>
      </c>
      <c r="AN63" s="57">
        <v>0.89660391932773098</v>
      </c>
      <c r="AO63" s="57">
        <v>0.68954068235294108</v>
      </c>
      <c r="AP63" s="57">
        <v>1.0292852168067224</v>
      </c>
      <c r="AQ63" s="87">
        <v>0.80153845360824749</v>
      </c>
      <c r="AR63" s="46">
        <v>28766</v>
      </c>
      <c r="AS63" s="50" t="s">
        <v>137</v>
      </c>
      <c r="AT63" s="50">
        <v>100</v>
      </c>
      <c r="AU63" s="44">
        <v>-1</v>
      </c>
      <c r="AV63" s="48">
        <v>-1</v>
      </c>
      <c r="AW63" s="48">
        <v>-1</v>
      </c>
      <c r="AX63" s="48">
        <v>-1</v>
      </c>
      <c r="AY63" s="48">
        <v>-1</v>
      </c>
      <c r="AZ63" s="59">
        <v>1</v>
      </c>
      <c r="BA63" s="43">
        <v>90</v>
      </c>
      <c r="BB63" s="59">
        <v>1</v>
      </c>
      <c r="BC63" s="59">
        <v>-1</v>
      </c>
      <c r="BD63" s="59">
        <v>-1</v>
      </c>
      <c r="BE63" s="59">
        <v>-1</v>
      </c>
      <c r="BF63" s="61">
        <v>11</v>
      </c>
      <c r="BG63" s="59">
        <v>49</v>
      </c>
      <c r="BH63" s="59">
        <v>-1</v>
      </c>
      <c r="BI63" s="59">
        <v>40</v>
      </c>
      <c r="BJ63" s="28">
        <v>1</v>
      </c>
      <c r="BK63" s="56">
        <v>49.345792079207911</v>
      </c>
      <c r="BL63" s="59">
        <v>0.2</v>
      </c>
      <c r="BM63" s="59">
        <v>3</v>
      </c>
      <c r="BN63" s="56">
        <v>44.411212871287134</v>
      </c>
      <c r="BO63" s="59">
        <v>0.15</v>
      </c>
      <c r="BP63" s="43"/>
    </row>
    <row r="64" spans="1:68" ht="15" customHeight="1" x14ac:dyDescent="0.25">
      <c r="A64" s="50">
        <v>63</v>
      </c>
      <c r="B64" s="52">
        <v>2031</v>
      </c>
      <c r="C64" s="52">
        <v>2031</v>
      </c>
      <c r="D64" s="45" t="s">
        <v>7</v>
      </c>
      <c r="E64" s="39" t="s">
        <v>460</v>
      </c>
      <c r="F64" s="39">
        <v>22.269400000000001</v>
      </c>
      <c r="G64" s="56">
        <v>22.269400000000001</v>
      </c>
      <c r="H64" s="67">
        <v>43.812705277310926</v>
      </c>
      <c r="I64" s="36">
        <v>47.926181102362207</v>
      </c>
      <c r="J64" s="67">
        <v>27.923931964599468</v>
      </c>
      <c r="K64" s="67">
        <v>11.306342171662246</v>
      </c>
      <c r="L64" s="36">
        <v>28766</v>
      </c>
      <c r="M64" s="36" t="s">
        <v>137</v>
      </c>
      <c r="N64" s="36">
        <v>100</v>
      </c>
      <c r="O64" s="43">
        <v>12.196514175257734</v>
      </c>
      <c r="P64" s="36">
        <v>30.1325644329897</v>
      </c>
      <c r="Q64" s="43">
        <v>28.530640960107888</v>
      </c>
      <c r="R64" s="43">
        <v>11.387419063577799</v>
      </c>
      <c r="S64" s="43">
        <v>6.7652703158306879</v>
      </c>
      <c r="T64" s="36">
        <v>28766</v>
      </c>
      <c r="U64" s="36" t="s">
        <v>137</v>
      </c>
      <c r="V64" s="36">
        <v>100</v>
      </c>
      <c r="W64" s="36">
        <v>1</v>
      </c>
      <c r="X64" s="102">
        <v>3</v>
      </c>
      <c r="Y64" s="29">
        <v>38</v>
      </c>
      <c r="Z64" s="45">
        <v>4</v>
      </c>
      <c r="AA64" s="45">
        <v>85</v>
      </c>
      <c r="AB64" s="45">
        <v>28862</v>
      </c>
      <c r="AC64" s="46" t="s">
        <v>376</v>
      </c>
      <c r="AD64" s="46">
        <v>100</v>
      </c>
      <c r="AE64" s="42">
        <v>40</v>
      </c>
      <c r="AF64" s="43">
        <v>0.5</v>
      </c>
      <c r="AG64" s="45">
        <v>0</v>
      </c>
      <c r="AH64" s="63">
        <v>0.51600000000000001</v>
      </c>
      <c r="AI64" s="50">
        <v>41976</v>
      </c>
      <c r="AJ64" s="50" t="s">
        <v>209</v>
      </c>
      <c r="AK64" s="50">
        <v>100</v>
      </c>
      <c r="AL64" s="34">
        <v>16.912092783505202</v>
      </c>
      <c r="AM64" s="43">
        <v>0.9035345344537814</v>
      </c>
      <c r="AN64" s="57">
        <v>0.9035345344537814</v>
      </c>
      <c r="AO64" s="57">
        <v>0.69487072941176464</v>
      </c>
      <c r="AP64" s="57">
        <v>1.037241438655462</v>
      </c>
      <c r="AQ64" s="87">
        <v>0.80773422680412388</v>
      </c>
      <c r="AR64" s="46">
        <v>28766</v>
      </c>
      <c r="AS64" s="50" t="s">
        <v>137</v>
      </c>
      <c r="AT64" s="50">
        <v>100</v>
      </c>
      <c r="AU64" s="44">
        <v>-1</v>
      </c>
      <c r="AV64" s="48">
        <v>-1</v>
      </c>
      <c r="AW64" s="48">
        <v>-1</v>
      </c>
      <c r="AX64" s="48">
        <v>-1</v>
      </c>
      <c r="AY64" s="48">
        <v>-1</v>
      </c>
      <c r="AZ64" s="59">
        <v>1</v>
      </c>
      <c r="BA64" s="43">
        <v>90</v>
      </c>
      <c r="BB64" s="59">
        <v>1</v>
      </c>
      <c r="BC64" s="59">
        <v>-1</v>
      </c>
      <c r="BD64" s="59">
        <v>-1</v>
      </c>
      <c r="BE64" s="59">
        <v>-1</v>
      </c>
      <c r="BF64" s="61">
        <v>22</v>
      </c>
      <c r="BG64" s="59">
        <v>38</v>
      </c>
      <c r="BH64" s="59">
        <v>-1</v>
      </c>
      <c r="BI64" s="59">
        <v>40</v>
      </c>
      <c r="BJ64" s="28">
        <v>1</v>
      </c>
      <c r="BK64" s="56">
        <v>49.727227722772277</v>
      </c>
      <c r="BL64" s="59">
        <v>0.2</v>
      </c>
      <c r="BM64" s="59">
        <v>3</v>
      </c>
      <c r="BN64" s="56">
        <v>44.754504950495047</v>
      </c>
      <c r="BO64" s="59">
        <v>0.15</v>
      </c>
      <c r="BP64" s="43"/>
    </row>
    <row r="65" spans="1:68" ht="15" customHeight="1" x14ac:dyDescent="0.25">
      <c r="A65" s="50">
        <v>64</v>
      </c>
      <c r="B65" s="52" t="s">
        <v>516</v>
      </c>
      <c r="C65" s="68">
        <v>912032</v>
      </c>
      <c r="D65" s="45" t="s">
        <v>7</v>
      </c>
      <c r="E65" s="39" t="s">
        <v>462</v>
      </c>
      <c r="F65" s="39">
        <v>16.808599999999998</v>
      </c>
      <c r="G65" s="56">
        <v>16.808599999999998</v>
      </c>
      <c r="H65" s="67">
        <v>33.069154890756295</v>
      </c>
      <c r="I65" s="36">
        <v>38.295275590551178</v>
      </c>
      <c r="J65" s="67">
        <v>22.312536604412053</v>
      </c>
      <c r="K65" s="67">
        <v>9.0342998216383172</v>
      </c>
      <c r="L65" s="36">
        <v>28766</v>
      </c>
      <c r="M65" s="36" t="s">
        <v>137</v>
      </c>
      <c r="N65" s="36">
        <v>100</v>
      </c>
      <c r="O65" s="43">
        <v>9.2057409793814422</v>
      </c>
      <c r="P65" s="36">
        <v>22.743595360824738</v>
      </c>
      <c r="Q65" s="43">
        <v>22.797325662330881</v>
      </c>
      <c r="R65" s="43">
        <v>9.0990840762673262</v>
      </c>
      <c r="S65" s="43">
        <v>5.4057695654065343</v>
      </c>
      <c r="T65" s="36">
        <v>28766</v>
      </c>
      <c r="U65" s="36" t="s">
        <v>137</v>
      </c>
      <c r="V65" s="36">
        <v>100</v>
      </c>
      <c r="W65" s="36">
        <v>1</v>
      </c>
      <c r="X65" s="102">
        <v>3</v>
      </c>
      <c r="Y65" s="29">
        <v>43</v>
      </c>
      <c r="Z65" s="45">
        <v>4</v>
      </c>
      <c r="AA65" s="45">
        <v>85</v>
      </c>
      <c r="AB65" s="45">
        <v>28862</v>
      </c>
      <c r="AC65" s="46" t="s">
        <v>376</v>
      </c>
      <c r="AD65" s="50">
        <v>100</v>
      </c>
      <c r="AE65" s="42">
        <v>40</v>
      </c>
      <c r="AF65" s="43">
        <v>0.5</v>
      </c>
      <c r="AG65" s="45">
        <v>0</v>
      </c>
      <c r="AH65" s="63">
        <v>0.192</v>
      </c>
      <c r="AI65" s="50">
        <v>42269</v>
      </c>
      <c r="AJ65" s="50" t="s">
        <v>206</v>
      </c>
      <c r="AK65" s="50">
        <v>100</v>
      </c>
      <c r="AL65" s="34">
        <v>16.956046391752579</v>
      </c>
      <c r="AM65" s="43">
        <v>0.89662640672268901</v>
      </c>
      <c r="AN65" s="57">
        <v>0.89662640672268901</v>
      </c>
      <c r="AO65" s="57">
        <v>0.68955797647058803</v>
      </c>
      <c r="AP65" s="57">
        <v>1.0293110319327727</v>
      </c>
      <c r="AQ65" s="87">
        <v>0.80155855670103093</v>
      </c>
      <c r="AR65" s="46">
        <v>28766</v>
      </c>
      <c r="AS65" s="50" t="s">
        <v>137</v>
      </c>
      <c r="AT65" s="50">
        <v>100</v>
      </c>
      <c r="AU65" s="44">
        <v>-1</v>
      </c>
      <c r="AV65" s="48">
        <v>-1</v>
      </c>
      <c r="AW65" s="48">
        <v>-1</v>
      </c>
      <c r="AX65" s="48">
        <v>-1</v>
      </c>
      <c r="AY65" s="48">
        <v>-1</v>
      </c>
      <c r="AZ65" s="59">
        <v>1</v>
      </c>
      <c r="BA65" s="43">
        <v>90</v>
      </c>
      <c r="BB65" s="59">
        <v>1</v>
      </c>
      <c r="BC65" s="59">
        <v>-1</v>
      </c>
      <c r="BD65" s="59">
        <v>-1</v>
      </c>
      <c r="BE65" s="59">
        <v>-1</v>
      </c>
      <c r="BF65" s="61">
        <v>17</v>
      </c>
      <c r="BG65" s="59">
        <v>43</v>
      </c>
      <c r="BH65" s="59">
        <v>-1</v>
      </c>
      <c r="BI65" s="59">
        <v>40</v>
      </c>
      <c r="BJ65" s="28">
        <v>1</v>
      </c>
      <c r="BK65" s="56">
        <v>49.347029702970289</v>
      </c>
      <c r="BL65" s="59">
        <v>0.2</v>
      </c>
      <c r="BM65" s="59">
        <v>3</v>
      </c>
      <c r="BN65" s="56">
        <v>44.412326732673264</v>
      </c>
      <c r="BO65" s="59">
        <v>0.15</v>
      </c>
      <c r="BP65" s="43"/>
    </row>
    <row r="66" spans="1:68" ht="15" customHeight="1" x14ac:dyDescent="0.25">
      <c r="A66" s="50">
        <v>65</v>
      </c>
      <c r="B66" s="52" t="s">
        <v>517</v>
      </c>
      <c r="C66" s="68">
        <v>922032</v>
      </c>
      <c r="D66" s="45" t="s">
        <v>7</v>
      </c>
      <c r="E66" s="39" t="s">
        <v>462</v>
      </c>
      <c r="F66" s="39">
        <v>52.365000000000002</v>
      </c>
      <c r="G66" s="56">
        <v>52.365000000000002</v>
      </c>
      <c r="H66" s="67">
        <v>103.0226369747899</v>
      </c>
      <c r="I66" s="36">
        <v>49.005905511811022</v>
      </c>
      <c r="J66" s="67">
        <v>28.553027591592372</v>
      </c>
      <c r="K66" s="67">
        <v>11.561061687040501</v>
      </c>
      <c r="L66" s="36">
        <v>28766</v>
      </c>
      <c r="M66" s="36" t="s">
        <v>137</v>
      </c>
      <c r="N66" s="36">
        <v>100</v>
      </c>
      <c r="O66" s="43">
        <v>28.679284793814439</v>
      </c>
      <c r="P66" s="36">
        <v>70.854703608247448</v>
      </c>
      <c r="Q66" s="43">
        <v>29.173405076782526</v>
      </c>
      <c r="R66" s="43">
        <v>11.643965152599726</v>
      </c>
      <c r="S66" s="43">
        <v>6.9176844520816125</v>
      </c>
      <c r="T66" s="36">
        <v>28766</v>
      </c>
      <c r="U66" s="36" t="s">
        <v>137</v>
      </c>
      <c r="V66" s="36">
        <v>100</v>
      </c>
      <c r="W66" s="36">
        <v>1</v>
      </c>
      <c r="X66" s="102">
        <v>3</v>
      </c>
      <c r="Y66" s="29">
        <v>8</v>
      </c>
      <c r="Z66" s="45">
        <v>4</v>
      </c>
      <c r="AA66" s="45">
        <v>85</v>
      </c>
      <c r="AB66" s="45">
        <v>28862</v>
      </c>
      <c r="AC66" s="46" t="s">
        <v>376</v>
      </c>
      <c r="AD66" s="46">
        <v>100</v>
      </c>
      <c r="AE66" s="42">
        <v>40</v>
      </c>
      <c r="AF66" s="43">
        <v>0.5</v>
      </c>
      <c r="AG66" s="45">
        <v>0</v>
      </c>
      <c r="AH66" s="63">
        <v>0.192</v>
      </c>
      <c r="AI66" s="50">
        <v>42269</v>
      </c>
      <c r="AJ66" s="50" t="s">
        <v>206</v>
      </c>
      <c r="AK66" s="50">
        <v>100</v>
      </c>
      <c r="AL66" s="34">
        <v>17</v>
      </c>
      <c r="AM66" s="43">
        <v>0.90496773109243689</v>
      </c>
      <c r="AN66" s="57">
        <v>0.90496773109243689</v>
      </c>
      <c r="AO66" s="57">
        <v>0.69597294117647046</v>
      </c>
      <c r="AP66" s="57">
        <v>1.0388867226890754</v>
      </c>
      <c r="AQ66" s="87">
        <v>0.80901546391752588</v>
      </c>
      <c r="AR66" s="46">
        <v>28766</v>
      </c>
      <c r="AS66" s="50" t="s">
        <v>137</v>
      </c>
      <c r="AT66" s="50">
        <v>100</v>
      </c>
      <c r="AU66" s="44">
        <v>-1</v>
      </c>
      <c r="AV66" s="48">
        <v>-1</v>
      </c>
      <c r="AW66" s="48">
        <v>-1</v>
      </c>
      <c r="AX66" s="48">
        <v>-1</v>
      </c>
      <c r="AY66" s="48">
        <v>-1</v>
      </c>
      <c r="AZ66" s="59">
        <v>1</v>
      </c>
      <c r="BA66" s="43">
        <v>90</v>
      </c>
      <c r="BB66" s="59">
        <v>1</v>
      </c>
      <c r="BC66" s="59">
        <v>-1</v>
      </c>
      <c r="BD66" s="59">
        <v>-1</v>
      </c>
      <c r="BE66" s="59">
        <v>-1</v>
      </c>
      <c r="BF66" s="61">
        <v>52</v>
      </c>
      <c r="BG66" s="59">
        <v>8</v>
      </c>
      <c r="BH66" s="59">
        <v>-1</v>
      </c>
      <c r="BI66" s="59">
        <v>40</v>
      </c>
      <c r="BJ66" s="28">
        <v>1</v>
      </c>
      <c r="BK66" s="56">
        <v>49.806105610561062</v>
      </c>
      <c r="BL66" s="59">
        <v>0.2</v>
      </c>
      <c r="BM66" s="59">
        <v>3</v>
      </c>
      <c r="BN66" s="56">
        <v>44.825495049504951</v>
      </c>
      <c r="BO66" s="59">
        <v>0.15</v>
      </c>
      <c r="BP66" s="43"/>
    </row>
    <row r="67" spans="1:68" ht="15" customHeight="1" x14ac:dyDescent="0.25">
      <c r="A67" s="50">
        <v>66</v>
      </c>
      <c r="B67" s="52">
        <v>2033</v>
      </c>
      <c r="C67" s="68">
        <v>2033</v>
      </c>
      <c r="D67" s="45" t="s">
        <v>7</v>
      </c>
      <c r="E67" s="39" t="s">
        <v>463</v>
      </c>
      <c r="F67" s="39">
        <v>23.547899999999998</v>
      </c>
      <c r="G67" s="56">
        <v>23.547899999999998</v>
      </c>
      <c r="H67" s="67">
        <v>46.328019731092432</v>
      </c>
      <c r="I67" s="36">
        <v>45.89632545931758</v>
      </c>
      <c r="J67" s="67">
        <v>26.74124747836272</v>
      </c>
      <c r="K67" s="67">
        <v>10.827475674656689</v>
      </c>
      <c r="L67" s="36">
        <v>28766</v>
      </c>
      <c r="M67" s="36" t="s">
        <v>137</v>
      </c>
      <c r="N67" s="36">
        <v>100</v>
      </c>
      <c r="O67" s="43">
        <v>12.896723582474227</v>
      </c>
      <c r="P67" s="36">
        <v>31.862493556701033</v>
      </c>
      <c r="Q67" s="43">
        <v>27.322260045532978</v>
      </c>
      <c r="R67" s="43">
        <v>10.905118652523807</v>
      </c>
      <c r="S67" s="43">
        <v>6.4787354446716261</v>
      </c>
      <c r="T67" s="36">
        <v>28766</v>
      </c>
      <c r="U67" s="36" t="s">
        <v>137</v>
      </c>
      <c r="V67" s="36">
        <v>100</v>
      </c>
      <c r="W67" s="36">
        <v>1</v>
      </c>
      <c r="X67" s="102">
        <v>3</v>
      </c>
      <c r="Y67" s="29">
        <v>36</v>
      </c>
      <c r="Z67" s="45">
        <v>4</v>
      </c>
      <c r="AA67" s="45">
        <v>85</v>
      </c>
      <c r="AB67" s="45">
        <v>28862</v>
      </c>
      <c r="AC67" s="46" t="s">
        <v>376</v>
      </c>
      <c r="AD67" s="50">
        <v>100</v>
      </c>
      <c r="AE67" s="42">
        <v>40</v>
      </c>
      <c r="AF67" s="43">
        <v>0.5</v>
      </c>
      <c r="AG67" s="45">
        <v>0</v>
      </c>
      <c r="AH67" s="63">
        <v>6.8000000000000005E-2</v>
      </c>
      <c r="AI67" s="50">
        <v>26716</v>
      </c>
      <c r="AJ67" s="50" t="s">
        <v>208</v>
      </c>
      <c r="AK67" s="50">
        <v>100</v>
      </c>
      <c r="AL67" s="34">
        <v>17</v>
      </c>
      <c r="AM67" s="43">
        <v>0.89271809747899145</v>
      </c>
      <c r="AN67" s="57">
        <v>0.89271809747899145</v>
      </c>
      <c r="AO67" s="57">
        <v>0.68655225882352933</v>
      </c>
      <c r="AP67" s="57">
        <v>1.0248243630252099</v>
      </c>
      <c r="AQ67" s="87">
        <v>0.79806463917525783</v>
      </c>
      <c r="AR67" s="46">
        <v>28766</v>
      </c>
      <c r="AS67" s="50" t="s">
        <v>137</v>
      </c>
      <c r="AT67" s="50">
        <v>100</v>
      </c>
      <c r="AU67" s="44">
        <v>-1</v>
      </c>
      <c r="AV67" s="48">
        <v>-1</v>
      </c>
      <c r="AW67" s="48">
        <v>-1</v>
      </c>
      <c r="AX67" s="48">
        <v>-1</v>
      </c>
      <c r="AY67" s="48">
        <v>-1</v>
      </c>
      <c r="AZ67" s="59">
        <v>1</v>
      </c>
      <c r="BA67" s="43">
        <v>90</v>
      </c>
      <c r="BB67" s="59">
        <v>1</v>
      </c>
      <c r="BC67" s="59">
        <v>-1</v>
      </c>
      <c r="BD67" s="59">
        <v>-1</v>
      </c>
      <c r="BE67" s="59">
        <v>-1</v>
      </c>
      <c r="BF67" s="61">
        <v>24</v>
      </c>
      <c r="BG67" s="59">
        <v>36</v>
      </c>
      <c r="BH67" s="59">
        <v>-1</v>
      </c>
      <c r="BI67" s="59">
        <v>40</v>
      </c>
      <c r="BJ67" s="28">
        <v>1</v>
      </c>
      <c r="BK67" s="56">
        <v>49.131930693069307</v>
      </c>
      <c r="BL67" s="59">
        <v>0.2</v>
      </c>
      <c r="BM67" s="59">
        <v>3</v>
      </c>
      <c r="BN67" s="56">
        <v>44.218737623762372</v>
      </c>
      <c r="BO67" s="59">
        <v>0.15</v>
      </c>
      <c r="BP67" s="43"/>
    </row>
    <row r="68" spans="1:68" ht="15" customHeight="1" x14ac:dyDescent="0.25">
      <c r="A68" s="50">
        <v>67</v>
      </c>
      <c r="B68" s="52">
        <v>2036</v>
      </c>
      <c r="C68" s="68">
        <v>2036</v>
      </c>
      <c r="D68" s="45" t="s">
        <v>7</v>
      </c>
      <c r="E68" s="39" t="s">
        <v>465</v>
      </c>
      <c r="F68" s="39">
        <v>16.049099999999999</v>
      </c>
      <c r="G68" s="56">
        <v>16.049099999999999</v>
      </c>
      <c r="H68" s="67">
        <v>31.574918420168061</v>
      </c>
      <c r="I68" s="36">
        <v>35.589895013123353</v>
      </c>
      <c r="J68" s="67">
        <v>20.736261144009887</v>
      </c>
      <c r="K68" s="67">
        <v>8.396069155029652</v>
      </c>
      <c r="L68" s="36">
        <v>28766</v>
      </c>
      <c r="M68" s="36" t="s">
        <v>137</v>
      </c>
      <c r="N68" s="36">
        <v>100</v>
      </c>
      <c r="O68" s="43">
        <v>8.789777706185566</v>
      </c>
      <c r="P68" s="36">
        <v>21.715921391752573</v>
      </c>
      <c r="Q68" s="43">
        <v>21.186802141790285</v>
      </c>
      <c r="R68" s="43">
        <v>8.4562767076636067</v>
      </c>
      <c r="S68" s="43">
        <v>5.023877445222662</v>
      </c>
      <c r="T68" s="36">
        <v>28766</v>
      </c>
      <c r="U68" s="36" t="s">
        <v>137</v>
      </c>
      <c r="V68" s="36">
        <v>100</v>
      </c>
      <c r="W68" s="36">
        <v>1</v>
      </c>
      <c r="X68" s="102">
        <v>3</v>
      </c>
      <c r="Y68" s="29">
        <v>44</v>
      </c>
      <c r="Z68" s="45">
        <v>4</v>
      </c>
      <c r="AA68" s="45">
        <v>85</v>
      </c>
      <c r="AB68" s="45">
        <v>28862</v>
      </c>
      <c r="AC68" s="46" t="s">
        <v>376</v>
      </c>
      <c r="AD68" s="46">
        <v>100</v>
      </c>
      <c r="AE68" s="42">
        <v>40</v>
      </c>
      <c r="AF68" s="43">
        <v>0.5</v>
      </c>
      <c r="AG68" s="45">
        <v>0</v>
      </c>
      <c r="AH68" s="63">
        <v>6.8000000000000005E-2</v>
      </c>
      <c r="AI68" s="46">
        <v>26857</v>
      </c>
      <c r="AJ68" s="47" t="s">
        <v>415</v>
      </c>
      <c r="AK68" s="46">
        <v>100</v>
      </c>
      <c r="AL68" s="34">
        <v>17.024229381443298</v>
      </c>
      <c r="AM68" s="43">
        <v>0.90023188571428558</v>
      </c>
      <c r="AN68" s="57">
        <v>0.90023188571428558</v>
      </c>
      <c r="AO68" s="57">
        <v>0.69233079999999991</v>
      </c>
      <c r="AP68" s="57">
        <v>1.0334500571428569</v>
      </c>
      <c r="AQ68" s="87">
        <v>0.80478175257731954</v>
      </c>
      <c r="AR68" s="46">
        <v>28766</v>
      </c>
      <c r="AS68" s="50" t="s">
        <v>137</v>
      </c>
      <c r="AT68" s="50">
        <v>100</v>
      </c>
      <c r="AU68" s="44">
        <v>-1</v>
      </c>
      <c r="AV68" s="48">
        <v>-1</v>
      </c>
      <c r="AW68" s="48">
        <v>-1</v>
      </c>
      <c r="AX68" s="48">
        <v>-1</v>
      </c>
      <c r="AY68" s="48">
        <v>-1</v>
      </c>
      <c r="AZ68" s="59">
        <v>1</v>
      </c>
      <c r="BA68" s="43">
        <v>90</v>
      </c>
      <c r="BB68" s="59">
        <v>1</v>
      </c>
      <c r="BC68" s="59">
        <v>-1</v>
      </c>
      <c r="BD68" s="59">
        <v>-1</v>
      </c>
      <c r="BE68" s="59">
        <v>-1</v>
      </c>
      <c r="BF68" s="61">
        <v>16</v>
      </c>
      <c r="BG68" s="59">
        <v>44</v>
      </c>
      <c r="BH68" s="59">
        <v>-1</v>
      </c>
      <c r="BI68" s="59">
        <v>40</v>
      </c>
      <c r="BJ68" s="28">
        <v>1</v>
      </c>
      <c r="BK68" s="56">
        <v>49.545462046204619</v>
      </c>
      <c r="BL68" s="59">
        <v>0.2</v>
      </c>
      <c r="BM68" s="59">
        <v>3</v>
      </c>
      <c r="BN68" s="56">
        <v>44.590915841584156</v>
      </c>
      <c r="BO68" s="59">
        <v>0.15</v>
      </c>
      <c r="BP68" s="43"/>
    </row>
    <row r="69" spans="1:68" ht="15" customHeight="1" x14ac:dyDescent="0.25">
      <c r="A69" s="50">
        <v>68</v>
      </c>
      <c r="B69" s="52">
        <v>2039</v>
      </c>
      <c r="C69" s="68">
        <v>2039</v>
      </c>
      <c r="D69" s="45" t="s">
        <v>7</v>
      </c>
      <c r="E69" s="39" t="s">
        <v>467</v>
      </c>
      <c r="F69" s="39">
        <v>18.1311</v>
      </c>
      <c r="G69" s="56">
        <v>18.1311</v>
      </c>
      <c r="H69" s="67">
        <v>35.671034722689079</v>
      </c>
      <c r="I69" s="36">
        <v>42.642060367454064</v>
      </c>
      <c r="J69" s="67">
        <v>24.845167404177779</v>
      </c>
      <c r="K69" s="67">
        <v>10.059756782819274</v>
      </c>
      <c r="L69" s="36">
        <v>28766</v>
      </c>
      <c r="M69" s="36" t="s">
        <v>137</v>
      </c>
      <c r="N69" s="36">
        <v>100</v>
      </c>
      <c r="O69" s="43">
        <v>9.930048324742268</v>
      </c>
      <c r="P69" s="36">
        <v>24.533060567010306</v>
      </c>
      <c r="Q69" s="43">
        <v>25.384983450791022</v>
      </c>
      <c r="R69" s="43">
        <v>10.131894508795904</v>
      </c>
      <c r="S69" s="43">
        <v>6.0193626651295657</v>
      </c>
      <c r="T69" s="36">
        <v>28766</v>
      </c>
      <c r="U69" s="36" t="s">
        <v>137</v>
      </c>
      <c r="V69" s="36">
        <v>100</v>
      </c>
      <c r="W69" s="36">
        <v>1</v>
      </c>
      <c r="X69" s="102">
        <v>3</v>
      </c>
      <c r="Y69" s="29">
        <v>42</v>
      </c>
      <c r="Z69" s="45">
        <v>4</v>
      </c>
      <c r="AA69" s="45">
        <v>85</v>
      </c>
      <c r="AB69" s="45">
        <v>28862</v>
      </c>
      <c r="AC69" s="46" t="s">
        <v>376</v>
      </c>
      <c r="AD69" s="50">
        <v>100</v>
      </c>
      <c r="AE69" s="42">
        <v>40</v>
      </c>
      <c r="AF69" s="66">
        <v>10</v>
      </c>
      <c r="AG69" s="62">
        <v>100</v>
      </c>
      <c r="AH69" s="63">
        <v>1.62</v>
      </c>
      <c r="AI69" s="50">
        <v>42058</v>
      </c>
      <c r="AJ69" s="50" t="s">
        <v>421</v>
      </c>
      <c r="AK69" s="58">
        <v>100</v>
      </c>
      <c r="AL69" s="34">
        <v>17.047476804123711</v>
      </c>
      <c r="AM69" s="43">
        <v>0.90146119663865543</v>
      </c>
      <c r="AN69" s="57">
        <v>0.90146119663865543</v>
      </c>
      <c r="AO69" s="57">
        <v>0.69327621176470577</v>
      </c>
      <c r="AP69" s="57">
        <v>1.0348612840336131</v>
      </c>
      <c r="AQ69" s="87">
        <v>0.80588072164948465</v>
      </c>
      <c r="AR69" s="46">
        <v>28766</v>
      </c>
      <c r="AS69" s="50" t="s">
        <v>137</v>
      </c>
      <c r="AT69" s="50">
        <v>100</v>
      </c>
      <c r="AU69" s="44">
        <v>-1</v>
      </c>
      <c r="AV69" s="48">
        <v>-1</v>
      </c>
      <c r="AW69" s="48">
        <v>-1</v>
      </c>
      <c r="AX69" s="48">
        <v>-1</v>
      </c>
      <c r="AY69" s="48">
        <v>-1</v>
      </c>
      <c r="AZ69" s="59">
        <v>1</v>
      </c>
      <c r="BA69" s="43">
        <v>90</v>
      </c>
      <c r="BB69" s="59">
        <v>1</v>
      </c>
      <c r="BC69" s="59">
        <v>-1</v>
      </c>
      <c r="BD69" s="59">
        <v>-1</v>
      </c>
      <c r="BE69" s="59">
        <v>-1</v>
      </c>
      <c r="BF69" s="61">
        <v>18</v>
      </c>
      <c r="BG69" s="59">
        <v>42</v>
      </c>
      <c r="BH69" s="59">
        <v>-1</v>
      </c>
      <c r="BI69" s="59">
        <v>40</v>
      </c>
      <c r="BJ69" s="28">
        <v>1</v>
      </c>
      <c r="BK69" s="56">
        <v>49.613118811881193</v>
      </c>
      <c r="BL69" s="59">
        <v>0.2</v>
      </c>
      <c r="BM69" s="59">
        <v>3</v>
      </c>
      <c r="BN69" s="56">
        <v>44.651806930693077</v>
      </c>
      <c r="BO69" s="59">
        <v>0.15</v>
      </c>
      <c r="BP69" s="43"/>
    </row>
    <row r="70" spans="1:68" ht="15" customHeight="1" x14ac:dyDescent="0.25">
      <c r="A70" s="50">
        <v>69</v>
      </c>
      <c r="B70" s="52" t="s">
        <v>224</v>
      </c>
      <c r="C70" s="68">
        <v>912040</v>
      </c>
      <c r="D70" s="45" t="s">
        <v>7</v>
      </c>
      <c r="E70" s="6" t="s">
        <v>17</v>
      </c>
      <c r="F70" s="39">
        <v>21.6</v>
      </c>
      <c r="G70" s="36">
        <v>21.6</v>
      </c>
      <c r="H70" s="36">
        <v>19.130394248677327</v>
      </c>
      <c r="I70" s="36">
        <v>53.457349081364832</v>
      </c>
      <c r="J70" s="36">
        <v>34.672251432057116</v>
      </c>
      <c r="K70" s="36">
        <v>9.8574668235842289</v>
      </c>
      <c r="L70" s="36">
        <v>195176</v>
      </c>
      <c r="M70" s="36" t="s">
        <v>372</v>
      </c>
      <c r="N70" s="36">
        <v>100</v>
      </c>
      <c r="O70" s="36">
        <v>13.570680628272251</v>
      </c>
      <c r="P70" s="36">
        <v>56.454876568191018</v>
      </c>
      <c r="Q70" s="36">
        <v>25.162923669890048</v>
      </c>
      <c r="R70" s="36">
        <v>9.9767285641812631</v>
      </c>
      <c r="S70" s="36">
        <v>4.3661278836053041</v>
      </c>
      <c r="T70" s="36">
        <v>195176</v>
      </c>
      <c r="U70" s="36" t="s">
        <v>372</v>
      </c>
      <c r="V70" s="36">
        <v>100</v>
      </c>
      <c r="W70" s="36">
        <v>-1</v>
      </c>
      <c r="X70" s="102">
        <v>-1</v>
      </c>
      <c r="Y70" s="29">
        <v>2.0586000000000002</v>
      </c>
      <c r="Z70" s="43">
        <v>0.29520000000000002</v>
      </c>
      <c r="AA70" s="36">
        <v>85</v>
      </c>
      <c r="AB70" s="45">
        <v>19092</v>
      </c>
      <c r="AC70" s="50" t="s">
        <v>160</v>
      </c>
      <c r="AD70" s="50">
        <v>100</v>
      </c>
      <c r="AE70" s="42">
        <v>2</v>
      </c>
      <c r="AF70" s="43">
        <v>0.8</v>
      </c>
      <c r="AG70" s="36">
        <v>70</v>
      </c>
      <c r="AH70" s="35">
        <v>1.7306824850931969E-2</v>
      </c>
      <c r="AI70" s="50">
        <v>40450</v>
      </c>
      <c r="AJ70" s="50" t="s">
        <v>148</v>
      </c>
      <c r="AK70" s="50">
        <v>100</v>
      </c>
      <c r="AL70" s="34">
        <v>7</v>
      </c>
      <c r="AM70" s="43">
        <v>0.9</v>
      </c>
      <c r="AN70" s="35">
        <v>5.0945537594985789E-2</v>
      </c>
      <c r="AO70" s="35">
        <v>7.4652866970870257E-2</v>
      </c>
      <c r="AP70" s="35">
        <v>0.15384543531159073</v>
      </c>
      <c r="AQ70" s="84">
        <v>0.14728808888847375</v>
      </c>
      <c r="AR70" s="46">
        <v>195176</v>
      </c>
      <c r="AS70" s="50" t="s">
        <v>372</v>
      </c>
      <c r="AT70" s="50">
        <v>100</v>
      </c>
      <c r="AU70" s="44">
        <v>-1</v>
      </c>
      <c r="AV70" s="48">
        <v>-1</v>
      </c>
      <c r="AW70" s="48">
        <v>-1</v>
      </c>
      <c r="AX70" s="48">
        <v>-1</v>
      </c>
      <c r="AY70" s="48">
        <v>-1</v>
      </c>
      <c r="AZ70" s="45">
        <v>1</v>
      </c>
      <c r="BA70" s="36">
        <v>23</v>
      </c>
      <c r="BB70" s="43">
        <v>1.0433070866141732</v>
      </c>
      <c r="BC70" s="45">
        <v>-1</v>
      </c>
      <c r="BD70" s="45">
        <v>-1</v>
      </c>
      <c r="BE70" s="45">
        <v>-1</v>
      </c>
      <c r="BF70" s="45">
        <v>-1</v>
      </c>
      <c r="BG70" s="45">
        <v>100</v>
      </c>
      <c r="BH70" s="45">
        <v>-1</v>
      </c>
      <c r="BI70" s="45">
        <v>-1</v>
      </c>
      <c r="BJ70" s="28">
        <v>1</v>
      </c>
      <c r="BK70" s="36">
        <v>21.826178010471207</v>
      </c>
      <c r="BL70" s="43">
        <v>0.72834645669291342</v>
      </c>
      <c r="BM70" s="45">
        <v>3</v>
      </c>
      <c r="BN70" s="36">
        <v>21.826178010471207</v>
      </c>
      <c r="BO70" s="43">
        <v>0.72834645669291342</v>
      </c>
    </row>
    <row r="71" spans="1:68" ht="15" customHeight="1" x14ac:dyDescent="0.25">
      <c r="A71" s="50">
        <v>70</v>
      </c>
      <c r="B71" s="52" t="s">
        <v>225</v>
      </c>
      <c r="C71" s="68">
        <v>922040</v>
      </c>
      <c r="D71" s="45" t="s">
        <v>7</v>
      </c>
      <c r="E71" s="6" t="s">
        <v>17</v>
      </c>
      <c r="F71" s="39">
        <v>55.9</v>
      </c>
      <c r="G71" s="36">
        <v>55.9</v>
      </c>
      <c r="H71" s="36">
        <v>49.508751782456599</v>
      </c>
      <c r="I71" s="36">
        <v>64.058727034120722</v>
      </c>
      <c r="J71" s="36">
        <v>41.548268447879458</v>
      </c>
      <c r="K71" s="36">
        <v>11.812347363854006</v>
      </c>
      <c r="L71" s="36">
        <v>195176</v>
      </c>
      <c r="M71" s="36" t="s">
        <v>372</v>
      </c>
      <c r="N71" s="36">
        <v>100</v>
      </c>
      <c r="O71" s="36">
        <v>35.120418848167539</v>
      </c>
      <c r="P71" s="36">
        <v>146.10312963712394</v>
      </c>
      <c r="Q71" s="36">
        <v>30.15310123770821</v>
      </c>
      <c r="R71" s="36">
        <v>11.955260460328194</v>
      </c>
      <c r="S71" s="36">
        <v>5.2319952092318482</v>
      </c>
      <c r="T71" s="36">
        <v>195176</v>
      </c>
      <c r="U71" s="36" t="s">
        <v>372</v>
      </c>
      <c r="V71" s="36">
        <v>100</v>
      </c>
      <c r="W71" s="36">
        <v>-1</v>
      </c>
      <c r="X71" s="102">
        <v>-1</v>
      </c>
      <c r="Y71" s="29">
        <v>1.29</v>
      </c>
      <c r="Z71" s="47">
        <v>0.29520000000000002</v>
      </c>
      <c r="AA71" s="46">
        <v>85</v>
      </c>
      <c r="AB71" s="50">
        <v>19092</v>
      </c>
      <c r="AC71" s="50" t="s">
        <v>160</v>
      </c>
      <c r="AD71" s="50">
        <v>100</v>
      </c>
      <c r="AE71" s="42">
        <v>42</v>
      </c>
      <c r="AF71" s="43">
        <v>0.8</v>
      </c>
      <c r="AG71" s="36">
        <v>70</v>
      </c>
      <c r="AH71" s="35">
        <v>0.35065950866237849</v>
      </c>
      <c r="AI71" s="50">
        <v>40450</v>
      </c>
      <c r="AJ71" s="50" t="s">
        <v>148</v>
      </c>
      <c r="AK71" s="50">
        <v>100</v>
      </c>
      <c r="AL71" s="34">
        <v>17</v>
      </c>
      <c r="AM71" s="43">
        <v>0.9</v>
      </c>
      <c r="AN71" s="35">
        <v>0.13184516442406041</v>
      </c>
      <c r="AO71" s="35">
        <v>0.19319885479961327</v>
      </c>
      <c r="AP71" s="35">
        <v>0.39814628860731116</v>
      </c>
      <c r="AQ71" s="83">
        <v>0.38117611892896675</v>
      </c>
      <c r="AR71" s="46">
        <v>195176</v>
      </c>
      <c r="AS71" s="50" t="s">
        <v>372</v>
      </c>
      <c r="AT71" s="50">
        <v>100</v>
      </c>
      <c r="AU71" s="44">
        <v>-1</v>
      </c>
      <c r="AV71" s="48">
        <v>-1</v>
      </c>
      <c r="AW71" s="48">
        <v>-1</v>
      </c>
      <c r="AX71" s="48">
        <v>-1</v>
      </c>
      <c r="AY71" s="48">
        <v>-1</v>
      </c>
      <c r="AZ71" s="45">
        <v>1</v>
      </c>
      <c r="BA71" s="36">
        <v>59</v>
      </c>
      <c r="BB71" s="43">
        <v>1.0433070866141732</v>
      </c>
      <c r="BC71" s="45">
        <v>-1</v>
      </c>
      <c r="BD71" s="45">
        <v>-1</v>
      </c>
      <c r="BE71" s="45">
        <v>-1</v>
      </c>
      <c r="BF71" s="45">
        <v>-1</v>
      </c>
      <c r="BG71" s="45">
        <v>100</v>
      </c>
      <c r="BH71" s="45">
        <v>-1</v>
      </c>
      <c r="BI71" s="45">
        <v>-1</v>
      </c>
      <c r="BJ71" s="28">
        <v>1</v>
      </c>
      <c r="BK71" s="36">
        <v>56.485340314136117</v>
      </c>
      <c r="BL71" s="43">
        <v>0.72834645669291342</v>
      </c>
      <c r="BM71" s="45">
        <v>3</v>
      </c>
      <c r="BN71" s="36">
        <v>56.485340314136117</v>
      </c>
      <c r="BO71" s="43">
        <v>0.72834645669291342</v>
      </c>
    </row>
    <row r="72" spans="1:68" ht="15" customHeight="1" x14ac:dyDescent="0.25">
      <c r="A72" s="50">
        <v>71</v>
      </c>
      <c r="B72" s="52" t="s">
        <v>226</v>
      </c>
      <c r="C72" s="68">
        <v>932040</v>
      </c>
      <c r="D72" s="36" t="s">
        <v>7</v>
      </c>
      <c r="E72" s="6" t="s">
        <v>17</v>
      </c>
      <c r="F72" s="39">
        <v>77.599999999999994</v>
      </c>
      <c r="G72" s="36">
        <v>77.599999999999994</v>
      </c>
      <c r="H72" s="36">
        <v>68.727712671174103</v>
      </c>
      <c r="I72" s="36">
        <v>85.046259842519689</v>
      </c>
      <c r="J72" s="36">
        <v>55.160709524293161</v>
      </c>
      <c r="K72" s="36">
        <v>15.682421580455925</v>
      </c>
      <c r="L72" s="36">
        <v>195176</v>
      </c>
      <c r="M72" s="36" t="s">
        <v>372</v>
      </c>
      <c r="N72" s="36">
        <v>100</v>
      </c>
      <c r="O72" s="36">
        <v>48.753926701570684</v>
      </c>
      <c r="P72" s="36">
        <v>202.81937137461213</v>
      </c>
      <c r="Q72" s="36">
        <v>40.032148649379316</v>
      </c>
      <c r="R72" s="36">
        <v>15.872157232417431</v>
      </c>
      <c r="S72" s="36">
        <v>6.9461515184674569</v>
      </c>
      <c r="T72" s="36">
        <v>195176</v>
      </c>
      <c r="U72" s="36" t="s">
        <v>372</v>
      </c>
      <c r="V72" s="36">
        <v>100</v>
      </c>
      <c r="W72" s="36">
        <v>-1</v>
      </c>
      <c r="X72" s="102">
        <v>-1</v>
      </c>
      <c r="Y72" s="29">
        <v>0.78300000000000003</v>
      </c>
      <c r="Z72" s="47">
        <v>0.29520000000000002</v>
      </c>
      <c r="AA72" s="46">
        <v>85</v>
      </c>
      <c r="AB72" s="50">
        <v>19092</v>
      </c>
      <c r="AC72" s="50" t="s">
        <v>160</v>
      </c>
      <c r="AD72" s="50">
        <v>100</v>
      </c>
      <c r="AE72" s="42">
        <v>25</v>
      </c>
      <c r="AF72" s="43">
        <v>0.8</v>
      </c>
      <c r="AG72" s="36">
        <v>70</v>
      </c>
      <c r="AH72" s="35">
        <v>0.21284216688576929</v>
      </c>
      <c r="AI72" s="50">
        <v>40450</v>
      </c>
      <c r="AJ72" s="50" t="s">
        <v>148</v>
      </c>
      <c r="AK72" s="50">
        <v>100</v>
      </c>
      <c r="AL72" s="34">
        <v>24</v>
      </c>
      <c r="AM72" s="43">
        <v>0.9</v>
      </c>
      <c r="AN72" s="35">
        <v>0.18302656098939335</v>
      </c>
      <c r="AO72" s="35">
        <v>0.26819733689534864</v>
      </c>
      <c r="AP72" s="35">
        <v>0.55270397130460358</v>
      </c>
      <c r="AQ72" s="83">
        <v>0.5291460971178501</v>
      </c>
      <c r="AR72" s="46">
        <v>195176</v>
      </c>
      <c r="AS72" s="50" t="s">
        <v>372</v>
      </c>
      <c r="AT72" s="50">
        <v>100</v>
      </c>
      <c r="AU72" s="44">
        <v>-1</v>
      </c>
      <c r="AV72" s="48">
        <v>-1</v>
      </c>
      <c r="AW72" s="48">
        <v>-1</v>
      </c>
      <c r="AX72" s="48">
        <v>-1</v>
      </c>
      <c r="AY72" s="48">
        <v>-1</v>
      </c>
      <c r="AZ72" s="45">
        <v>1</v>
      </c>
      <c r="BA72" s="36">
        <v>81</v>
      </c>
      <c r="BB72" s="43">
        <v>1.0433070866141732</v>
      </c>
      <c r="BC72" s="45">
        <v>-1</v>
      </c>
      <c r="BD72" s="45">
        <v>-1</v>
      </c>
      <c r="BE72" s="45">
        <v>-1</v>
      </c>
      <c r="BF72" s="45">
        <v>-1</v>
      </c>
      <c r="BG72" s="45">
        <v>100</v>
      </c>
      <c r="BH72" s="45">
        <v>-1</v>
      </c>
      <c r="BI72" s="45">
        <v>-1</v>
      </c>
      <c r="BJ72" s="28">
        <v>1</v>
      </c>
      <c r="BK72" s="36">
        <v>78.412565445026175</v>
      </c>
      <c r="BL72" s="43">
        <v>0.72834645669291342</v>
      </c>
      <c r="BM72" s="45">
        <v>3</v>
      </c>
      <c r="BN72" s="36">
        <v>78.412565445026175</v>
      </c>
      <c r="BO72" s="43">
        <v>0.72834645669291342</v>
      </c>
    </row>
    <row r="73" spans="1:68" ht="15" customHeight="1" x14ac:dyDescent="0.25">
      <c r="A73" s="50">
        <v>72</v>
      </c>
      <c r="B73" s="52" t="s">
        <v>227</v>
      </c>
      <c r="C73" s="68">
        <v>912061</v>
      </c>
      <c r="D73" s="45" t="s">
        <v>7</v>
      </c>
      <c r="E73" s="11" t="s">
        <v>16</v>
      </c>
      <c r="F73" s="39">
        <v>19.399999999999999</v>
      </c>
      <c r="G73" s="36">
        <v>19.399999999999999</v>
      </c>
      <c r="H73" s="36">
        <v>13.302857142857142</v>
      </c>
      <c r="I73" s="36">
        <v>48.154527559055119</v>
      </c>
      <c r="J73" s="36">
        <v>33.991431218156549</v>
      </c>
      <c r="K73" s="36">
        <v>9.0643816581750816</v>
      </c>
      <c r="L73" s="36">
        <v>28766</v>
      </c>
      <c r="M73" s="36" t="s">
        <v>137</v>
      </c>
      <c r="N73" s="36">
        <v>100</v>
      </c>
      <c r="O73" s="36">
        <v>11.639999999999999</v>
      </c>
      <c r="P73" s="36">
        <v>26.051428571428566</v>
      </c>
      <c r="Q73" s="36">
        <v>28.326192681797131</v>
      </c>
      <c r="R73" s="36">
        <v>14.163096340898566</v>
      </c>
      <c r="S73" s="36">
        <v>5.0987146827234833</v>
      </c>
      <c r="T73" s="36">
        <v>28766</v>
      </c>
      <c r="U73" s="36" t="s">
        <v>137</v>
      </c>
      <c r="V73" s="36">
        <v>100</v>
      </c>
      <c r="W73" s="36">
        <v>1</v>
      </c>
      <c r="X73" s="102">
        <v>3</v>
      </c>
      <c r="Y73" s="29">
        <v>49.5</v>
      </c>
      <c r="Z73" s="47">
        <v>7</v>
      </c>
      <c r="AA73" s="46">
        <v>85</v>
      </c>
      <c r="AB73" s="46">
        <v>28862</v>
      </c>
      <c r="AC73" s="46" t="s">
        <v>376</v>
      </c>
      <c r="AD73" s="46">
        <v>100</v>
      </c>
      <c r="AE73" s="42">
        <v>16</v>
      </c>
      <c r="AF73" s="43">
        <v>1</v>
      </c>
      <c r="AG73" s="36">
        <v>85</v>
      </c>
      <c r="AH73" s="35">
        <v>8.2500000000000004E-2</v>
      </c>
      <c r="AI73" s="46">
        <v>40450</v>
      </c>
      <c r="AJ73" s="46" t="s">
        <v>148</v>
      </c>
      <c r="AK73" s="46">
        <v>100</v>
      </c>
      <c r="AL73" s="34">
        <v>4.9885714285714275</v>
      </c>
      <c r="AM73" s="43">
        <v>0.75</v>
      </c>
      <c r="AN73" s="35">
        <v>6.6514285714285706E-2</v>
      </c>
      <c r="AO73" s="35">
        <v>7.7599999999999988E-2</v>
      </c>
      <c r="AP73" s="35">
        <v>0.2217142857142857</v>
      </c>
      <c r="AQ73" s="83">
        <v>0.33257142857142857</v>
      </c>
      <c r="AR73" s="46">
        <v>28766</v>
      </c>
      <c r="AS73" s="46" t="s">
        <v>137</v>
      </c>
      <c r="AT73" s="46">
        <v>100</v>
      </c>
      <c r="AU73" s="44">
        <v>-1</v>
      </c>
      <c r="AV73" s="48">
        <v>-1</v>
      </c>
      <c r="AW73" s="48">
        <v>-1</v>
      </c>
      <c r="AX73" s="48">
        <v>-1</v>
      </c>
      <c r="AY73" s="48">
        <v>-1</v>
      </c>
      <c r="AZ73" s="45">
        <v>1</v>
      </c>
      <c r="BA73" s="36">
        <v>19.399999999999999</v>
      </c>
      <c r="BB73" s="43">
        <v>1</v>
      </c>
      <c r="BC73" s="45">
        <v>-1</v>
      </c>
      <c r="BD73" s="45">
        <v>-1</v>
      </c>
      <c r="BE73" s="45">
        <v>-1</v>
      </c>
      <c r="BF73" s="45">
        <v>100</v>
      </c>
      <c r="BG73" s="45">
        <v>-1</v>
      </c>
      <c r="BH73" s="45">
        <v>-1</v>
      </c>
      <c r="BI73" s="45">
        <v>-1</v>
      </c>
      <c r="BJ73" s="28">
        <v>1</v>
      </c>
      <c r="BK73" s="36">
        <v>17.737142857142857</v>
      </c>
      <c r="BL73" s="43">
        <v>1.25</v>
      </c>
      <c r="BM73" s="45">
        <v>3</v>
      </c>
      <c r="BN73" s="36">
        <v>17.737142857142857</v>
      </c>
      <c r="BO73" s="43">
        <v>1.25</v>
      </c>
    </row>
    <row r="74" spans="1:68" ht="15" customHeight="1" x14ac:dyDescent="0.25">
      <c r="A74" s="50">
        <v>73</v>
      </c>
      <c r="B74" s="52" t="s">
        <v>228</v>
      </c>
      <c r="C74" s="68">
        <v>922061</v>
      </c>
      <c r="D74" s="45" t="s">
        <v>7</v>
      </c>
      <c r="E74" s="11" t="s">
        <v>16</v>
      </c>
      <c r="F74" s="39">
        <v>55.5</v>
      </c>
      <c r="G74" s="36">
        <v>55.5</v>
      </c>
      <c r="H74" s="36">
        <v>38.057142857142857</v>
      </c>
      <c r="I74" s="36">
        <v>52.041666666666664</v>
      </c>
      <c r="J74" s="36">
        <v>36.735294117647058</v>
      </c>
      <c r="K74" s="36">
        <v>9.796078431372548</v>
      </c>
      <c r="L74" s="36">
        <v>28766</v>
      </c>
      <c r="M74" s="36" t="s">
        <v>137</v>
      </c>
      <c r="N74" s="36">
        <v>100</v>
      </c>
      <c r="O74" s="36">
        <v>33.299999999999997</v>
      </c>
      <c r="P74" s="36">
        <v>74.528571428571425</v>
      </c>
      <c r="Q74" s="36">
        <v>30.612745098039213</v>
      </c>
      <c r="R74" s="36">
        <v>15.306372549019606</v>
      </c>
      <c r="S74" s="36">
        <v>5.5102941176470592</v>
      </c>
      <c r="T74" s="36">
        <v>28766</v>
      </c>
      <c r="U74" s="36" t="s">
        <v>137</v>
      </c>
      <c r="V74" s="36">
        <v>100</v>
      </c>
      <c r="W74" s="36">
        <v>1</v>
      </c>
      <c r="X74" s="102">
        <v>3</v>
      </c>
      <c r="Y74" s="29">
        <v>33.375</v>
      </c>
      <c r="Z74" s="47">
        <v>7</v>
      </c>
      <c r="AA74" s="46">
        <v>85</v>
      </c>
      <c r="AB74" s="46">
        <v>28862</v>
      </c>
      <c r="AC74" s="46" t="s">
        <v>376</v>
      </c>
      <c r="AD74" s="46">
        <v>100</v>
      </c>
      <c r="AE74" s="42">
        <v>11</v>
      </c>
      <c r="AF74" s="43">
        <v>1</v>
      </c>
      <c r="AG74" s="36">
        <v>85</v>
      </c>
      <c r="AH74" s="35">
        <v>5.5625000000000001E-2</v>
      </c>
      <c r="AI74" s="46">
        <v>40450</v>
      </c>
      <c r="AJ74" s="46" t="s">
        <v>148</v>
      </c>
      <c r="AK74" s="46">
        <v>100</v>
      </c>
      <c r="AL74" s="34">
        <v>14.271428571428572</v>
      </c>
      <c r="AM74" s="43">
        <v>0.75</v>
      </c>
      <c r="AN74" s="35">
        <v>0.19028571428571428</v>
      </c>
      <c r="AO74" s="35">
        <v>0.22199999999999998</v>
      </c>
      <c r="AP74" s="35">
        <v>0.63428571428571423</v>
      </c>
      <c r="AQ74" s="83">
        <v>0.9514285714285714</v>
      </c>
      <c r="AR74" s="46">
        <v>28766</v>
      </c>
      <c r="AS74" s="46" t="s">
        <v>137</v>
      </c>
      <c r="AT74" s="46">
        <v>100</v>
      </c>
      <c r="AU74" s="44">
        <v>-1</v>
      </c>
      <c r="AV74" s="48">
        <v>-1</v>
      </c>
      <c r="AW74" s="48">
        <v>-1</v>
      </c>
      <c r="AX74" s="48">
        <v>-1</v>
      </c>
      <c r="AY74" s="48">
        <v>-1</v>
      </c>
      <c r="AZ74" s="45">
        <v>1</v>
      </c>
      <c r="BA74" s="36">
        <v>55.5</v>
      </c>
      <c r="BB74" s="43">
        <v>1</v>
      </c>
      <c r="BC74" s="45">
        <v>-1</v>
      </c>
      <c r="BD74" s="45">
        <v>-1</v>
      </c>
      <c r="BE74" s="45">
        <v>-1</v>
      </c>
      <c r="BF74" s="45">
        <v>100</v>
      </c>
      <c r="BG74" s="45">
        <v>-1</v>
      </c>
      <c r="BH74" s="45">
        <v>-1</v>
      </c>
      <c r="BI74" s="45">
        <v>-1</v>
      </c>
      <c r="BJ74" s="28">
        <v>1</v>
      </c>
      <c r="BK74" s="36">
        <v>50.74285714285714</v>
      </c>
      <c r="BL74" s="43">
        <v>1.25</v>
      </c>
      <c r="BM74" s="45">
        <v>3</v>
      </c>
      <c r="BN74" s="36">
        <v>50.74285714285714</v>
      </c>
      <c r="BO74" s="43">
        <v>1.25</v>
      </c>
    </row>
    <row r="75" spans="1:68" ht="15" customHeight="1" x14ac:dyDescent="0.25">
      <c r="A75" s="50">
        <v>74</v>
      </c>
      <c r="B75" s="36">
        <v>2091</v>
      </c>
      <c r="C75" s="46">
        <v>2091</v>
      </c>
      <c r="D75" s="45" t="s">
        <v>7</v>
      </c>
      <c r="E75" s="24" t="s">
        <v>353</v>
      </c>
      <c r="F75" s="39">
        <v>24.5</v>
      </c>
      <c r="G75" s="36">
        <v>15.450450450450449</v>
      </c>
      <c r="H75" s="36">
        <v>22.13459918842355</v>
      </c>
      <c r="I75" s="36">
        <v>74.900000000000006</v>
      </c>
      <c r="J75" s="36">
        <v>52.511701370870369</v>
      </c>
      <c r="K75" s="36">
        <v>13.408373437972671</v>
      </c>
      <c r="L75" s="36">
        <v>18035</v>
      </c>
      <c r="M75" s="36" t="s">
        <v>370</v>
      </c>
      <c r="N75" s="36">
        <v>100</v>
      </c>
      <c r="O75" s="36">
        <v>24.5</v>
      </c>
      <c r="P75" s="36">
        <v>45.180307786540077</v>
      </c>
      <c r="Q75" s="36">
        <v>47.997136288946884</v>
      </c>
      <c r="R75" s="36">
        <v>24.688602376076954</v>
      </c>
      <c r="S75" s="36">
        <v>6.7118707618419551</v>
      </c>
      <c r="T75" s="36">
        <v>18035</v>
      </c>
      <c r="U75" s="36" t="s">
        <v>370</v>
      </c>
      <c r="V75" s="36">
        <v>100</v>
      </c>
      <c r="W75" s="36">
        <v>-1</v>
      </c>
      <c r="X75" s="102">
        <v>-1</v>
      </c>
      <c r="Y75" s="29">
        <v>7.8</v>
      </c>
      <c r="Z75" s="47">
        <v>2.6</v>
      </c>
      <c r="AA75" s="46">
        <v>85</v>
      </c>
      <c r="AB75" s="50">
        <v>18148</v>
      </c>
      <c r="AC75" s="50" t="s">
        <v>371</v>
      </c>
      <c r="AD75" s="50">
        <v>100</v>
      </c>
      <c r="AE75" s="42">
        <v>11</v>
      </c>
      <c r="AF75" s="43">
        <v>1.1000000000000001</v>
      </c>
      <c r="AG75" s="36">
        <v>70</v>
      </c>
      <c r="AH75" s="35">
        <v>0.56000000000000005</v>
      </c>
      <c r="AI75" s="50">
        <v>40792</v>
      </c>
      <c r="AJ75" s="50" t="s">
        <v>365</v>
      </c>
      <c r="AK75" s="50">
        <v>100</v>
      </c>
      <c r="AL75" s="34">
        <v>17</v>
      </c>
      <c r="AM75" s="43">
        <v>2.9</v>
      </c>
      <c r="AN75" s="35">
        <v>0.03</v>
      </c>
      <c r="AO75" s="35">
        <v>0.37</v>
      </c>
      <c r="AP75" s="35">
        <v>0.54</v>
      </c>
      <c r="AQ75" s="83">
        <v>1.22</v>
      </c>
      <c r="AR75" s="46">
        <v>18035</v>
      </c>
      <c r="AS75" s="50" t="s">
        <v>370</v>
      </c>
      <c r="AT75" s="50">
        <v>100</v>
      </c>
      <c r="AU75" s="44">
        <v>-1</v>
      </c>
      <c r="AV75" s="48">
        <v>-1</v>
      </c>
      <c r="AW75" s="48">
        <v>-1</v>
      </c>
      <c r="AX75" s="48">
        <v>-1</v>
      </c>
      <c r="AY75" s="48">
        <v>-1</v>
      </c>
      <c r="AZ75" s="45">
        <v>1</v>
      </c>
      <c r="BA75" s="36">
        <v>30.2</v>
      </c>
      <c r="BB75" s="43">
        <v>2.21</v>
      </c>
      <c r="BC75" s="45">
        <v>100</v>
      </c>
      <c r="BD75" s="45">
        <v>-1</v>
      </c>
      <c r="BE75" s="45">
        <v>-1</v>
      </c>
      <c r="BF75" s="45">
        <v>-1</v>
      </c>
      <c r="BG75" s="45">
        <v>-1</v>
      </c>
      <c r="BH75" s="45">
        <v>-1</v>
      </c>
      <c r="BI75" s="45">
        <v>-1</v>
      </c>
      <c r="BJ75" s="28">
        <v>1</v>
      </c>
      <c r="BK75" s="36">
        <v>30.1</v>
      </c>
      <c r="BL75" s="43">
        <v>1</v>
      </c>
      <c r="BM75" s="45">
        <v>3</v>
      </c>
      <c r="BN75" s="36">
        <v>30.1</v>
      </c>
      <c r="BO75" s="43">
        <v>1</v>
      </c>
    </row>
    <row r="76" spans="1:68" ht="15" customHeight="1" x14ac:dyDescent="0.25">
      <c r="A76" s="50">
        <v>75</v>
      </c>
      <c r="B76" s="36">
        <v>2110</v>
      </c>
      <c r="C76" s="46">
        <v>2110</v>
      </c>
      <c r="D76" s="45" t="s">
        <v>7</v>
      </c>
      <c r="E76" s="12" t="s">
        <v>9</v>
      </c>
      <c r="F76" s="39">
        <v>18.309999999999999</v>
      </c>
      <c r="G76" s="36">
        <v>18.309999999999999</v>
      </c>
      <c r="H76" s="36">
        <v>12.555428571428571</v>
      </c>
      <c r="I76" s="36">
        <v>41.6</v>
      </c>
      <c r="J76" s="36">
        <v>29.36470588235294</v>
      </c>
      <c r="K76" s="36">
        <v>7.8305882352941181</v>
      </c>
      <c r="L76" s="36">
        <v>28766</v>
      </c>
      <c r="M76" s="36" t="s">
        <v>137</v>
      </c>
      <c r="N76" s="36">
        <v>100</v>
      </c>
      <c r="O76" s="36">
        <v>10.985999999999999</v>
      </c>
      <c r="P76" s="36">
        <v>24.587714285714281</v>
      </c>
      <c r="Q76" s="36">
        <v>24.470588235294116</v>
      </c>
      <c r="R76" s="36">
        <v>12.235294117647058</v>
      </c>
      <c r="S76" s="36">
        <v>4.4047058823529417</v>
      </c>
      <c r="T76" s="36">
        <v>28766</v>
      </c>
      <c r="U76" s="36" t="s">
        <v>137</v>
      </c>
      <c r="V76" s="36">
        <v>100</v>
      </c>
      <c r="W76" s="36">
        <v>1</v>
      </c>
      <c r="X76" s="102">
        <v>3</v>
      </c>
      <c r="Y76" s="29">
        <v>40.6477</v>
      </c>
      <c r="Z76" s="47">
        <v>7</v>
      </c>
      <c r="AA76" s="46">
        <v>85</v>
      </c>
      <c r="AB76" s="50">
        <v>28862</v>
      </c>
      <c r="AC76" s="50" t="s">
        <v>376</v>
      </c>
      <c r="AD76" s="50">
        <v>100</v>
      </c>
      <c r="AE76" s="42">
        <v>30</v>
      </c>
      <c r="AF76" s="43">
        <v>1</v>
      </c>
      <c r="AG76" s="36">
        <v>85</v>
      </c>
      <c r="AH76" s="35">
        <v>0.15</v>
      </c>
      <c r="AI76" s="50">
        <v>40450</v>
      </c>
      <c r="AJ76" s="50" t="s">
        <v>148</v>
      </c>
      <c r="AK76" s="50">
        <v>100</v>
      </c>
      <c r="AL76" s="34">
        <v>15.160551428571429</v>
      </c>
      <c r="AM76" s="43">
        <v>0.75</v>
      </c>
      <c r="AN76" s="35">
        <v>0.20214068571428573</v>
      </c>
      <c r="AO76" s="35">
        <v>0.23583080000000001</v>
      </c>
      <c r="AP76" s="35">
        <v>0.6738022857142858</v>
      </c>
      <c r="AQ76" s="83">
        <v>1.0107034285714287</v>
      </c>
      <c r="AR76" s="46">
        <v>28766</v>
      </c>
      <c r="AS76" s="50" t="s">
        <v>137</v>
      </c>
      <c r="AT76" s="50">
        <v>100</v>
      </c>
      <c r="AU76" s="44">
        <v>-1</v>
      </c>
      <c r="AV76" s="48">
        <v>-1</v>
      </c>
      <c r="AW76" s="48">
        <v>-1</v>
      </c>
      <c r="AX76" s="48">
        <v>-1</v>
      </c>
      <c r="AY76" s="48">
        <v>-1</v>
      </c>
      <c r="AZ76" s="45">
        <v>1</v>
      </c>
      <c r="BA76" s="36">
        <v>88.957700000000003</v>
      </c>
      <c r="BB76" s="43">
        <v>1</v>
      </c>
      <c r="BC76" s="45">
        <v>-1</v>
      </c>
      <c r="BD76" s="45">
        <v>-1</v>
      </c>
      <c r="BE76" s="45">
        <v>-1</v>
      </c>
      <c r="BF76" s="45">
        <v>70</v>
      </c>
      <c r="BG76" s="45">
        <v>-1</v>
      </c>
      <c r="BH76" s="45">
        <v>-1</v>
      </c>
      <c r="BI76" s="45">
        <v>30</v>
      </c>
      <c r="BJ76" s="28">
        <v>1</v>
      </c>
      <c r="BK76" s="36">
        <v>53.904182857142857</v>
      </c>
      <c r="BL76" s="43">
        <v>1.25</v>
      </c>
      <c r="BM76" s="45">
        <v>3</v>
      </c>
      <c r="BN76" s="36">
        <v>53.904182857142857</v>
      </c>
      <c r="BO76" s="43">
        <v>1.25</v>
      </c>
    </row>
    <row r="77" spans="1:68" ht="15" customHeight="1" x14ac:dyDescent="0.25">
      <c r="A77" s="50">
        <v>76</v>
      </c>
      <c r="B77" s="36">
        <v>2120</v>
      </c>
      <c r="C77" s="46">
        <v>2120</v>
      </c>
      <c r="D77" s="45" t="s">
        <v>7</v>
      </c>
      <c r="E77" s="13" t="s">
        <v>8</v>
      </c>
      <c r="F77" s="39">
        <v>6.97</v>
      </c>
      <c r="G77" s="36">
        <v>6.97</v>
      </c>
      <c r="H77" s="36">
        <v>4.7794285714285714</v>
      </c>
      <c r="I77" s="36">
        <v>36.799999999999997</v>
      </c>
      <c r="J77" s="36">
        <v>25.976470588235294</v>
      </c>
      <c r="K77" s="36">
        <v>6.9270588235294115</v>
      </c>
      <c r="L77" s="36">
        <v>28766</v>
      </c>
      <c r="M77" s="36" t="s">
        <v>137</v>
      </c>
      <c r="N77" s="36">
        <v>100</v>
      </c>
      <c r="O77" s="36">
        <v>4.1820000000000004</v>
      </c>
      <c r="P77" s="36">
        <v>9.3597142857142863</v>
      </c>
      <c r="Q77" s="36">
        <v>21.647058823529409</v>
      </c>
      <c r="R77" s="36">
        <v>10.823529411764705</v>
      </c>
      <c r="S77" s="36">
        <v>3.8964705882352941</v>
      </c>
      <c r="T77" s="36">
        <v>28766</v>
      </c>
      <c r="U77" s="36" t="s">
        <v>137</v>
      </c>
      <c r="V77" s="36">
        <v>100</v>
      </c>
      <c r="W77" s="36">
        <v>1</v>
      </c>
      <c r="X77" s="102">
        <v>3</v>
      </c>
      <c r="Y77" s="29">
        <v>14.517200000000003</v>
      </c>
      <c r="Z77" s="47">
        <v>7</v>
      </c>
      <c r="AA77" s="46">
        <v>85</v>
      </c>
      <c r="AB77" s="50">
        <v>28862</v>
      </c>
      <c r="AC77" s="50" t="s">
        <v>376</v>
      </c>
      <c r="AD77" s="50">
        <v>100</v>
      </c>
      <c r="AE77" s="42">
        <v>60</v>
      </c>
      <c r="AF77" s="43">
        <v>1</v>
      </c>
      <c r="AG77" s="36">
        <v>85</v>
      </c>
      <c r="AH77" s="35">
        <v>0.3</v>
      </c>
      <c r="AI77" s="50">
        <v>40450</v>
      </c>
      <c r="AJ77" s="50" t="s">
        <v>148</v>
      </c>
      <c r="AK77" s="50">
        <v>100</v>
      </c>
      <c r="AL77" s="34">
        <v>5.5252800000000004</v>
      </c>
      <c r="AM77" s="43">
        <v>0.75</v>
      </c>
      <c r="AN77" s="35">
        <v>7.3670399999999997E-2</v>
      </c>
      <c r="AO77" s="35">
        <v>8.5948800000000006E-2</v>
      </c>
      <c r="AP77" s="35">
        <v>0.24556800000000001</v>
      </c>
      <c r="AQ77" s="83">
        <v>0.36835200000000001</v>
      </c>
      <c r="AR77" s="46">
        <v>28766</v>
      </c>
      <c r="AS77" s="50" t="s">
        <v>137</v>
      </c>
      <c r="AT77" s="50">
        <v>100</v>
      </c>
      <c r="AU77" s="44">
        <v>-1</v>
      </c>
      <c r="AV77" s="48">
        <v>-1</v>
      </c>
      <c r="AW77" s="48">
        <v>-1</v>
      </c>
      <c r="AX77" s="48">
        <v>-1</v>
      </c>
      <c r="AY77" s="48">
        <v>-1</v>
      </c>
      <c r="AZ77" s="45">
        <v>1</v>
      </c>
      <c r="BA77" s="36">
        <v>81.487200000000001</v>
      </c>
      <c r="BB77" s="43">
        <v>1</v>
      </c>
      <c r="BC77" s="45">
        <v>-1</v>
      </c>
      <c r="BD77" s="45">
        <v>-1</v>
      </c>
      <c r="BE77" s="45">
        <v>-1</v>
      </c>
      <c r="BF77" s="45">
        <v>40</v>
      </c>
      <c r="BG77" s="45">
        <v>-1</v>
      </c>
      <c r="BH77" s="45">
        <v>-1</v>
      </c>
      <c r="BI77" s="45">
        <v>60</v>
      </c>
      <c r="BJ77" s="28">
        <v>1</v>
      </c>
      <c r="BK77" s="36">
        <v>19.645440000000001</v>
      </c>
      <c r="BL77" s="43">
        <v>1.25</v>
      </c>
      <c r="BM77" s="45">
        <v>3</v>
      </c>
      <c r="BN77" s="36">
        <v>19.645440000000001</v>
      </c>
      <c r="BO77" s="43">
        <v>1.25</v>
      </c>
    </row>
    <row r="78" spans="1:68" ht="15" customHeight="1" x14ac:dyDescent="0.25">
      <c r="A78" s="50">
        <v>77</v>
      </c>
      <c r="B78" s="36">
        <v>2130</v>
      </c>
      <c r="C78" s="46">
        <v>2130</v>
      </c>
      <c r="D78" s="45" t="s">
        <v>7</v>
      </c>
      <c r="E78" s="14" t="s">
        <v>10</v>
      </c>
      <c r="F78" s="39">
        <v>-3</v>
      </c>
      <c r="G78" s="36">
        <v>-3</v>
      </c>
      <c r="H78" s="36">
        <v>-3</v>
      </c>
      <c r="I78" s="36">
        <v>-3</v>
      </c>
      <c r="J78" s="36">
        <v>-3</v>
      </c>
      <c r="K78" s="36">
        <v>-3</v>
      </c>
      <c r="L78" s="45">
        <v>-3</v>
      </c>
      <c r="M78" s="45">
        <v>-3</v>
      </c>
      <c r="N78" s="45">
        <v>-3</v>
      </c>
      <c r="O78" s="36">
        <v>-3</v>
      </c>
      <c r="P78" s="36">
        <v>-3</v>
      </c>
      <c r="Q78" s="36">
        <v>-3</v>
      </c>
      <c r="R78" s="36">
        <v>-3</v>
      </c>
      <c r="S78" s="36">
        <v>-3</v>
      </c>
      <c r="T78" s="45">
        <v>-3</v>
      </c>
      <c r="U78" s="45">
        <v>-3</v>
      </c>
      <c r="V78" s="45">
        <v>-3</v>
      </c>
      <c r="W78" s="45">
        <v>-3</v>
      </c>
      <c r="X78" s="103">
        <v>-3</v>
      </c>
      <c r="Y78" s="29">
        <v>52</v>
      </c>
      <c r="Z78" s="47">
        <v>5</v>
      </c>
      <c r="AA78" s="46">
        <v>85</v>
      </c>
      <c r="AB78" s="50">
        <v>28675</v>
      </c>
      <c r="AC78" s="50" t="s">
        <v>375</v>
      </c>
      <c r="AD78" s="50">
        <v>100</v>
      </c>
      <c r="AE78" s="42">
        <v>36</v>
      </c>
      <c r="AF78" s="43">
        <v>1.4</v>
      </c>
      <c r="AG78" s="36">
        <v>85</v>
      </c>
      <c r="AH78" s="35">
        <v>3.3</v>
      </c>
      <c r="AI78" s="50">
        <v>40450</v>
      </c>
      <c r="AJ78" s="50" t="s">
        <v>148</v>
      </c>
      <c r="AK78" s="50">
        <v>100</v>
      </c>
      <c r="AL78" s="34">
        <v>29.85645933014354</v>
      </c>
      <c r="AM78" s="43">
        <v>0.64688995215311018</v>
      </c>
      <c r="AN78" s="35">
        <v>0.64688995215311018</v>
      </c>
      <c r="AO78" s="35">
        <v>1.3933014354066986</v>
      </c>
      <c r="AP78" s="35">
        <v>0.34832535885167465</v>
      </c>
      <c r="AQ78" s="83">
        <v>0</v>
      </c>
      <c r="AR78" s="50">
        <v>28675</v>
      </c>
      <c r="AS78" s="50" t="s">
        <v>375</v>
      </c>
      <c r="AT78" s="50">
        <v>100</v>
      </c>
      <c r="AU78" s="44">
        <v>-1</v>
      </c>
      <c r="AV78" s="48">
        <v>-1</v>
      </c>
      <c r="AW78" s="48">
        <v>-1</v>
      </c>
      <c r="AX78" s="48">
        <v>-1</v>
      </c>
      <c r="AY78" s="48">
        <v>-1</v>
      </c>
      <c r="AZ78" s="45">
        <v>1</v>
      </c>
      <c r="BA78" s="36">
        <v>70</v>
      </c>
      <c r="BB78" s="43">
        <v>1.3</v>
      </c>
      <c r="BC78" s="45">
        <v>-1</v>
      </c>
      <c r="BD78" s="45">
        <v>-1</v>
      </c>
      <c r="BE78" s="45">
        <v>-1</v>
      </c>
      <c r="BF78" s="45">
        <v>-1</v>
      </c>
      <c r="BG78" s="45">
        <v>70</v>
      </c>
      <c r="BH78" s="45">
        <v>-1</v>
      </c>
      <c r="BI78" s="45">
        <v>30</v>
      </c>
      <c r="BJ78" s="28">
        <v>-1</v>
      </c>
      <c r="BK78" s="48">
        <v>-1</v>
      </c>
      <c r="BL78" s="48">
        <v>-1</v>
      </c>
      <c r="BM78" s="48">
        <v>-1</v>
      </c>
      <c r="BN78" s="48">
        <v>-1</v>
      </c>
      <c r="BO78" s="48">
        <v>-1</v>
      </c>
    </row>
    <row r="79" spans="1:68" ht="15" customHeight="1" x14ac:dyDescent="0.25">
      <c r="A79" s="50">
        <v>78</v>
      </c>
      <c r="B79" s="36">
        <v>2140</v>
      </c>
      <c r="C79" s="46">
        <v>2140</v>
      </c>
      <c r="D79" s="45" t="s">
        <v>7</v>
      </c>
      <c r="E79" s="15" t="s">
        <v>14</v>
      </c>
      <c r="F79" s="39">
        <v>-3</v>
      </c>
      <c r="G79" s="36">
        <v>-3</v>
      </c>
      <c r="H79" s="36">
        <v>-3</v>
      </c>
      <c r="I79" s="36">
        <v>-3</v>
      </c>
      <c r="J79" s="36">
        <v>-3</v>
      </c>
      <c r="K79" s="36">
        <v>-3</v>
      </c>
      <c r="L79" s="45">
        <v>-3</v>
      </c>
      <c r="M79" s="45">
        <v>-3</v>
      </c>
      <c r="N79" s="45">
        <v>-3</v>
      </c>
      <c r="O79" s="36">
        <v>-3</v>
      </c>
      <c r="P79" s="36">
        <v>-3</v>
      </c>
      <c r="Q79" s="36">
        <v>-3</v>
      </c>
      <c r="R79" s="36">
        <v>-3</v>
      </c>
      <c r="S79" s="36">
        <v>-3</v>
      </c>
      <c r="T79" s="45">
        <v>-3</v>
      </c>
      <c r="U79" s="45">
        <v>-3</v>
      </c>
      <c r="V79" s="45">
        <v>-3</v>
      </c>
      <c r="W79" s="45">
        <v>-3</v>
      </c>
      <c r="X79" s="103">
        <v>-3</v>
      </c>
      <c r="Y79" s="81">
        <v>-3</v>
      </c>
      <c r="Z79" s="19">
        <v>-3</v>
      </c>
      <c r="AA79" s="48">
        <v>-3</v>
      </c>
      <c r="AB79" s="10">
        <v>-3</v>
      </c>
      <c r="AC79" s="10">
        <v>-3</v>
      </c>
      <c r="AD79" s="10">
        <v>-3</v>
      </c>
      <c r="AE79" s="42">
        <v>75</v>
      </c>
      <c r="AF79" s="43">
        <v>1.5666666666666667</v>
      </c>
      <c r="AG79" s="36">
        <v>80</v>
      </c>
      <c r="AH79" s="35">
        <v>4.4483768611178913</v>
      </c>
      <c r="AI79" s="50">
        <v>40450</v>
      </c>
      <c r="AJ79" s="50" t="s">
        <v>148</v>
      </c>
      <c r="AK79" s="50">
        <v>100</v>
      </c>
      <c r="AL79" s="34">
        <v>-3</v>
      </c>
      <c r="AM79" s="48">
        <v>-3</v>
      </c>
      <c r="AN79" s="48">
        <v>-3</v>
      </c>
      <c r="AO79" s="48">
        <v>-3</v>
      </c>
      <c r="AP79" s="48">
        <v>-3</v>
      </c>
      <c r="AQ79" s="48">
        <v>-3</v>
      </c>
      <c r="AR79" s="48">
        <v>-3</v>
      </c>
      <c r="AS79" s="10">
        <v>-3</v>
      </c>
      <c r="AT79" s="10">
        <v>-3</v>
      </c>
      <c r="AU79" s="44">
        <v>-1</v>
      </c>
      <c r="AV79" s="48">
        <v>-1</v>
      </c>
      <c r="AW79" s="48">
        <v>-1</v>
      </c>
      <c r="AX79" s="48">
        <v>-1</v>
      </c>
      <c r="AY79" s="48">
        <v>-1</v>
      </c>
      <c r="AZ79" s="45">
        <v>1</v>
      </c>
      <c r="BA79" s="36">
        <v>54.918232853307302</v>
      </c>
      <c r="BB79" s="43">
        <v>1.2</v>
      </c>
      <c r="BC79" s="45">
        <v>-1</v>
      </c>
      <c r="BD79" s="45">
        <v>-1</v>
      </c>
      <c r="BE79" s="45">
        <v>-1</v>
      </c>
      <c r="BF79" s="45">
        <v>-1</v>
      </c>
      <c r="BG79" s="45">
        <v>-1</v>
      </c>
      <c r="BH79" s="45">
        <v>-1</v>
      </c>
      <c r="BI79" s="45">
        <v>100</v>
      </c>
      <c r="BJ79" s="28">
        <v>-1</v>
      </c>
      <c r="BK79" s="48">
        <v>-1</v>
      </c>
      <c r="BL79" s="48">
        <v>-1</v>
      </c>
      <c r="BM79" s="48">
        <v>-1</v>
      </c>
      <c r="BN79" s="48">
        <v>-1</v>
      </c>
      <c r="BO79" s="48">
        <v>-1</v>
      </c>
    </row>
    <row r="80" spans="1:68" ht="15" customHeight="1" x14ac:dyDescent="0.25">
      <c r="A80" s="50">
        <v>79</v>
      </c>
      <c r="B80" s="36">
        <v>3022</v>
      </c>
      <c r="C80" s="36">
        <v>3022</v>
      </c>
      <c r="D80" s="22" t="s">
        <v>203</v>
      </c>
      <c r="E80" s="38" t="s">
        <v>428</v>
      </c>
      <c r="F80" s="39">
        <v>26.572199999999999</v>
      </c>
      <c r="G80" s="56">
        <v>26.572199999999999</v>
      </c>
      <c r="H80" s="67">
        <v>52.278012302521006</v>
      </c>
      <c r="I80" s="36">
        <v>53.314632545931751</v>
      </c>
      <c r="J80" s="67">
        <v>31.0634842519685</v>
      </c>
      <c r="K80" s="67">
        <v>12.577540385145227</v>
      </c>
      <c r="L80" s="36">
        <v>28766</v>
      </c>
      <c r="M80" s="36" t="s">
        <v>137</v>
      </c>
      <c r="N80" s="45">
        <v>100</v>
      </c>
      <c r="O80" s="43">
        <v>14.553073453608247</v>
      </c>
      <c r="P80" s="36">
        <v>35.954652061855668</v>
      </c>
      <c r="Q80" s="43">
        <v>31.738406943779808</v>
      </c>
      <c r="R80" s="43">
        <v>12.667732939632545</v>
      </c>
      <c r="S80" s="43">
        <v>7.5259053124229629</v>
      </c>
      <c r="T80" s="36">
        <v>28766</v>
      </c>
      <c r="U80" s="36" t="s">
        <v>137</v>
      </c>
      <c r="V80" s="36">
        <v>100</v>
      </c>
      <c r="W80" s="36">
        <v>1</v>
      </c>
      <c r="X80" s="102">
        <v>3</v>
      </c>
      <c r="Y80" s="29">
        <v>13</v>
      </c>
      <c r="Z80" s="45">
        <v>4</v>
      </c>
      <c r="AA80" s="45">
        <v>85</v>
      </c>
      <c r="AB80" s="45">
        <v>28862</v>
      </c>
      <c r="AC80" s="50" t="s">
        <v>376</v>
      </c>
      <c r="AD80" s="50">
        <v>100</v>
      </c>
      <c r="AE80" s="42">
        <v>60</v>
      </c>
      <c r="AF80" s="43">
        <v>0.5</v>
      </c>
      <c r="AG80" s="45">
        <v>0</v>
      </c>
      <c r="AH80" s="63">
        <v>0.28799999999999998</v>
      </c>
      <c r="AI80" s="50">
        <v>42269</v>
      </c>
      <c r="AJ80" s="50" t="s">
        <v>206</v>
      </c>
      <c r="AK80" s="50">
        <v>100</v>
      </c>
      <c r="AL80" s="34">
        <v>11.218922680412371</v>
      </c>
      <c r="AM80" s="43">
        <v>0.5932504605042016</v>
      </c>
      <c r="AN80" s="57">
        <v>0.5932504605042016</v>
      </c>
      <c r="AO80" s="57">
        <v>0.456244188235294</v>
      </c>
      <c r="AP80" s="57">
        <v>0.68104088739495772</v>
      </c>
      <c r="AQ80" s="87">
        <v>0.53034907216494853</v>
      </c>
      <c r="AR80" s="46">
        <v>28766</v>
      </c>
      <c r="AS80" s="50" t="s">
        <v>137</v>
      </c>
      <c r="AT80" s="50">
        <v>100</v>
      </c>
      <c r="AU80" s="44">
        <v>-1</v>
      </c>
      <c r="AV80" s="48">
        <v>-1</v>
      </c>
      <c r="AW80" s="48">
        <v>-1</v>
      </c>
      <c r="AX80" s="48">
        <v>-1</v>
      </c>
      <c r="AY80" s="48">
        <v>-1</v>
      </c>
      <c r="AZ80" s="59">
        <v>2</v>
      </c>
      <c r="BA80" s="43">
        <v>90</v>
      </c>
      <c r="BB80" s="59">
        <v>1</v>
      </c>
      <c r="BC80" s="59">
        <v>-1</v>
      </c>
      <c r="BD80" s="59">
        <v>-1</v>
      </c>
      <c r="BE80" s="59">
        <v>-1</v>
      </c>
      <c r="BF80" s="61">
        <v>27</v>
      </c>
      <c r="BG80" s="59">
        <v>13</v>
      </c>
      <c r="BH80" s="59">
        <v>-1</v>
      </c>
      <c r="BI80" s="59">
        <v>60</v>
      </c>
      <c r="BJ80" s="28">
        <v>1</v>
      </c>
      <c r="BK80" s="56">
        <v>32.6503300330033</v>
      </c>
      <c r="BL80" s="59">
        <v>0.2</v>
      </c>
      <c r="BM80" s="59">
        <v>3</v>
      </c>
      <c r="BN80" s="56">
        <v>29.385297029702965</v>
      </c>
      <c r="BO80" s="59">
        <v>0.15</v>
      </c>
    </row>
    <row r="81" spans="1:67" s="50" customFormat="1" ht="15" customHeight="1" x14ac:dyDescent="0.25">
      <c r="A81" s="50">
        <v>80</v>
      </c>
      <c r="B81" s="36">
        <v>3032</v>
      </c>
      <c r="C81" s="36">
        <v>3032</v>
      </c>
      <c r="D81" s="22" t="s">
        <v>203</v>
      </c>
      <c r="E81" s="39" t="s">
        <v>462</v>
      </c>
      <c r="F81" s="39">
        <v>20.523299999999999</v>
      </c>
      <c r="G81" s="56">
        <v>20.523299999999999</v>
      </c>
      <c r="H81" s="67">
        <v>40.37743694117647</v>
      </c>
      <c r="I81" s="36">
        <v>51.614173228346452</v>
      </c>
      <c r="J81" s="67">
        <v>30.072720765276241</v>
      </c>
      <c r="K81" s="67">
        <v>12.176382303040848</v>
      </c>
      <c r="L81" s="36">
        <v>28766</v>
      </c>
      <c r="M81" s="36" t="s">
        <v>137</v>
      </c>
      <c r="N81" s="45">
        <v>100</v>
      </c>
      <c r="O81" s="43">
        <v>11.240209407216495</v>
      </c>
      <c r="P81" s="36">
        <v>27.769929123711343</v>
      </c>
      <c r="Q81" s="43">
        <v>30.726116935659284</v>
      </c>
      <c r="R81" s="43">
        <v>12.263698184421163</v>
      </c>
      <c r="S81" s="43">
        <v>7.2858680993605081</v>
      </c>
      <c r="T81" s="36">
        <v>28766</v>
      </c>
      <c r="U81" s="36" t="s">
        <v>137</v>
      </c>
      <c r="V81" s="36">
        <v>100</v>
      </c>
      <c r="W81" s="36">
        <v>1</v>
      </c>
      <c r="X81" s="102">
        <v>3</v>
      </c>
      <c r="Y81" s="29">
        <v>39</v>
      </c>
      <c r="Z81" s="45">
        <v>4</v>
      </c>
      <c r="AA81" s="45">
        <v>85</v>
      </c>
      <c r="AB81" s="45">
        <v>28862</v>
      </c>
      <c r="AC81" s="50" t="s">
        <v>376</v>
      </c>
      <c r="AD81" s="50">
        <v>100</v>
      </c>
      <c r="AE81" s="42">
        <v>40</v>
      </c>
      <c r="AF81" s="43">
        <v>0.5</v>
      </c>
      <c r="AG81" s="45">
        <v>0</v>
      </c>
      <c r="AH81" s="63">
        <v>0.192</v>
      </c>
      <c r="AI81" s="50">
        <v>42269</v>
      </c>
      <c r="AJ81" s="50" t="s">
        <v>206</v>
      </c>
      <c r="AK81" s="50">
        <v>100</v>
      </c>
      <c r="AL81" s="34">
        <v>16.875162371134021</v>
      </c>
      <c r="AM81" s="43">
        <v>0.89234930420168057</v>
      </c>
      <c r="AN81" s="57">
        <v>0.89234930420168057</v>
      </c>
      <c r="AO81" s="57">
        <v>0.68626863529411752</v>
      </c>
      <c r="AP81" s="57">
        <v>1.0244009949579829</v>
      </c>
      <c r="AQ81" s="87">
        <v>0.79773494845360826</v>
      </c>
      <c r="AR81" s="46">
        <v>28766</v>
      </c>
      <c r="AS81" s="50" t="s">
        <v>137</v>
      </c>
      <c r="AT81" s="50">
        <v>100</v>
      </c>
      <c r="AU81" s="44">
        <v>-1</v>
      </c>
      <c r="AV81" s="48">
        <v>-1</v>
      </c>
      <c r="AW81" s="48">
        <v>-1</v>
      </c>
      <c r="AX81" s="48">
        <v>-1</v>
      </c>
      <c r="AY81" s="48">
        <v>-1</v>
      </c>
      <c r="AZ81" s="59">
        <v>1</v>
      </c>
      <c r="BA81" s="43">
        <v>90</v>
      </c>
      <c r="BB81" s="59">
        <v>1</v>
      </c>
      <c r="BC81" s="59">
        <v>-1</v>
      </c>
      <c r="BD81" s="59">
        <v>-1</v>
      </c>
      <c r="BE81" s="59">
        <v>-1</v>
      </c>
      <c r="BF81" s="61">
        <v>21</v>
      </c>
      <c r="BG81" s="59">
        <v>39</v>
      </c>
      <c r="BH81" s="59">
        <v>-1</v>
      </c>
      <c r="BI81" s="59">
        <v>40</v>
      </c>
      <c r="BJ81" s="28">
        <v>1</v>
      </c>
      <c r="BK81" s="56">
        <v>49.111633663366334</v>
      </c>
      <c r="BL81" s="59">
        <v>0.2</v>
      </c>
      <c r="BM81" s="59">
        <v>3</v>
      </c>
      <c r="BN81" s="56">
        <v>44.200470297029696</v>
      </c>
      <c r="BO81" s="59">
        <v>0.15</v>
      </c>
    </row>
    <row r="82" spans="1:67" s="50" customFormat="1" ht="15" customHeight="1" x14ac:dyDescent="0.25">
      <c r="A82" s="50">
        <v>81</v>
      </c>
      <c r="B82" s="52" t="s">
        <v>229</v>
      </c>
      <c r="C82" s="68">
        <v>913040</v>
      </c>
      <c r="D82" s="22" t="s">
        <v>203</v>
      </c>
      <c r="E82" s="6" t="s">
        <v>17</v>
      </c>
      <c r="F82" s="39">
        <v>25.4</v>
      </c>
      <c r="G82" s="36">
        <v>13.194805194805195</v>
      </c>
      <c r="H82" s="36">
        <v>6.2298419238929146</v>
      </c>
      <c r="I82" s="36">
        <v>68.567585301837269</v>
      </c>
      <c r="J82" s="36">
        <v>36.299835237193676</v>
      </c>
      <c r="K82" s="36">
        <v>21.487934985214153</v>
      </c>
      <c r="L82" s="36">
        <v>29027</v>
      </c>
      <c r="M82" s="36" t="s">
        <v>369</v>
      </c>
      <c r="N82" s="36">
        <v>100</v>
      </c>
      <c r="O82" s="36">
        <v>25.4</v>
      </c>
      <c r="P82" s="36">
        <v>40.048983796454451</v>
      </c>
      <c r="Q82" s="36">
        <v>35.60179517523521</v>
      </c>
      <c r="R82" s="36">
        <v>11.597215008787833</v>
      </c>
      <c r="S82" s="36">
        <v>4.9303753599372291</v>
      </c>
      <c r="T82" s="36">
        <v>29027</v>
      </c>
      <c r="U82" s="36" t="s">
        <v>369</v>
      </c>
      <c r="V82" s="36">
        <v>100</v>
      </c>
      <c r="W82" s="36">
        <v>1</v>
      </c>
      <c r="X82" s="102">
        <v>5</v>
      </c>
      <c r="Y82" s="29">
        <v>46.666666666666664</v>
      </c>
      <c r="Z82" s="43">
        <v>5.1714666666666664</v>
      </c>
      <c r="AA82" s="36">
        <v>85</v>
      </c>
      <c r="AB82" s="45">
        <v>19092</v>
      </c>
      <c r="AC82" s="50" t="s">
        <v>160</v>
      </c>
      <c r="AD82" s="50">
        <v>100</v>
      </c>
      <c r="AE82" s="42">
        <v>50</v>
      </c>
      <c r="AF82" s="43">
        <v>1.0092597701149426</v>
      </c>
      <c r="AG82" s="36">
        <v>85</v>
      </c>
      <c r="AH82" s="35">
        <v>3.6129571810883138E-2</v>
      </c>
      <c r="AI82" s="50">
        <v>40450</v>
      </c>
      <c r="AJ82" s="50" t="s">
        <v>148</v>
      </c>
      <c r="AK82" s="50">
        <v>100</v>
      </c>
      <c r="AL82" s="34">
        <v>17.191201353637901</v>
      </c>
      <c r="AM82" s="43">
        <v>1.4</v>
      </c>
      <c r="AN82" s="35">
        <v>9.2693212229340682E-2</v>
      </c>
      <c r="AO82" s="35">
        <v>0.33251850736239674</v>
      </c>
      <c r="AP82" s="35">
        <v>0.40804630991963731</v>
      </c>
      <c r="AQ82" s="83">
        <v>1.2015786770470087</v>
      </c>
      <c r="AR82" s="46">
        <v>29027</v>
      </c>
      <c r="AS82" s="50" t="s">
        <v>369</v>
      </c>
      <c r="AT82" s="50">
        <v>100</v>
      </c>
      <c r="AU82" s="44">
        <v>-1</v>
      </c>
      <c r="AV82" s="48">
        <v>-1</v>
      </c>
      <c r="AW82" s="48">
        <v>-1</v>
      </c>
      <c r="AX82" s="48">
        <v>-1</v>
      </c>
      <c r="AY82" s="48">
        <v>-1</v>
      </c>
      <c r="AZ82" s="45">
        <v>1</v>
      </c>
      <c r="BA82" s="36">
        <v>32.987012987012989</v>
      </c>
      <c r="BB82" s="43">
        <v>1.1000000000000001</v>
      </c>
      <c r="BC82" s="45">
        <v>-1</v>
      </c>
      <c r="BD82" s="45">
        <v>-1</v>
      </c>
      <c r="BE82" s="45">
        <v>-1</v>
      </c>
      <c r="BF82" s="45">
        <v>-1</v>
      </c>
      <c r="BG82" s="45">
        <v>100</v>
      </c>
      <c r="BH82" s="45">
        <v>-1</v>
      </c>
      <c r="BI82" s="45">
        <v>-1</v>
      </c>
      <c r="BJ82" s="28">
        <v>1</v>
      </c>
      <c r="BK82" s="36">
        <v>32.987012987012989</v>
      </c>
      <c r="BL82" s="43">
        <v>0.70734908136482944</v>
      </c>
      <c r="BM82" s="45">
        <v>3</v>
      </c>
      <c r="BN82" s="36">
        <v>32.987012987012989</v>
      </c>
      <c r="BO82" s="43">
        <v>0.7</v>
      </c>
    </row>
    <row r="83" spans="1:67" s="50" customFormat="1" ht="15" customHeight="1" x14ac:dyDescent="0.25">
      <c r="A83" s="50">
        <v>82</v>
      </c>
      <c r="B83" s="52" t="s">
        <v>230</v>
      </c>
      <c r="C83" s="68">
        <v>923040</v>
      </c>
      <c r="D83" s="22" t="s">
        <v>203</v>
      </c>
      <c r="E83" s="6" t="s">
        <v>17</v>
      </c>
      <c r="F83" s="39">
        <v>54.9</v>
      </c>
      <c r="G83" s="36">
        <v>28.519480519480521</v>
      </c>
      <c r="H83" s="36">
        <v>13.465288252823662</v>
      </c>
      <c r="I83" s="36">
        <v>84.543307086614163</v>
      </c>
      <c r="J83" s="36">
        <v>44.757418598629449</v>
      </c>
      <c r="K83" s="36">
        <v>26.494459125476638</v>
      </c>
      <c r="L83" s="36">
        <v>29027</v>
      </c>
      <c r="M83" s="36" t="s">
        <v>369</v>
      </c>
      <c r="N83" s="36">
        <v>100</v>
      </c>
      <c r="O83" s="36">
        <v>54.9</v>
      </c>
      <c r="P83" s="36">
        <v>86.562567339580681</v>
      </c>
      <c r="Q83" s="36">
        <v>43.896740552915439</v>
      </c>
      <c r="R83" s="36">
        <v>14.29927720979798</v>
      </c>
      <c r="S83" s="36">
        <v>6.0791150260366544</v>
      </c>
      <c r="T83" s="36">
        <v>29027</v>
      </c>
      <c r="U83" s="36" t="s">
        <v>369</v>
      </c>
      <c r="V83" s="36">
        <v>100</v>
      </c>
      <c r="W83" s="36">
        <v>1</v>
      </c>
      <c r="X83" s="102">
        <v>5</v>
      </c>
      <c r="Y83" s="29">
        <v>46.666666666666664</v>
      </c>
      <c r="Z83" s="43">
        <v>5.1714666666666664</v>
      </c>
      <c r="AA83" s="36">
        <v>85</v>
      </c>
      <c r="AB83" s="45">
        <v>19092</v>
      </c>
      <c r="AC83" s="50" t="s">
        <v>160</v>
      </c>
      <c r="AD83" s="50">
        <v>100</v>
      </c>
      <c r="AE83" s="42">
        <v>50</v>
      </c>
      <c r="AF83" s="43">
        <v>1.0092597701149426</v>
      </c>
      <c r="AG83" s="36">
        <v>85</v>
      </c>
      <c r="AH83" s="35">
        <v>3.6129571810883138E-2</v>
      </c>
      <c r="AI83" s="50">
        <v>40450</v>
      </c>
      <c r="AJ83" s="50" t="s">
        <v>148</v>
      </c>
      <c r="AK83" s="50">
        <v>100</v>
      </c>
      <c r="AL83" s="34">
        <v>37.157360406091371</v>
      </c>
      <c r="AM83" s="43">
        <v>1.4</v>
      </c>
      <c r="AN83" s="35">
        <v>0.20034871462168516</v>
      </c>
      <c r="AO83" s="35">
        <v>0.71871126197620405</v>
      </c>
      <c r="AP83" s="35">
        <v>0.88195836277905848</v>
      </c>
      <c r="AQ83" s="83">
        <v>2.5971129673181408</v>
      </c>
      <c r="AR83" s="46">
        <v>29027</v>
      </c>
      <c r="AS83" s="50" t="s">
        <v>369</v>
      </c>
      <c r="AT83" s="50">
        <v>100</v>
      </c>
      <c r="AU83" s="44">
        <v>-1</v>
      </c>
      <c r="AV83" s="48">
        <v>-1</v>
      </c>
      <c r="AW83" s="48">
        <v>-1</v>
      </c>
      <c r="AX83" s="48">
        <v>-1</v>
      </c>
      <c r="AY83" s="48">
        <v>-1</v>
      </c>
      <c r="AZ83" s="45">
        <v>1</v>
      </c>
      <c r="BA83" s="36">
        <v>71.298701298701303</v>
      </c>
      <c r="BB83" s="43">
        <v>1.1000000000000001</v>
      </c>
      <c r="BC83" s="45">
        <v>-1</v>
      </c>
      <c r="BD83" s="45">
        <v>-1</v>
      </c>
      <c r="BE83" s="45">
        <v>-1</v>
      </c>
      <c r="BF83" s="45">
        <v>-1</v>
      </c>
      <c r="BG83" s="45">
        <v>100</v>
      </c>
      <c r="BH83" s="45">
        <v>-1</v>
      </c>
      <c r="BI83" s="45">
        <v>-1</v>
      </c>
      <c r="BJ83" s="28">
        <v>1</v>
      </c>
      <c r="BK83" s="36">
        <v>71.298701298701303</v>
      </c>
      <c r="BL83" s="43">
        <v>0.70734908136482944</v>
      </c>
      <c r="BM83" s="45">
        <v>3</v>
      </c>
      <c r="BN83" s="36">
        <v>71.298701298701303</v>
      </c>
      <c r="BO83" s="43">
        <v>0.7</v>
      </c>
    </row>
    <row r="84" spans="1:67" s="50" customFormat="1" ht="15" customHeight="1" x14ac:dyDescent="0.25">
      <c r="A84" s="50">
        <v>83</v>
      </c>
      <c r="B84" s="52" t="s">
        <v>231</v>
      </c>
      <c r="C84" s="68">
        <v>933040</v>
      </c>
      <c r="D84" s="22" t="s">
        <v>203</v>
      </c>
      <c r="E84" s="6" t="s">
        <v>17</v>
      </c>
      <c r="F84" s="39">
        <v>77</v>
      </c>
      <c r="G84" s="36">
        <v>40</v>
      </c>
      <c r="H84" s="36">
        <v>18.885741265344663</v>
      </c>
      <c r="I84" s="36">
        <v>98.570866141732282</v>
      </c>
      <c r="J84" s="36">
        <v>52.183640190643835</v>
      </c>
      <c r="K84" s="36">
        <v>30.890461633815711</v>
      </c>
      <c r="L84" s="36">
        <v>29027</v>
      </c>
      <c r="M84" s="36" t="s">
        <v>369</v>
      </c>
      <c r="N84" s="36">
        <v>100</v>
      </c>
      <c r="O84" s="36">
        <v>77</v>
      </c>
      <c r="P84" s="36">
        <v>121.40833670578711</v>
      </c>
      <c r="Q84" s="36">
        <v>51.180157084071155</v>
      </c>
      <c r="R84" s="36">
        <v>16.671835871365932</v>
      </c>
      <c r="S84" s="36">
        <v>7.0877713936332176</v>
      </c>
      <c r="T84" s="36">
        <v>29027</v>
      </c>
      <c r="U84" s="36" t="s">
        <v>369</v>
      </c>
      <c r="V84" s="36">
        <v>100</v>
      </c>
      <c r="W84" s="36">
        <v>1</v>
      </c>
      <c r="X84" s="102">
        <v>5</v>
      </c>
      <c r="Y84" s="29">
        <v>46.666666666666664</v>
      </c>
      <c r="Z84" s="43">
        <v>5.1714666666666664</v>
      </c>
      <c r="AA84" s="36">
        <v>85</v>
      </c>
      <c r="AB84" s="45">
        <v>19092</v>
      </c>
      <c r="AC84" s="50" t="s">
        <v>160</v>
      </c>
      <c r="AD84" s="50">
        <v>100</v>
      </c>
      <c r="AE84" s="42">
        <v>50</v>
      </c>
      <c r="AF84" s="43">
        <v>1.0092597701149426</v>
      </c>
      <c r="AG84" s="36">
        <v>85</v>
      </c>
      <c r="AH84" s="35">
        <v>3.6129571810883138E-2</v>
      </c>
      <c r="AI84" s="50">
        <v>40450</v>
      </c>
      <c r="AJ84" s="50" t="s">
        <v>148</v>
      </c>
      <c r="AK84" s="50">
        <v>100</v>
      </c>
      <c r="AL84" s="34">
        <v>52.115059221658207</v>
      </c>
      <c r="AM84" s="43">
        <v>1.4</v>
      </c>
      <c r="AN84" s="35">
        <v>0.28099910793933985</v>
      </c>
      <c r="AO84" s="35">
        <v>1.008028545941124</v>
      </c>
      <c r="AP84" s="35">
        <v>1.2369907820398454</v>
      </c>
      <c r="AQ84" s="83">
        <v>3.6425810288432947</v>
      </c>
      <c r="AR84" s="46">
        <v>29027</v>
      </c>
      <c r="AS84" s="50" t="s">
        <v>369</v>
      </c>
      <c r="AT84" s="50">
        <v>100</v>
      </c>
      <c r="AU84" s="44">
        <v>-1</v>
      </c>
      <c r="AV84" s="48">
        <v>-1</v>
      </c>
      <c r="AW84" s="48">
        <v>-1</v>
      </c>
      <c r="AX84" s="48">
        <v>-1</v>
      </c>
      <c r="AY84" s="48">
        <v>-1</v>
      </c>
      <c r="AZ84" s="45">
        <v>1</v>
      </c>
      <c r="BA84" s="36">
        <v>100</v>
      </c>
      <c r="BB84" s="43">
        <v>1.1000000000000001</v>
      </c>
      <c r="BC84" s="45">
        <v>-1</v>
      </c>
      <c r="BD84" s="45">
        <v>-1</v>
      </c>
      <c r="BE84" s="45">
        <v>-1</v>
      </c>
      <c r="BF84" s="45">
        <v>-1</v>
      </c>
      <c r="BG84" s="45">
        <v>100</v>
      </c>
      <c r="BH84" s="45">
        <v>-1</v>
      </c>
      <c r="BI84" s="45">
        <v>-1</v>
      </c>
      <c r="BJ84" s="28">
        <v>1</v>
      </c>
      <c r="BK84" s="36">
        <v>100</v>
      </c>
      <c r="BL84" s="43">
        <v>0.70734908136482944</v>
      </c>
      <c r="BM84" s="45">
        <v>3</v>
      </c>
      <c r="BN84" s="36">
        <v>100</v>
      </c>
      <c r="BO84" s="43">
        <v>0.7</v>
      </c>
    </row>
    <row r="85" spans="1:67" s="50" customFormat="1" ht="15" customHeight="1" x14ac:dyDescent="0.25">
      <c r="A85" s="50">
        <v>84</v>
      </c>
      <c r="B85" s="52" t="s">
        <v>232</v>
      </c>
      <c r="C85" s="68">
        <v>913061</v>
      </c>
      <c r="D85" s="22" t="s">
        <v>203</v>
      </c>
      <c r="E85" s="11" t="s">
        <v>16</v>
      </c>
      <c r="F85" s="39">
        <v>23.3</v>
      </c>
      <c r="G85" s="36">
        <v>23.3</v>
      </c>
      <c r="H85" s="36">
        <v>15.977142857142857</v>
      </c>
      <c r="I85" s="36">
        <v>65.760170603674538</v>
      </c>
      <c r="J85" s="36">
        <v>46.418943955534971</v>
      </c>
      <c r="K85" s="36">
        <v>12.378385054809325</v>
      </c>
      <c r="L85" s="36">
        <v>28766</v>
      </c>
      <c r="M85" s="36" t="s">
        <v>137</v>
      </c>
      <c r="N85" s="36">
        <v>100</v>
      </c>
      <c r="O85" s="36">
        <v>13.98</v>
      </c>
      <c r="P85" s="36">
        <v>31.28857142857143</v>
      </c>
      <c r="Q85" s="36">
        <v>38.682453296279142</v>
      </c>
      <c r="R85" s="36">
        <v>19.341226648139571</v>
      </c>
      <c r="S85" s="36">
        <v>6.9628415933302445</v>
      </c>
      <c r="T85" s="36">
        <v>28766</v>
      </c>
      <c r="U85" s="36" t="s">
        <v>137</v>
      </c>
      <c r="V85" s="36">
        <v>100</v>
      </c>
      <c r="W85" s="36">
        <v>1</v>
      </c>
      <c r="X85" s="102">
        <v>3</v>
      </c>
      <c r="Y85" s="29">
        <v>47.61</v>
      </c>
      <c r="Z85" s="47">
        <v>7</v>
      </c>
      <c r="AA85" s="46">
        <v>85</v>
      </c>
      <c r="AB85" s="46">
        <v>28862</v>
      </c>
      <c r="AC85" s="46" t="s">
        <v>376</v>
      </c>
      <c r="AD85" s="46">
        <v>100</v>
      </c>
      <c r="AE85" s="42">
        <v>16</v>
      </c>
      <c r="AF85" s="43">
        <v>1</v>
      </c>
      <c r="AG85" s="36">
        <v>85</v>
      </c>
      <c r="AH85" s="35">
        <v>7.9350000000000004E-2</v>
      </c>
      <c r="AI85" s="46">
        <v>40450</v>
      </c>
      <c r="AJ85" s="46" t="s">
        <v>148</v>
      </c>
      <c r="AK85" s="46">
        <v>100</v>
      </c>
      <c r="AL85" s="34">
        <v>5.9914285714285711</v>
      </c>
      <c r="AM85" s="43">
        <v>0.75</v>
      </c>
      <c r="AN85" s="35">
        <v>7.9885714285714282E-2</v>
      </c>
      <c r="AO85" s="35">
        <v>9.3199999999999991E-2</v>
      </c>
      <c r="AP85" s="35">
        <v>0.26628571428571429</v>
      </c>
      <c r="AQ85" s="83">
        <v>0.39942857142857147</v>
      </c>
      <c r="AR85" s="46">
        <v>28766</v>
      </c>
      <c r="AS85" s="46" t="s">
        <v>137</v>
      </c>
      <c r="AT85" s="46">
        <v>100</v>
      </c>
      <c r="AU85" s="44">
        <v>-1</v>
      </c>
      <c r="AV85" s="48">
        <v>-1</v>
      </c>
      <c r="AW85" s="48">
        <v>-1</v>
      </c>
      <c r="AX85" s="48">
        <v>-1</v>
      </c>
      <c r="AY85" s="48">
        <v>-1</v>
      </c>
      <c r="AZ85" s="45">
        <v>1</v>
      </c>
      <c r="BA85" s="36">
        <v>23.3</v>
      </c>
      <c r="BB85" s="43">
        <v>1</v>
      </c>
      <c r="BC85" s="45">
        <v>-1</v>
      </c>
      <c r="BD85" s="45">
        <v>-1</v>
      </c>
      <c r="BE85" s="45">
        <v>-1</v>
      </c>
      <c r="BF85" s="45">
        <v>100</v>
      </c>
      <c r="BG85" s="45">
        <v>-1</v>
      </c>
      <c r="BH85" s="45">
        <v>-1</v>
      </c>
      <c r="BI85" s="45">
        <v>-1</v>
      </c>
      <c r="BJ85" s="28">
        <v>1</v>
      </c>
      <c r="BK85" s="36">
        <v>21.302857142857142</v>
      </c>
      <c r="BL85" s="43">
        <v>1.25</v>
      </c>
      <c r="BM85" s="45">
        <v>3</v>
      </c>
      <c r="BN85" s="36">
        <v>21.302857142857142</v>
      </c>
      <c r="BO85" s="43">
        <v>1.25</v>
      </c>
    </row>
    <row r="86" spans="1:67" s="50" customFormat="1" ht="15" customHeight="1" x14ac:dyDescent="0.25">
      <c r="A86" s="50">
        <v>85</v>
      </c>
      <c r="B86" s="52" t="s">
        <v>233</v>
      </c>
      <c r="C86" s="68">
        <v>923061</v>
      </c>
      <c r="D86" s="22" t="s">
        <v>203</v>
      </c>
      <c r="E86" s="11" t="s">
        <v>16</v>
      </c>
      <c r="F86" s="39">
        <v>54.5</v>
      </c>
      <c r="G86" s="36">
        <v>54.5</v>
      </c>
      <c r="H86" s="36">
        <v>37.371428571428574</v>
      </c>
      <c r="I86" s="36">
        <v>74.630905511811022</v>
      </c>
      <c r="J86" s="36">
        <v>52.680639184807781</v>
      </c>
      <c r="K86" s="36">
        <v>14.048170449282075</v>
      </c>
      <c r="L86" s="36">
        <v>28766</v>
      </c>
      <c r="M86" s="36" t="s">
        <v>137</v>
      </c>
      <c r="N86" s="36">
        <v>100</v>
      </c>
      <c r="O86" s="36">
        <v>32.700000000000003</v>
      </c>
      <c r="P86" s="36">
        <v>73.185714285714297</v>
      </c>
      <c r="Q86" s="36">
        <v>43.900532654006483</v>
      </c>
      <c r="R86" s="36">
        <v>21.950266327003241</v>
      </c>
      <c r="S86" s="36">
        <v>7.9020958777211678</v>
      </c>
      <c r="T86" s="36">
        <v>28766</v>
      </c>
      <c r="U86" s="36" t="s">
        <v>137</v>
      </c>
      <c r="V86" s="36">
        <v>100</v>
      </c>
      <c r="W86" s="36">
        <v>1</v>
      </c>
      <c r="X86" s="102">
        <v>3</v>
      </c>
      <c r="Y86" s="29">
        <v>34.125</v>
      </c>
      <c r="Z86" s="47">
        <v>7</v>
      </c>
      <c r="AA86" s="46">
        <v>85</v>
      </c>
      <c r="AB86" s="46">
        <v>28862</v>
      </c>
      <c r="AC86" s="46" t="s">
        <v>376</v>
      </c>
      <c r="AD86" s="46">
        <v>100</v>
      </c>
      <c r="AE86" s="42">
        <v>11</v>
      </c>
      <c r="AF86" s="43">
        <v>1</v>
      </c>
      <c r="AG86" s="36">
        <v>85</v>
      </c>
      <c r="AH86" s="35">
        <v>5.6874999999999995E-2</v>
      </c>
      <c r="AI86" s="46">
        <v>40450</v>
      </c>
      <c r="AJ86" s="46" t="s">
        <v>148</v>
      </c>
      <c r="AK86" s="46">
        <v>100</v>
      </c>
      <c r="AL86" s="34">
        <v>14.014285714285714</v>
      </c>
      <c r="AM86" s="43">
        <v>0.75</v>
      </c>
      <c r="AN86" s="35">
        <v>0.18685714285714283</v>
      </c>
      <c r="AO86" s="35">
        <v>0.218</v>
      </c>
      <c r="AP86" s="35">
        <v>0.62285714285714289</v>
      </c>
      <c r="AQ86" s="83">
        <v>0.93428571428571427</v>
      </c>
      <c r="AR86" s="46">
        <v>28766</v>
      </c>
      <c r="AS86" s="46" t="s">
        <v>137</v>
      </c>
      <c r="AT86" s="46">
        <v>100</v>
      </c>
      <c r="AU86" s="44">
        <v>-1</v>
      </c>
      <c r="AV86" s="48">
        <v>-1</v>
      </c>
      <c r="AW86" s="48">
        <v>-1</v>
      </c>
      <c r="AX86" s="48">
        <v>-1</v>
      </c>
      <c r="AY86" s="48">
        <v>-1</v>
      </c>
      <c r="AZ86" s="45">
        <v>1</v>
      </c>
      <c r="BA86" s="36">
        <v>54.5</v>
      </c>
      <c r="BB86" s="43">
        <v>1</v>
      </c>
      <c r="BC86" s="45">
        <v>-1</v>
      </c>
      <c r="BD86" s="45">
        <v>-1</v>
      </c>
      <c r="BE86" s="45">
        <v>-1</v>
      </c>
      <c r="BF86" s="45">
        <v>100</v>
      </c>
      <c r="BG86" s="45">
        <v>-1</v>
      </c>
      <c r="BH86" s="45">
        <v>-1</v>
      </c>
      <c r="BI86" s="45">
        <v>-1</v>
      </c>
      <c r="BJ86" s="28">
        <v>1</v>
      </c>
      <c r="BK86" s="36">
        <v>49.828571428571429</v>
      </c>
      <c r="BL86" s="43">
        <v>1.25</v>
      </c>
      <c r="BM86" s="45">
        <v>3</v>
      </c>
      <c r="BN86" s="36">
        <v>49.828571428571429</v>
      </c>
      <c r="BO86" s="43">
        <v>1.25</v>
      </c>
    </row>
    <row r="87" spans="1:67" s="50" customFormat="1" ht="15" customHeight="1" x14ac:dyDescent="0.25">
      <c r="A87" s="50">
        <v>86</v>
      </c>
      <c r="B87" s="52" t="s">
        <v>234</v>
      </c>
      <c r="C87" s="68">
        <v>913091</v>
      </c>
      <c r="D87" s="22" t="s">
        <v>203</v>
      </c>
      <c r="E87" s="24" t="s">
        <v>353</v>
      </c>
      <c r="F87" s="39">
        <v>26.5</v>
      </c>
      <c r="G87" s="36">
        <v>16.711711711711711</v>
      </c>
      <c r="H87" s="36">
        <v>23.941505244621389</v>
      </c>
      <c r="I87" s="36">
        <v>78.270997375328079</v>
      </c>
      <c r="J87" s="36">
        <v>54.875076637829189</v>
      </c>
      <c r="K87" s="36">
        <v>14.011839281321462</v>
      </c>
      <c r="L87" s="36">
        <v>18035</v>
      </c>
      <c r="M87" s="36" t="s">
        <v>370</v>
      </c>
      <c r="N87" s="36">
        <v>100</v>
      </c>
      <c r="O87" s="36">
        <v>26.5</v>
      </c>
      <c r="P87" s="36">
        <v>48.868496177278047</v>
      </c>
      <c r="Q87" s="36">
        <v>50.157326148136519</v>
      </c>
      <c r="R87" s="36">
        <v>25.799753428283548</v>
      </c>
      <c r="S87" s="36">
        <v>7.0139495164709338</v>
      </c>
      <c r="T87" s="36">
        <v>18035</v>
      </c>
      <c r="U87" s="36" t="s">
        <v>370</v>
      </c>
      <c r="V87" s="36">
        <v>100</v>
      </c>
      <c r="W87" s="36">
        <v>-1</v>
      </c>
      <c r="X87" s="102">
        <v>-1</v>
      </c>
      <c r="Y87" s="29">
        <v>7.8</v>
      </c>
      <c r="Z87" s="47">
        <v>2.6</v>
      </c>
      <c r="AA87" s="46">
        <v>85</v>
      </c>
      <c r="AB87" s="50">
        <v>18148</v>
      </c>
      <c r="AC87" s="50" t="s">
        <v>371</v>
      </c>
      <c r="AD87" s="50">
        <v>100</v>
      </c>
      <c r="AE87" s="42">
        <v>52</v>
      </c>
      <c r="AF87" s="43">
        <v>1.1000000000000001</v>
      </c>
      <c r="AG87" s="36">
        <v>70</v>
      </c>
      <c r="AH87" s="35">
        <v>0.55000000000000004</v>
      </c>
      <c r="AI87" s="50">
        <v>40792</v>
      </c>
      <c r="AJ87" s="50" t="s">
        <v>365</v>
      </c>
      <c r="AK87" s="50">
        <v>100</v>
      </c>
      <c r="AL87" s="34">
        <v>18</v>
      </c>
      <c r="AM87" s="43">
        <v>2.9</v>
      </c>
      <c r="AN87" s="35">
        <v>0.03</v>
      </c>
      <c r="AO87" s="35">
        <v>0.4</v>
      </c>
      <c r="AP87" s="35">
        <v>0.57999999999999996</v>
      </c>
      <c r="AQ87" s="83">
        <v>1.32</v>
      </c>
      <c r="AR87" s="46">
        <v>18035</v>
      </c>
      <c r="AS87" s="50" t="s">
        <v>370</v>
      </c>
      <c r="AT87" s="50">
        <v>100</v>
      </c>
      <c r="AU87" s="44">
        <v>-1</v>
      </c>
      <c r="AV87" s="48">
        <v>-1</v>
      </c>
      <c r="AW87" s="48">
        <v>-1</v>
      </c>
      <c r="AX87" s="48">
        <v>-1</v>
      </c>
      <c r="AY87" s="48">
        <v>-1</v>
      </c>
      <c r="AZ87" s="45">
        <v>1</v>
      </c>
      <c r="BA87" s="36">
        <v>32.6</v>
      </c>
      <c r="BB87" s="43">
        <v>2.21</v>
      </c>
      <c r="BC87" s="45">
        <v>100</v>
      </c>
      <c r="BD87" s="45">
        <v>-1</v>
      </c>
      <c r="BE87" s="45">
        <v>-1</v>
      </c>
      <c r="BF87" s="45">
        <v>-1</v>
      </c>
      <c r="BG87" s="45">
        <v>-1</v>
      </c>
      <c r="BH87" s="45">
        <v>-1</v>
      </c>
      <c r="BI87" s="45">
        <v>-1</v>
      </c>
      <c r="BJ87" s="28">
        <v>1</v>
      </c>
      <c r="BK87" s="36">
        <v>32.6</v>
      </c>
      <c r="BL87" s="43">
        <v>1</v>
      </c>
      <c r="BM87" s="45">
        <v>3</v>
      </c>
      <c r="BN87" s="36">
        <v>32.6</v>
      </c>
      <c r="BO87" s="43">
        <v>1</v>
      </c>
    </row>
    <row r="88" spans="1:67" s="50" customFormat="1" ht="15" customHeight="1" x14ac:dyDescent="0.25">
      <c r="A88" s="50">
        <v>87</v>
      </c>
      <c r="B88" s="52" t="s">
        <v>235</v>
      </c>
      <c r="C88" s="68">
        <v>923091</v>
      </c>
      <c r="D88" s="22" t="s">
        <v>203</v>
      </c>
      <c r="E88" s="24" t="s">
        <v>353</v>
      </c>
      <c r="F88" s="39">
        <v>52.7</v>
      </c>
      <c r="G88" s="36">
        <v>33.234234234234229</v>
      </c>
      <c r="H88" s="36">
        <v>47.611974580813111</v>
      </c>
      <c r="I88" s="36">
        <v>93.566929133858267</v>
      </c>
      <c r="J88" s="36">
        <v>65.598913763238386</v>
      </c>
      <c r="K88" s="36">
        <v>16.750071125114772</v>
      </c>
      <c r="L88" s="36">
        <v>18035</v>
      </c>
      <c r="M88" s="36" t="s">
        <v>370</v>
      </c>
      <c r="N88" s="36">
        <v>100</v>
      </c>
      <c r="O88" s="36">
        <v>52.7</v>
      </c>
      <c r="P88" s="36">
        <v>97.183764095945406</v>
      </c>
      <c r="Q88" s="36">
        <v>59.9592076071566</v>
      </c>
      <c r="R88" s="36">
        <v>30.841611601287006</v>
      </c>
      <c r="S88" s="36">
        <v>8.3846346585965499</v>
      </c>
      <c r="T88" s="36">
        <v>18035</v>
      </c>
      <c r="U88" s="36" t="s">
        <v>370</v>
      </c>
      <c r="V88" s="36">
        <v>100</v>
      </c>
      <c r="W88" s="36">
        <v>-1</v>
      </c>
      <c r="X88" s="102">
        <v>-1</v>
      </c>
      <c r="Y88" s="29">
        <v>7.8</v>
      </c>
      <c r="Z88" s="47">
        <v>2.6</v>
      </c>
      <c r="AA88" s="46">
        <v>85</v>
      </c>
      <c r="AB88" s="50">
        <v>18148</v>
      </c>
      <c r="AC88" s="50" t="s">
        <v>371</v>
      </c>
      <c r="AD88" s="50">
        <v>100</v>
      </c>
      <c r="AE88" s="42">
        <v>41</v>
      </c>
      <c r="AF88" s="43">
        <v>1.1000000000000001</v>
      </c>
      <c r="AG88" s="36">
        <v>70</v>
      </c>
      <c r="AH88" s="35">
        <v>0.43</v>
      </c>
      <c r="AI88" s="50">
        <v>40792</v>
      </c>
      <c r="AJ88" s="50" t="s">
        <v>365</v>
      </c>
      <c r="AK88" s="50">
        <v>100</v>
      </c>
      <c r="AL88" s="34">
        <v>37</v>
      </c>
      <c r="AM88" s="43">
        <v>2.9</v>
      </c>
      <c r="AN88" s="35">
        <v>7.0000000000000007E-2</v>
      </c>
      <c r="AO88" s="35">
        <v>0.8</v>
      </c>
      <c r="AP88" s="35">
        <v>1.1599999999999999</v>
      </c>
      <c r="AQ88" s="83">
        <v>2.63</v>
      </c>
      <c r="AR88" s="46">
        <v>18035</v>
      </c>
      <c r="AS88" s="50" t="s">
        <v>370</v>
      </c>
      <c r="AT88" s="50">
        <v>100</v>
      </c>
      <c r="AU88" s="44">
        <v>-1</v>
      </c>
      <c r="AV88" s="48">
        <v>-1</v>
      </c>
      <c r="AW88" s="48">
        <v>-1</v>
      </c>
      <c r="AX88" s="48">
        <v>-1</v>
      </c>
      <c r="AY88" s="48">
        <v>-1</v>
      </c>
      <c r="AZ88" s="45">
        <v>1</v>
      </c>
      <c r="BA88" s="36">
        <v>64.900000000000006</v>
      </c>
      <c r="BB88" s="43">
        <v>2.21</v>
      </c>
      <c r="BC88" s="45">
        <v>100</v>
      </c>
      <c r="BD88" s="45">
        <v>-1</v>
      </c>
      <c r="BE88" s="45">
        <v>-1</v>
      </c>
      <c r="BF88" s="45">
        <v>-1</v>
      </c>
      <c r="BG88" s="45">
        <v>-1</v>
      </c>
      <c r="BH88" s="45">
        <v>-1</v>
      </c>
      <c r="BI88" s="45">
        <v>-1</v>
      </c>
      <c r="BJ88" s="28">
        <v>1</v>
      </c>
      <c r="BK88" s="36">
        <v>64.8</v>
      </c>
      <c r="BL88" s="43">
        <v>1</v>
      </c>
      <c r="BM88" s="45">
        <v>3</v>
      </c>
      <c r="BN88" s="36">
        <v>64.8</v>
      </c>
      <c r="BO88" s="43">
        <v>1</v>
      </c>
    </row>
    <row r="89" spans="1:67" s="50" customFormat="1" ht="15" customHeight="1" x14ac:dyDescent="0.25">
      <c r="A89" s="50">
        <v>88</v>
      </c>
      <c r="B89" s="36">
        <v>3110</v>
      </c>
      <c r="C89" s="46">
        <v>3110</v>
      </c>
      <c r="D89" s="22" t="s">
        <v>203</v>
      </c>
      <c r="E89" s="12" t="s">
        <v>9</v>
      </c>
      <c r="F89" s="39">
        <v>21.11</v>
      </c>
      <c r="G89" s="36">
        <v>16.809536015035508</v>
      </c>
      <c r="H89" s="36">
        <v>16.783482503391852</v>
      </c>
      <c r="I89" s="36">
        <v>56.9</v>
      </c>
      <c r="J89" s="36">
        <v>40.020145845184608</v>
      </c>
      <c r="K89" s="36">
        <v>10.432474153181984</v>
      </c>
      <c r="L89" s="55" t="s">
        <v>377</v>
      </c>
      <c r="M89" s="36" t="s">
        <v>378</v>
      </c>
      <c r="N89" s="36" t="s">
        <v>156</v>
      </c>
      <c r="O89" s="36">
        <v>11.86632845292886</v>
      </c>
      <c r="P89" s="36">
        <v>33.660880593306935</v>
      </c>
      <c r="Q89" s="36">
        <v>35.056945094058079</v>
      </c>
      <c r="R89" s="36">
        <v>17.806419120326428</v>
      </c>
      <c r="S89" s="36">
        <v>5.5338050979432891</v>
      </c>
      <c r="T89" s="36" t="s">
        <v>377</v>
      </c>
      <c r="U89" s="36" t="s">
        <v>378</v>
      </c>
      <c r="V89" s="36" t="s">
        <v>156</v>
      </c>
      <c r="W89" s="36">
        <v>-1</v>
      </c>
      <c r="X89" s="102">
        <v>-1</v>
      </c>
      <c r="Y89" s="29">
        <v>35.739999999999995</v>
      </c>
      <c r="Z89" s="47">
        <v>7</v>
      </c>
      <c r="AA89" s="46">
        <v>85</v>
      </c>
      <c r="AB89" s="50">
        <v>28675</v>
      </c>
      <c r="AC89" s="50" t="s">
        <v>375</v>
      </c>
      <c r="AD89" s="50">
        <v>100</v>
      </c>
      <c r="AE89" s="42">
        <v>30</v>
      </c>
      <c r="AF89" s="43">
        <v>1.5666666666666667</v>
      </c>
      <c r="AG89" s="36">
        <v>80</v>
      </c>
      <c r="AH89" s="35">
        <v>1.5313432835820895</v>
      </c>
      <c r="AI89" s="50">
        <v>40450</v>
      </c>
      <c r="AJ89" s="50" t="s">
        <v>148</v>
      </c>
      <c r="AK89" s="50">
        <v>100</v>
      </c>
      <c r="AL89" s="34">
        <v>10.046191639777849</v>
      </c>
      <c r="AM89" s="43">
        <v>1.6463995726495726</v>
      </c>
      <c r="AN89" s="35">
        <v>4.9408534851425122E-2</v>
      </c>
      <c r="AO89" s="35">
        <v>0.20270533516636105</v>
      </c>
      <c r="AP89" s="35">
        <v>0.35378548601929516</v>
      </c>
      <c r="AQ89" s="83">
        <v>0.70953176476807178</v>
      </c>
      <c r="AR89" s="46" t="s">
        <v>377</v>
      </c>
      <c r="AS89" s="50" t="s">
        <v>378</v>
      </c>
      <c r="AT89" s="50" t="s">
        <v>156</v>
      </c>
      <c r="AU89" s="44">
        <v>-1</v>
      </c>
      <c r="AV89" s="48">
        <v>-1</v>
      </c>
      <c r="AW89" s="48">
        <v>-1</v>
      </c>
      <c r="AX89" s="48">
        <v>-1</v>
      </c>
      <c r="AY89" s="48">
        <v>-1</v>
      </c>
      <c r="AZ89" s="45">
        <v>1</v>
      </c>
      <c r="BA89" s="36">
        <v>23.554709324709322</v>
      </c>
      <c r="BB89" s="43">
        <v>0.5</v>
      </c>
      <c r="BC89" s="45">
        <v>50</v>
      </c>
      <c r="BD89" s="45">
        <v>-1</v>
      </c>
      <c r="BE89" s="45">
        <v>-1</v>
      </c>
      <c r="BF89" s="45">
        <v>50</v>
      </c>
      <c r="BG89" s="45">
        <v>-1</v>
      </c>
      <c r="BH89" s="45">
        <v>-1</v>
      </c>
      <c r="BI89" s="45">
        <v>-1</v>
      </c>
      <c r="BJ89" s="28">
        <v>1</v>
      </c>
      <c r="BK89" s="36">
        <v>22.634762047762049</v>
      </c>
      <c r="BL89" s="43">
        <v>1.1000000000000001</v>
      </c>
      <c r="BM89" s="45">
        <v>3</v>
      </c>
      <c r="BN89" s="36">
        <v>22.634762047762049</v>
      </c>
      <c r="BO89" s="43">
        <v>1.1000000000000001</v>
      </c>
    </row>
    <row r="90" spans="1:67" s="50" customFormat="1" ht="15" customHeight="1" x14ac:dyDescent="0.25">
      <c r="A90" s="50">
        <v>89</v>
      </c>
      <c r="B90" s="36">
        <v>3120</v>
      </c>
      <c r="C90" s="46">
        <v>3120</v>
      </c>
      <c r="D90" s="22" t="s">
        <v>203</v>
      </c>
      <c r="E90" s="13" t="s">
        <v>8</v>
      </c>
      <c r="F90" s="39">
        <v>10.63</v>
      </c>
      <c r="G90" s="36">
        <v>8.4644892392149433</v>
      </c>
      <c r="H90" s="36">
        <v>8.4513699199931498</v>
      </c>
      <c r="I90" s="36">
        <v>40.700000000000003</v>
      </c>
      <c r="J90" s="36">
        <v>28.626009418260349</v>
      </c>
      <c r="K90" s="36">
        <v>7.4622442536820177</v>
      </c>
      <c r="L90" s="36" t="s">
        <v>377</v>
      </c>
      <c r="M90" s="36" t="s">
        <v>378</v>
      </c>
      <c r="N90" s="36" t="s">
        <v>156</v>
      </c>
      <c r="O90" s="36">
        <v>5.9753231385425778</v>
      </c>
      <c r="P90" s="36">
        <v>16.950031298287673</v>
      </c>
      <c r="Q90" s="36">
        <v>25.07588164021378</v>
      </c>
      <c r="R90" s="36">
        <v>12.736753219635952</v>
      </c>
      <c r="S90" s="36">
        <v>3.9582753512529329</v>
      </c>
      <c r="T90" s="36" t="s">
        <v>377</v>
      </c>
      <c r="U90" s="36" t="s">
        <v>378</v>
      </c>
      <c r="V90" s="36" t="s">
        <v>156</v>
      </c>
      <c r="W90" s="36">
        <v>-1</v>
      </c>
      <c r="X90" s="102">
        <v>-1</v>
      </c>
      <c r="Y90" s="29">
        <v>11.030000000000001</v>
      </c>
      <c r="Z90" s="47">
        <v>7</v>
      </c>
      <c r="AA90" s="46">
        <v>85</v>
      </c>
      <c r="AB90" s="50">
        <v>28675</v>
      </c>
      <c r="AC90" s="50" t="s">
        <v>375</v>
      </c>
      <c r="AD90" s="50">
        <v>100</v>
      </c>
      <c r="AE90" s="42">
        <v>60</v>
      </c>
      <c r="AF90" s="43">
        <v>1.5666666666666667</v>
      </c>
      <c r="AG90" s="36">
        <v>80</v>
      </c>
      <c r="AH90" s="35">
        <v>3.062686567164179</v>
      </c>
      <c r="AI90" s="50">
        <v>40450</v>
      </c>
      <c r="AJ90" s="50" t="s">
        <v>148</v>
      </c>
      <c r="AK90" s="50">
        <v>100</v>
      </c>
      <c r="AL90" s="34">
        <v>5.0587881160984622</v>
      </c>
      <c r="AM90" s="43">
        <v>0.82904914529914542</v>
      </c>
      <c r="AN90" s="35">
        <v>2.4879806985819472E-2</v>
      </c>
      <c r="AO90" s="35">
        <v>0.10207284286207571</v>
      </c>
      <c r="AP90" s="35">
        <v>0.17814967865396059</v>
      </c>
      <c r="AQ90" s="83">
        <v>0.35728672001348194</v>
      </c>
      <c r="AR90" s="46" t="s">
        <v>377</v>
      </c>
      <c r="AS90" s="50" t="s">
        <v>378</v>
      </c>
      <c r="AT90" s="50" t="s">
        <v>156</v>
      </c>
      <c r="AU90" s="44">
        <v>-1</v>
      </c>
      <c r="AV90" s="48">
        <v>-1</v>
      </c>
      <c r="AW90" s="48">
        <v>-1</v>
      </c>
      <c r="AX90" s="48">
        <v>-1</v>
      </c>
      <c r="AY90" s="48">
        <v>-1</v>
      </c>
      <c r="AZ90" s="45">
        <v>1</v>
      </c>
      <c r="BA90" s="36">
        <v>11.861040271040274</v>
      </c>
      <c r="BB90" s="43">
        <v>0.5</v>
      </c>
      <c r="BC90" s="45">
        <v>50</v>
      </c>
      <c r="BD90" s="45">
        <v>-1</v>
      </c>
      <c r="BE90" s="45">
        <v>-1</v>
      </c>
      <c r="BF90" s="45">
        <v>50</v>
      </c>
      <c r="BG90" s="45">
        <v>-1</v>
      </c>
      <c r="BH90" s="45">
        <v>-1</v>
      </c>
      <c r="BI90" s="45">
        <v>-1</v>
      </c>
      <c r="BJ90" s="28">
        <v>1</v>
      </c>
      <c r="BK90" s="36">
        <v>11.397798226798226</v>
      </c>
      <c r="BL90" s="43">
        <v>1.1000000000000001</v>
      </c>
      <c r="BM90" s="45">
        <v>3</v>
      </c>
      <c r="BN90" s="36">
        <v>11.397798226798226</v>
      </c>
      <c r="BO90" s="43">
        <v>1.1000000000000001</v>
      </c>
    </row>
    <row r="91" spans="1:67" s="50" customFormat="1" ht="15" customHeight="1" x14ac:dyDescent="0.25">
      <c r="A91" s="50">
        <v>90</v>
      </c>
      <c r="B91" s="36">
        <v>3130</v>
      </c>
      <c r="C91" s="46">
        <v>3130</v>
      </c>
      <c r="D91" s="22" t="s">
        <v>203</v>
      </c>
      <c r="E91" s="14" t="s">
        <v>10</v>
      </c>
      <c r="F91" s="39">
        <v>-3</v>
      </c>
      <c r="G91" s="36">
        <v>-3</v>
      </c>
      <c r="H91" s="36">
        <v>-3</v>
      </c>
      <c r="I91" s="36">
        <v>-3</v>
      </c>
      <c r="J91" s="36">
        <v>-3</v>
      </c>
      <c r="K91" s="36">
        <v>-3</v>
      </c>
      <c r="L91" s="45">
        <v>-3</v>
      </c>
      <c r="M91" s="45">
        <v>-3</v>
      </c>
      <c r="N91" s="45">
        <v>-3</v>
      </c>
      <c r="O91" s="36">
        <v>-3</v>
      </c>
      <c r="P91" s="36">
        <v>-3</v>
      </c>
      <c r="Q91" s="36">
        <v>-3</v>
      </c>
      <c r="R91" s="36">
        <v>-3</v>
      </c>
      <c r="S91" s="36">
        <v>-3</v>
      </c>
      <c r="T91" s="45">
        <v>-3</v>
      </c>
      <c r="U91" s="45">
        <v>-3</v>
      </c>
      <c r="V91" s="45">
        <v>-3</v>
      </c>
      <c r="W91" s="45">
        <v>-3</v>
      </c>
      <c r="X91" s="103">
        <v>-3</v>
      </c>
      <c r="Y91" s="29">
        <v>52</v>
      </c>
      <c r="Z91" s="47">
        <v>5</v>
      </c>
      <c r="AA91" s="46">
        <v>85</v>
      </c>
      <c r="AB91" s="50">
        <v>28675</v>
      </c>
      <c r="AC91" s="50" t="s">
        <v>375</v>
      </c>
      <c r="AD91" s="50">
        <v>100</v>
      </c>
      <c r="AE91" s="42">
        <v>36</v>
      </c>
      <c r="AF91" s="43">
        <v>1.4</v>
      </c>
      <c r="AG91" s="36">
        <v>85</v>
      </c>
      <c r="AH91" s="35">
        <v>3.3</v>
      </c>
      <c r="AI91" s="50">
        <v>40450</v>
      </c>
      <c r="AJ91" s="50" t="s">
        <v>148</v>
      </c>
      <c r="AK91" s="50">
        <v>100</v>
      </c>
      <c r="AL91" s="34">
        <v>29.85645933014354</v>
      </c>
      <c r="AM91" s="43">
        <v>0.64688995215311018</v>
      </c>
      <c r="AN91" s="35">
        <v>0.64688995215311018</v>
      </c>
      <c r="AO91" s="35">
        <v>1.3933014354066986</v>
      </c>
      <c r="AP91" s="35">
        <v>0.34832535885167465</v>
      </c>
      <c r="AQ91" s="83">
        <v>0</v>
      </c>
      <c r="AR91" s="50">
        <v>28675</v>
      </c>
      <c r="AS91" s="50" t="s">
        <v>375</v>
      </c>
      <c r="AT91" s="50">
        <v>100</v>
      </c>
      <c r="AU91" s="44">
        <v>-1</v>
      </c>
      <c r="AV91" s="48">
        <v>-1</v>
      </c>
      <c r="AW91" s="48">
        <v>-1</v>
      </c>
      <c r="AX91" s="48">
        <v>-1</v>
      </c>
      <c r="AY91" s="48">
        <v>-1</v>
      </c>
      <c r="AZ91" s="45">
        <v>1</v>
      </c>
      <c r="BA91" s="36">
        <v>70</v>
      </c>
      <c r="BB91" s="43">
        <v>1.3</v>
      </c>
      <c r="BC91" s="45">
        <v>-1</v>
      </c>
      <c r="BD91" s="45">
        <v>-1</v>
      </c>
      <c r="BE91" s="45">
        <v>-1</v>
      </c>
      <c r="BF91" s="45">
        <v>-1</v>
      </c>
      <c r="BG91" s="45">
        <v>70</v>
      </c>
      <c r="BH91" s="45">
        <v>-1</v>
      </c>
      <c r="BI91" s="45">
        <v>30</v>
      </c>
      <c r="BJ91" s="28">
        <v>-1</v>
      </c>
      <c r="BK91" s="48">
        <v>-1</v>
      </c>
      <c r="BL91" s="48">
        <v>-1</v>
      </c>
      <c r="BM91" s="48">
        <v>-1</v>
      </c>
      <c r="BN91" s="48">
        <v>-1</v>
      </c>
      <c r="BO91" s="48">
        <v>-1</v>
      </c>
    </row>
    <row r="92" spans="1:67" s="50" customFormat="1" ht="15" customHeight="1" x14ac:dyDescent="0.25">
      <c r="A92" s="50">
        <v>91</v>
      </c>
      <c r="B92" s="36">
        <v>3140</v>
      </c>
      <c r="C92" s="46">
        <v>3140</v>
      </c>
      <c r="D92" s="22" t="s">
        <v>203</v>
      </c>
      <c r="E92" s="15" t="s">
        <v>14</v>
      </c>
      <c r="F92" s="39">
        <v>-3</v>
      </c>
      <c r="G92" s="36">
        <v>-3</v>
      </c>
      <c r="H92" s="36">
        <v>-3</v>
      </c>
      <c r="I92" s="36">
        <v>-3</v>
      </c>
      <c r="J92" s="36">
        <v>-3</v>
      </c>
      <c r="K92" s="36">
        <v>-3</v>
      </c>
      <c r="L92" s="45">
        <v>-3</v>
      </c>
      <c r="M92" s="45">
        <v>-3</v>
      </c>
      <c r="N92" s="45">
        <v>-3</v>
      </c>
      <c r="O92" s="36">
        <v>-3</v>
      </c>
      <c r="P92" s="36">
        <v>-3</v>
      </c>
      <c r="Q92" s="36">
        <v>-3</v>
      </c>
      <c r="R92" s="36">
        <v>-3</v>
      </c>
      <c r="S92" s="36">
        <v>-3</v>
      </c>
      <c r="T92" s="45">
        <v>-3</v>
      </c>
      <c r="U92" s="45">
        <v>-3</v>
      </c>
      <c r="V92" s="45">
        <v>-3</v>
      </c>
      <c r="W92" s="45">
        <v>-3</v>
      </c>
      <c r="X92" s="103">
        <v>-3</v>
      </c>
      <c r="Y92" s="81">
        <v>-3</v>
      </c>
      <c r="Z92" s="19">
        <v>-3</v>
      </c>
      <c r="AA92" s="48">
        <v>-3</v>
      </c>
      <c r="AB92" s="10">
        <v>-3</v>
      </c>
      <c r="AC92" s="10">
        <v>-3</v>
      </c>
      <c r="AD92" s="10">
        <v>-3</v>
      </c>
      <c r="AE92" s="42">
        <v>67</v>
      </c>
      <c r="AF92" s="43">
        <v>1.5666666666666667</v>
      </c>
      <c r="AG92" s="36">
        <v>80</v>
      </c>
      <c r="AH92" s="35">
        <v>3.9738833292653157</v>
      </c>
      <c r="AI92" s="50">
        <v>40450</v>
      </c>
      <c r="AJ92" s="50" t="s">
        <v>148</v>
      </c>
      <c r="AK92" s="50">
        <v>100</v>
      </c>
      <c r="AL92" s="34">
        <v>-3</v>
      </c>
      <c r="AM92" s="48">
        <v>-3</v>
      </c>
      <c r="AN92" s="48">
        <v>-3</v>
      </c>
      <c r="AO92" s="48">
        <v>-3</v>
      </c>
      <c r="AP92" s="48">
        <v>-3</v>
      </c>
      <c r="AQ92" s="48">
        <v>-3</v>
      </c>
      <c r="AR92" s="48">
        <v>-3</v>
      </c>
      <c r="AS92" s="10">
        <v>-3</v>
      </c>
      <c r="AT92" s="10">
        <v>-3</v>
      </c>
      <c r="AU92" s="44">
        <v>-1</v>
      </c>
      <c r="AV92" s="48">
        <v>-1</v>
      </c>
      <c r="AW92" s="48">
        <v>-1</v>
      </c>
      <c r="AX92" s="48">
        <v>-1</v>
      </c>
      <c r="AY92" s="48">
        <v>-1</v>
      </c>
      <c r="AZ92" s="45">
        <v>1</v>
      </c>
      <c r="BA92" s="36">
        <v>49.06028801562119</v>
      </c>
      <c r="BB92" s="43">
        <v>1.2</v>
      </c>
      <c r="BC92" s="45">
        <v>-1</v>
      </c>
      <c r="BD92" s="45">
        <v>-1</v>
      </c>
      <c r="BE92" s="45">
        <v>-1</v>
      </c>
      <c r="BF92" s="45">
        <v>-1</v>
      </c>
      <c r="BG92" s="45">
        <v>-1</v>
      </c>
      <c r="BH92" s="45">
        <v>-1</v>
      </c>
      <c r="BI92" s="45">
        <v>100</v>
      </c>
      <c r="BJ92" s="28">
        <v>-1</v>
      </c>
      <c r="BK92" s="48">
        <v>-1</v>
      </c>
      <c r="BL92" s="48">
        <v>-1</v>
      </c>
      <c r="BM92" s="48">
        <v>-1</v>
      </c>
      <c r="BN92" s="48">
        <v>-1</v>
      </c>
      <c r="BO92" s="48">
        <v>-1</v>
      </c>
    </row>
    <row r="93" spans="1:67" s="50" customFormat="1" ht="15" customHeight="1" x14ac:dyDescent="0.25">
      <c r="A93" s="50">
        <v>92</v>
      </c>
      <c r="B93" s="36">
        <v>4010</v>
      </c>
      <c r="C93" s="46">
        <v>4010</v>
      </c>
      <c r="D93" s="45" t="s">
        <v>5</v>
      </c>
      <c r="E93" s="25" t="s">
        <v>410</v>
      </c>
      <c r="F93" s="39">
        <v>-3</v>
      </c>
      <c r="G93" s="45">
        <v>-3</v>
      </c>
      <c r="H93" s="45">
        <v>-3</v>
      </c>
      <c r="I93" s="36">
        <v>-3</v>
      </c>
      <c r="J93" s="45">
        <v>-3</v>
      </c>
      <c r="K93" s="45">
        <v>-3</v>
      </c>
      <c r="L93" s="45">
        <v>-3</v>
      </c>
      <c r="M93" s="45">
        <v>-3</v>
      </c>
      <c r="N93" s="45">
        <v>-3</v>
      </c>
      <c r="O93" s="45">
        <v>-3</v>
      </c>
      <c r="P93" s="45">
        <v>-3</v>
      </c>
      <c r="Q93" s="45">
        <v>-3</v>
      </c>
      <c r="R93" s="45">
        <v>-3</v>
      </c>
      <c r="S93" s="45">
        <v>-3</v>
      </c>
      <c r="T93" s="45">
        <v>-3</v>
      </c>
      <c r="U93" s="45">
        <v>-3</v>
      </c>
      <c r="V93" s="45">
        <v>-3</v>
      </c>
      <c r="W93" s="45">
        <v>-3</v>
      </c>
      <c r="X93" s="103">
        <v>-3</v>
      </c>
      <c r="Y93" s="81">
        <v>-3</v>
      </c>
      <c r="Z93" s="10">
        <v>-3</v>
      </c>
      <c r="AA93" s="48">
        <v>-3</v>
      </c>
      <c r="AB93" s="10">
        <v>-3</v>
      </c>
      <c r="AC93" s="10">
        <v>-3</v>
      </c>
      <c r="AD93" s="10">
        <v>-3</v>
      </c>
      <c r="AE93" s="42">
        <v>100</v>
      </c>
      <c r="AF93" s="43">
        <v>0.5</v>
      </c>
      <c r="AG93" s="36">
        <v>0</v>
      </c>
      <c r="AH93" s="35">
        <v>0.17</v>
      </c>
      <c r="AI93" s="50">
        <v>42236</v>
      </c>
      <c r="AJ93" s="50" t="s">
        <v>207</v>
      </c>
      <c r="AK93" s="50">
        <v>100</v>
      </c>
      <c r="AL93" s="34">
        <v>-3</v>
      </c>
      <c r="AM93" s="48">
        <v>-3</v>
      </c>
      <c r="AN93" s="48">
        <v>-3</v>
      </c>
      <c r="AO93" s="48">
        <v>-3</v>
      </c>
      <c r="AP93" s="48">
        <v>-3</v>
      </c>
      <c r="AQ93" s="48">
        <v>-3</v>
      </c>
      <c r="AR93" s="48">
        <v>-3</v>
      </c>
      <c r="AS93" s="10">
        <v>-3</v>
      </c>
      <c r="AT93" s="10">
        <v>-3</v>
      </c>
      <c r="AU93" s="44">
        <v>-1</v>
      </c>
      <c r="AV93" s="48">
        <v>-1</v>
      </c>
      <c r="AW93" s="48">
        <v>-1</v>
      </c>
      <c r="AX93" s="48">
        <v>-1</v>
      </c>
      <c r="AY93" s="48">
        <v>-1</v>
      </c>
      <c r="AZ93" s="45">
        <v>2</v>
      </c>
      <c r="BA93" s="45">
        <v>65</v>
      </c>
      <c r="BB93" s="35">
        <v>0.5</v>
      </c>
      <c r="BC93" s="53">
        <v>-1</v>
      </c>
      <c r="BD93" s="53">
        <v>-1</v>
      </c>
      <c r="BE93" s="53">
        <v>-1</v>
      </c>
      <c r="BF93" s="53">
        <v>-1</v>
      </c>
      <c r="BG93" s="53">
        <v>-1</v>
      </c>
      <c r="BH93" s="53">
        <v>-1</v>
      </c>
      <c r="BI93" s="45">
        <v>100</v>
      </c>
      <c r="BJ93" s="28">
        <v>-1</v>
      </c>
      <c r="BK93" s="48">
        <v>-1</v>
      </c>
      <c r="BL93" s="48">
        <v>-1</v>
      </c>
      <c r="BM93" s="48">
        <v>-1</v>
      </c>
      <c r="BN93" s="48">
        <v>-1</v>
      </c>
      <c r="BO93" s="48">
        <v>-1</v>
      </c>
    </row>
    <row r="94" spans="1:67" s="50" customFormat="1" ht="15" customHeight="1" x14ac:dyDescent="0.25">
      <c r="A94" s="50">
        <v>93</v>
      </c>
      <c r="B94" s="36">
        <v>4011</v>
      </c>
      <c r="C94" s="46">
        <v>4011</v>
      </c>
      <c r="D94" s="45" t="s">
        <v>5</v>
      </c>
      <c r="E94" s="25" t="s">
        <v>411</v>
      </c>
      <c r="F94" s="39">
        <v>-3</v>
      </c>
      <c r="G94" s="45">
        <v>-3</v>
      </c>
      <c r="H94" s="45">
        <v>-3</v>
      </c>
      <c r="I94" s="36">
        <v>-3</v>
      </c>
      <c r="J94" s="45">
        <v>-3</v>
      </c>
      <c r="K94" s="45">
        <v>-3</v>
      </c>
      <c r="L94" s="45">
        <v>-3</v>
      </c>
      <c r="M94" s="45">
        <v>-3</v>
      </c>
      <c r="N94" s="45">
        <v>-3</v>
      </c>
      <c r="O94" s="45">
        <v>-3</v>
      </c>
      <c r="P94" s="45">
        <v>-3</v>
      </c>
      <c r="Q94" s="45">
        <v>-3</v>
      </c>
      <c r="R94" s="45">
        <v>-3</v>
      </c>
      <c r="S94" s="45">
        <v>-3</v>
      </c>
      <c r="T94" s="45">
        <v>-3</v>
      </c>
      <c r="U94" s="45">
        <v>-3</v>
      </c>
      <c r="V94" s="45">
        <v>-3</v>
      </c>
      <c r="W94" s="45">
        <v>-3</v>
      </c>
      <c r="X94" s="103">
        <v>-3</v>
      </c>
      <c r="Y94" s="81">
        <v>-3</v>
      </c>
      <c r="Z94" s="10">
        <v>-3</v>
      </c>
      <c r="AA94" s="48">
        <v>-3</v>
      </c>
      <c r="AB94" s="10">
        <v>-3</v>
      </c>
      <c r="AC94" s="10">
        <v>-3</v>
      </c>
      <c r="AD94" s="10">
        <v>-3</v>
      </c>
      <c r="AE94" s="42">
        <v>100</v>
      </c>
      <c r="AF94" s="43">
        <v>0.5</v>
      </c>
      <c r="AG94" s="45">
        <v>0</v>
      </c>
      <c r="AH94" s="35">
        <v>1.29</v>
      </c>
      <c r="AI94" s="50">
        <v>41976</v>
      </c>
      <c r="AJ94" s="50" t="s">
        <v>209</v>
      </c>
      <c r="AK94" s="50">
        <v>100</v>
      </c>
      <c r="AL94" s="34">
        <v>-3</v>
      </c>
      <c r="AM94" s="48">
        <v>-3</v>
      </c>
      <c r="AN94" s="48">
        <v>-3</v>
      </c>
      <c r="AO94" s="48">
        <v>-3</v>
      </c>
      <c r="AP94" s="48">
        <v>-3</v>
      </c>
      <c r="AQ94" s="48">
        <v>-3</v>
      </c>
      <c r="AR94" s="48">
        <v>-3</v>
      </c>
      <c r="AS94" s="10">
        <v>-3</v>
      </c>
      <c r="AT94" s="10">
        <v>-3</v>
      </c>
      <c r="AU94" s="44">
        <v>-1</v>
      </c>
      <c r="AV94" s="48">
        <v>-1</v>
      </c>
      <c r="AW94" s="48">
        <v>-1</v>
      </c>
      <c r="AX94" s="48">
        <v>-1</v>
      </c>
      <c r="AY94" s="48">
        <v>-1</v>
      </c>
      <c r="AZ94" s="45">
        <v>2</v>
      </c>
      <c r="BA94" s="45">
        <v>65</v>
      </c>
      <c r="BB94" s="35">
        <v>0.5</v>
      </c>
      <c r="BC94" s="53">
        <v>-1</v>
      </c>
      <c r="BD94" s="53">
        <v>-1</v>
      </c>
      <c r="BE94" s="53">
        <v>-1</v>
      </c>
      <c r="BF94" s="53">
        <v>-1</v>
      </c>
      <c r="BG94" s="53">
        <v>-1</v>
      </c>
      <c r="BH94" s="53">
        <v>-1</v>
      </c>
      <c r="BI94" s="45">
        <v>100</v>
      </c>
      <c r="BJ94" s="28">
        <v>-1</v>
      </c>
      <c r="BK94" s="48">
        <v>-1</v>
      </c>
      <c r="BL94" s="48">
        <v>-1</v>
      </c>
      <c r="BM94" s="48">
        <v>-1</v>
      </c>
      <c r="BN94" s="48">
        <v>-1</v>
      </c>
      <c r="BO94" s="48">
        <v>-1</v>
      </c>
    </row>
    <row r="95" spans="1:67" s="50" customFormat="1" ht="15" customHeight="1" x14ac:dyDescent="0.25">
      <c r="A95" s="50">
        <v>94</v>
      </c>
      <c r="B95" s="36">
        <v>4012</v>
      </c>
      <c r="C95" s="46">
        <v>4012</v>
      </c>
      <c r="D95" s="45" t="s">
        <v>5</v>
      </c>
      <c r="E95" s="25" t="s">
        <v>412</v>
      </c>
      <c r="F95" s="39">
        <v>-3</v>
      </c>
      <c r="G95" s="45">
        <v>-3</v>
      </c>
      <c r="H95" s="45">
        <v>-3</v>
      </c>
      <c r="I95" s="36">
        <v>-3</v>
      </c>
      <c r="J95" s="45">
        <v>-3</v>
      </c>
      <c r="K95" s="45">
        <v>-3</v>
      </c>
      <c r="L95" s="45">
        <v>-3</v>
      </c>
      <c r="M95" s="45">
        <v>-3</v>
      </c>
      <c r="N95" s="45">
        <v>-3</v>
      </c>
      <c r="O95" s="45">
        <v>-3</v>
      </c>
      <c r="P95" s="45">
        <v>-3</v>
      </c>
      <c r="Q95" s="45">
        <v>-3</v>
      </c>
      <c r="R95" s="45">
        <v>-3</v>
      </c>
      <c r="S95" s="45">
        <v>-3</v>
      </c>
      <c r="T95" s="45">
        <v>-3</v>
      </c>
      <c r="U95" s="45">
        <v>-3</v>
      </c>
      <c r="V95" s="45">
        <v>-3</v>
      </c>
      <c r="W95" s="45">
        <v>-3</v>
      </c>
      <c r="X95" s="103">
        <v>-3</v>
      </c>
      <c r="Y95" s="81">
        <v>-3</v>
      </c>
      <c r="Z95" s="10">
        <v>-3</v>
      </c>
      <c r="AA95" s="48">
        <v>-3</v>
      </c>
      <c r="AB95" s="10">
        <v>-3</v>
      </c>
      <c r="AC95" s="10">
        <v>-3</v>
      </c>
      <c r="AD95" s="10">
        <v>-3</v>
      </c>
      <c r="AE95" s="42">
        <v>100</v>
      </c>
      <c r="AF95" s="66">
        <v>0.5</v>
      </c>
      <c r="AG95" s="62">
        <v>0</v>
      </c>
      <c r="AH95" s="63">
        <v>0.48</v>
      </c>
      <c r="AI95" s="50">
        <v>42269</v>
      </c>
      <c r="AJ95" s="50" t="s">
        <v>206</v>
      </c>
      <c r="AK95" s="50">
        <v>100</v>
      </c>
      <c r="AL95" s="34">
        <v>-3</v>
      </c>
      <c r="AM95" s="48">
        <v>-3</v>
      </c>
      <c r="AN95" s="48">
        <v>-3</v>
      </c>
      <c r="AO95" s="48">
        <v>-3</v>
      </c>
      <c r="AP95" s="48">
        <v>-3</v>
      </c>
      <c r="AQ95" s="48">
        <v>-3</v>
      </c>
      <c r="AR95" s="48">
        <v>-3</v>
      </c>
      <c r="AS95" s="10">
        <v>-3</v>
      </c>
      <c r="AT95" s="10">
        <v>-3</v>
      </c>
      <c r="AU95" s="44">
        <v>-1</v>
      </c>
      <c r="AV95" s="48">
        <v>-1</v>
      </c>
      <c r="AW95" s="48">
        <v>-1</v>
      </c>
      <c r="AX95" s="48">
        <v>-1</v>
      </c>
      <c r="AY95" s="48">
        <v>-1</v>
      </c>
      <c r="AZ95" s="45">
        <v>2</v>
      </c>
      <c r="BA95" s="45">
        <v>65</v>
      </c>
      <c r="BB95" s="35">
        <v>0.5</v>
      </c>
      <c r="BC95" s="53">
        <v>-1</v>
      </c>
      <c r="BD95" s="53">
        <v>-1</v>
      </c>
      <c r="BE95" s="53">
        <v>-1</v>
      </c>
      <c r="BF95" s="53">
        <v>-1</v>
      </c>
      <c r="BG95" s="53">
        <v>-1</v>
      </c>
      <c r="BH95" s="53">
        <v>-1</v>
      </c>
      <c r="BI95" s="45">
        <v>100</v>
      </c>
      <c r="BJ95" s="28">
        <v>-1</v>
      </c>
      <c r="BK95" s="48">
        <v>-1</v>
      </c>
      <c r="BL95" s="48">
        <v>-1</v>
      </c>
      <c r="BM95" s="48">
        <v>-1</v>
      </c>
      <c r="BN95" s="48">
        <v>-1</v>
      </c>
      <c r="BO95" s="48">
        <v>-1</v>
      </c>
    </row>
    <row r="96" spans="1:67" s="50" customFormat="1" ht="15" customHeight="1" x14ac:dyDescent="0.25">
      <c r="A96" s="50">
        <v>95</v>
      </c>
      <c r="B96" s="36">
        <v>4013</v>
      </c>
      <c r="C96" s="46">
        <v>4013</v>
      </c>
      <c r="D96" s="45" t="s">
        <v>5</v>
      </c>
      <c r="E96" s="25" t="s">
        <v>413</v>
      </c>
      <c r="F96" s="39">
        <v>-3</v>
      </c>
      <c r="G96" s="45">
        <v>-3</v>
      </c>
      <c r="H96" s="45">
        <v>-3</v>
      </c>
      <c r="I96" s="36">
        <v>-3</v>
      </c>
      <c r="J96" s="45">
        <v>-3</v>
      </c>
      <c r="K96" s="45">
        <v>-3</v>
      </c>
      <c r="L96" s="45">
        <v>-3</v>
      </c>
      <c r="M96" s="45">
        <v>-3</v>
      </c>
      <c r="N96" s="45">
        <v>-3</v>
      </c>
      <c r="O96" s="45">
        <v>-3</v>
      </c>
      <c r="P96" s="45">
        <v>-3</v>
      </c>
      <c r="Q96" s="45">
        <v>-3</v>
      </c>
      <c r="R96" s="45">
        <v>-3</v>
      </c>
      <c r="S96" s="45">
        <v>-3</v>
      </c>
      <c r="T96" s="45">
        <v>-3</v>
      </c>
      <c r="U96" s="45">
        <v>-3</v>
      </c>
      <c r="V96" s="45">
        <v>-3</v>
      </c>
      <c r="W96" s="45">
        <v>-3</v>
      </c>
      <c r="X96" s="103">
        <v>-3</v>
      </c>
      <c r="Y96" s="81">
        <v>-3</v>
      </c>
      <c r="Z96" s="10">
        <v>-3</v>
      </c>
      <c r="AA96" s="48">
        <v>-3</v>
      </c>
      <c r="AB96" s="10">
        <v>-3</v>
      </c>
      <c r="AC96" s="10">
        <v>-3</v>
      </c>
      <c r="AD96" s="10">
        <v>-3</v>
      </c>
      <c r="AE96" s="42">
        <v>100</v>
      </c>
      <c r="AF96" s="43">
        <v>0.5</v>
      </c>
      <c r="AG96" s="45">
        <v>0</v>
      </c>
      <c r="AH96" s="35">
        <v>0.17</v>
      </c>
      <c r="AI96" s="50">
        <v>26716</v>
      </c>
      <c r="AJ96" s="50" t="s">
        <v>208</v>
      </c>
      <c r="AK96" s="50">
        <v>100</v>
      </c>
      <c r="AL96" s="34">
        <v>-3</v>
      </c>
      <c r="AM96" s="48">
        <v>-3</v>
      </c>
      <c r="AN96" s="48">
        <v>-3</v>
      </c>
      <c r="AO96" s="48">
        <v>-3</v>
      </c>
      <c r="AP96" s="48">
        <v>-3</v>
      </c>
      <c r="AQ96" s="48">
        <v>-3</v>
      </c>
      <c r="AR96" s="48">
        <v>-3</v>
      </c>
      <c r="AS96" s="10">
        <v>-3</v>
      </c>
      <c r="AT96" s="10">
        <v>-3</v>
      </c>
      <c r="AU96" s="44">
        <v>-1</v>
      </c>
      <c r="AV96" s="48">
        <v>-1</v>
      </c>
      <c r="AW96" s="48">
        <v>-1</v>
      </c>
      <c r="AX96" s="48">
        <v>-1</v>
      </c>
      <c r="AY96" s="48">
        <v>-1</v>
      </c>
      <c r="AZ96" s="45">
        <v>2</v>
      </c>
      <c r="BA96" s="45">
        <v>65</v>
      </c>
      <c r="BB96" s="35">
        <v>0.5</v>
      </c>
      <c r="BC96" s="53">
        <v>-1</v>
      </c>
      <c r="BD96" s="53">
        <v>-1</v>
      </c>
      <c r="BE96" s="53">
        <v>-1</v>
      </c>
      <c r="BF96" s="53">
        <v>-1</v>
      </c>
      <c r="BG96" s="53">
        <v>-1</v>
      </c>
      <c r="BH96" s="53">
        <v>-1</v>
      </c>
      <c r="BI96" s="45">
        <v>100</v>
      </c>
      <c r="BJ96" s="28">
        <v>-1</v>
      </c>
      <c r="BK96" s="48">
        <v>-1</v>
      </c>
      <c r="BL96" s="48">
        <v>-1</v>
      </c>
      <c r="BM96" s="48">
        <v>-1</v>
      </c>
      <c r="BN96" s="48">
        <v>-1</v>
      </c>
      <c r="BO96" s="48">
        <v>-1</v>
      </c>
    </row>
    <row r="97" spans="1:67" s="50" customFormat="1" ht="15" customHeight="1" x14ac:dyDescent="0.25">
      <c r="A97" s="50">
        <v>96</v>
      </c>
      <c r="B97" s="36">
        <v>4017</v>
      </c>
      <c r="C97" s="46">
        <v>4017</v>
      </c>
      <c r="D97" s="45" t="s">
        <v>5</v>
      </c>
      <c r="E97" s="25" t="s">
        <v>416</v>
      </c>
      <c r="F97" s="39">
        <v>-3</v>
      </c>
      <c r="G97" s="45">
        <v>-3</v>
      </c>
      <c r="H97" s="45">
        <v>-3</v>
      </c>
      <c r="I97" s="36">
        <v>-3</v>
      </c>
      <c r="J97" s="45">
        <v>-3</v>
      </c>
      <c r="K97" s="45">
        <v>-3</v>
      </c>
      <c r="L97" s="45">
        <v>-3</v>
      </c>
      <c r="M97" s="45">
        <v>-3</v>
      </c>
      <c r="N97" s="45">
        <v>-3</v>
      </c>
      <c r="O97" s="45">
        <v>-3</v>
      </c>
      <c r="P97" s="45">
        <v>-3</v>
      </c>
      <c r="Q97" s="45">
        <v>-3</v>
      </c>
      <c r="R97" s="45">
        <v>-3</v>
      </c>
      <c r="S97" s="45">
        <v>-3</v>
      </c>
      <c r="T97" s="45">
        <v>-3</v>
      </c>
      <c r="U97" s="45">
        <v>-3</v>
      </c>
      <c r="V97" s="45">
        <v>-3</v>
      </c>
      <c r="W97" s="45">
        <v>-3</v>
      </c>
      <c r="X97" s="103">
        <v>-3</v>
      </c>
      <c r="Y97" s="81">
        <v>-3</v>
      </c>
      <c r="Z97" s="10">
        <v>-3</v>
      </c>
      <c r="AA97" s="48">
        <v>-3</v>
      </c>
      <c r="AB97" s="10">
        <v>-3</v>
      </c>
      <c r="AC97" s="10">
        <v>-3</v>
      </c>
      <c r="AD97" s="10">
        <v>-3</v>
      </c>
      <c r="AE97" s="42">
        <v>75</v>
      </c>
      <c r="AF97" s="66">
        <v>0.1</v>
      </c>
      <c r="AG97" s="62">
        <v>0</v>
      </c>
      <c r="AH97" s="35">
        <v>0</v>
      </c>
      <c r="AI97" s="50">
        <v>505272</v>
      </c>
      <c r="AJ97" s="47" t="s">
        <v>417</v>
      </c>
      <c r="AK97" s="50">
        <v>100</v>
      </c>
      <c r="AL97" s="34">
        <v>-3</v>
      </c>
      <c r="AM97" s="48">
        <v>-3</v>
      </c>
      <c r="AN97" s="48">
        <v>-3</v>
      </c>
      <c r="AO97" s="48">
        <v>-3</v>
      </c>
      <c r="AP97" s="48">
        <v>-3</v>
      </c>
      <c r="AQ97" s="48">
        <v>-3</v>
      </c>
      <c r="AR97" s="48">
        <v>-3</v>
      </c>
      <c r="AS97" s="10">
        <v>-3</v>
      </c>
      <c r="AT97" s="10">
        <v>-3</v>
      </c>
      <c r="AU97" s="44">
        <v>-1</v>
      </c>
      <c r="AV97" s="48">
        <v>-1</v>
      </c>
      <c r="AW97" s="48">
        <v>-1</v>
      </c>
      <c r="AX97" s="48">
        <v>-1</v>
      </c>
      <c r="AY97" s="48">
        <v>-1</v>
      </c>
      <c r="AZ97" s="45">
        <v>2</v>
      </c>
      <c r="BA97" s="45">
        <v>65</v>
      </c>
      <c r="BB97" s="35">
        <v>0.5</v>
      </c>
      <c r="BC97" s="53">
        <v>-1</v>
      </c>
      <c r="BD97" s="53">
        <v>-1</v>
      </c>
      <c r="BE97" s="53">
        <v>-1</v>
      </c>
      <c r="BF97" s="53">
        <v>-1</v>
      </c>
      <c r="BG97" s="53">
        <v>-1</v>
      </c>
      <c r="BH97" s="53">
        <v>-1</v>
      </c>
      <c r="BI97" s="45">
        <v>100</v>
      </c>
      <c r="BJ97" s="28">
        <v>-1</v>
      </c>
      <c r="BK97" s="48">
        <v>-1</v>
      </c>
      <c r="BL97" s="48">
        <v>-1</v>
      </c>
      <c r="BM97" s="48">
        <v>-1</v>
      </c>
      <c r="BN97" s="48">
        <v>-1</v>
      </c>
      <c r="BO97" s="48">
        <v>-1</v>
      </c>
    </row>
    <row r="98" spans="1:67" s="50" customFormat="1" ht="15" customHeight="1" x14ac:dyDescent="0.25">
      <c r="A98" s="50">
        <v>97</v>
      </c>
      <c r="B98" s="36">
        <v>4018</v>
      </c>
      <c r="C98" s="46">
        <v>4018</v>
      </c>
      <c r="D98" s="45" t="s">
        <v>5</v>
      </c>
      <c r="E98" s="25" t="s">
        <v>418</v>
      </c>
      <c r="F98" s="39">
        <v>-3</v>
      </c>
      <c r="G98" s="45">
        <v>-3</v>
      </c>
      <c r="H98" s="45">
        <v>-3</v>
      </c>
      <c r="I98" s="36">
        <v>-3</v>
      </c>
      <c r="J98" s="45">
        <v>-3</v>
      </c>
      <c r="K98" s="45">
        <v>-3</v>
      </c>
      <c r="L98" s="45">
        <v>-3</v>
      </c>
      <c r="M98" s="45">
        <v>-3</v>
      </c>
      <c r="N98" s="45">
        <v>-3</v>
      </c>
      <c r="O98" s="45">
        <v>-3</v>
      </c>
      <c r="P98" s="45">
        <v>-3</v>
      </c>
      <c r="Q98" s="45">
        <v>-3</v>
      </c>
      <c r="R98" s="45">
        <v>-3</v>
      </c>
      <c r="S98" s="45">
        <v>-3</v>
      </c>
      <c r="T98" s="45">
        <v>-3</v>
      </c>
      <c r="U98" s="45">
        <v>-3</v>
      </c>
      <c r="V98" s="45">
        <v>-3</v>
      </c>
      <c r="W98" s="45">
        <v>-3</v>
      </c>
      <c r="X98" s="103">
        <v>-3</v>
      </c>
      <c r="Y98" s="81">
        <v>-3</v>
      </c>
      <c r="Z98" s="10">
        <v>-3</v>
      </c>
      <c r="AA98" s="48">
        <v>-3</v>
      </c>
      <c r="AB98" s="10">
        <v>-3</v>
      </c>
      <c r="AC98" s="10">
        <v>-3</v>
      </c>
      <c r="AD98" s="10">
        <v>-3</v>
      </c>
      <c r="AE98" s="42">
        <v>100</v>
      </c>
      <c r="AF98" s="66">
        <v>0.5</v>
      </c>
      <c r="AG98" s="62">
        <v>0</v>
      </c>
      <c r="AH98" s="63">
        <v>1.22</v>
      </c>
      <c r="AI98" s="50">
        <v>41088</v>
      </c>
      <c r="AJ98" s="50" t="s">
        <v>420</v>
      </c>
      <c r="AK98" s="50">
        <v>100</v>
      </c>
      <c r="AL98" s="34">
        <v>-3</v>
      </c>
      <c r="AM98" s="48">
        <v>-3</v>
      </c>
      <c r="AN98" s="48">
        <v>-3</v>
      </c>
      <c r="AO98" s="48">
        <v>-3</v>
      </c>
      <c r="AP98" s="48">
        <v>-3</v>
      </c>
      <c r="AQ98" s="48">
        <v>-3</v>
      </c>
      <c r="AR98" s="48">
        <v>-3</v>
      </c>
      <c r="AS98" s="10">
        <v>-3</v>
      </c>
      <c r="AT98" s="10">
        <v>-3</v>
      </c>
      <c r="AU98" s="44">
        <v>-1</v>
      </c>
      <c r="AV98" s="48">
        <v>-1</v>
      </c>
      <c r="AW98" s="48">
        <v>-1</v>
      </c>
      <c r="AX98" s="48">
        <v>-1</v>
      </c>
      <c r="AY98" s="48">
        <v>-1</v>
      </c>
      <c r="AZ98" s="45">
        <v>2</v>
      </c>
      <c r="BA98" s="45">
        <v>65</v>
      </c>
      <c r="BB98" s="35">
        <v>0.5</v>
      </c>
      <c r="BC98" s="53">
        <v>-1</v>
      </c>
      <c r="BD98" s="53">
        <v>-1</v>
      </c>
      <c r="BE98" s="53">
        <v>-1</v>
      </c>
      <c r="BF98" s="53">
        <v>-1</v>
      </c>
      <c r="BG98" s="53">
        <v>-1</v>
      </c>
      <c r="BH98" s="53">
        <v>-1</v>
      </c>
      <c r="BI98" s="45">
        <v>100</v>
      </c>
      <c r="BJ98" s="28">
        <v>-1</v>
      </c>
      <c r="BK98" s="48">
        <v>-1</v>
      </c>
      <c r="BL98" s="48">
        <v>-1</v>
      </c>
      <c r="BM98" s="48">
        <v>-1</v>
      </c>
      <c r="BN98" s="48">
        <v>-1</v>
      </c>
      <c r="BO98" s="48">
        <v>-1</v>
      </c>
    </row>
    <row r="99" spans="1:67" s="50" customFormat="1" ht="15" customHeight="1" x14ac:dyDescent="0.25">
      <c r="A99" s="50">
        <v>98</v>
      </c>
      <c r="B99" s="36">
        <v>4020</v>
      </c>
      <c r="C99" s="46">
        <v>4020</v>
      </c>
      <c r="D99" s="45" t="s">
        <v>5</v>
      </c>
      <c r="E99" s="38" t="s">
        <v>427</v>
      </c>
      <c r="F99" s="39">
        <v>12.9932</v>
      </c>
      <c r="G99" s="56">
        <v>12.9932</v>
      </c>
      <c r="H99" s="67">
        <v>10.125735172413792</v>
      </c>
      <c r="I99" s="36">
        <v>43.08989501312336</v>
      </c>
      <c r="J99" s="67">
        <v>25.568493023995678</v>
      </c>
      <c r="K99" s="67">
        <v>10.020905817005433</v>
      </c>
      <c r="L99" s="36">
        <v>19478</v>
      </c>
      <c r="M99" s="36" t="s">
        <v>352</v>
      </c>
      <c r="N99" s="36">
        <v>100</v>
      </c>
      <c r="O99" s="43">
        <v>7.398792413793104</v>
      </c>
      <c r="P99" s="36">
        <v>15.319349379310347</v>
      </c>
      <c r="Q99" s="43">
        <v>27.612150483039514</v>
      </c>
      <c r="R99" s="43">
        <v>15.655387860476216</v>
      </c>
      <c r="S99" s="43">
        <v>5.3502527148429921</v>
      </c>
      <c r="T99" s="36">
        <v>19478</v>
      </c>
      <c r="U99" s="36" t="s">
        <v>352</v>
      </c>
      <c r="V99" s="36">
        <v>100</v>
      </c>
      <c r="W99" s="45">
        <v>1</v>
      </c>
      <c r="X99" s="103">
        <v>2</v>
      </c>
      <c r="Y99" s="29">
        <v>27.006799999999998</v>
      </c>
      <c r="Z99" s="45">
        <v>6.5</v>
      </c>
      <c r="AA99" s="45">
        <v>85</v>
      </c>
      <c r="AB99" s="50">
        <v>23571</v>
      </c>
      <c r="AC99" s="50" t="s">
        <v>161</v>
      </c>
      <c r="AD99" s="50">
        <v>100</v>
      </c>
      <c r="AE99" s="42">
        <v>60</v>
      </c>
      <c r="AF99" s="43">
        <v>0.5</v>
      </c>
      <c r="AG99" s="45">
        <v>0</v>
      </c>
      <c r="AH99" s="45">
        <v>0.10200000000000001</v>
      </c>
      <c r="AI99" s="50">
        <v>42236</v>
      </c>
      <c r="AJ99" s="50" t="s">
        <v>207</v>
      </c>
      <c r="AK99" s="50">
        <v>100</v>
      </c>
      <c r="AL99" s="34">
        <v>3</v>
      </c>
      <c r="AM99" s="43">
        <v>0.8</v>
      </c>
      <c r="AN99" s="35">
        <v>7.0057379310344836E-2</v>
      </c>
      <c r="AO99" s="35">
        <v>0.11608344827586205</v>
      </c>
      <c r="AP99" s="35">
        <v>0.22483531034482759</v>
      </c>
      <c r="AQ99" s="84">
        <v>0.27045406896551727</v>
      </c>
      <c r="AR99" s="46">
        <v>19478</v>
      </c>
      <c r="AS99" s="50" t="s">
        <v>352</v>
      </c>
      <c r="AT99" s="50">
        <v>100</v>
      </c>
      <c r="AU99" s="44">
        <v>-1</v>
      </c>
      <c r="AV99" s="48">
        <v>-1</v>
      </c>
      <c r="AW99" s="48">
        <v>-1</v>
      </c>
      <c r="AX99" s="48">
        <v>-1</v>
      </c>
      <c r="AY99" s="48">
        <v>-1</v>
      </c>
      <c r="AZ99" s="45">
        <v>2</v>
      </c>
      <c r="BA99" s="43">
        <v>53</v>
      </c>
      <c r="BB99" s="45">
        <v>0.8</v>
      </c>
      <c r="BC99" s="45">
        <v>-1</v>
      </c>
      <c r="BD99" s="45">
        <v>-1</v>
      </c>
      <c r="BE99" s="45">
        <v>-1</v>
      </c>
      <c r="BF99" s="45">
        <v>40</v>
      </c>
      <c r="BG99" s="45">
        <v>-1</v>
      </c>
      <c r="BH99" s="45">
        <v>-1</v>
      </c>
      <c r="BI99" s="45">
        <v>60</v>
      </c>
      <c r="BJ99" s="28">
        <v>1</v>
      </c>
      <c r="BK99" s="56">
        <v>11.695809364791289</v>
      </c>
      <c r="BL99" s="45">
        <v>0.6</v>
      </c>
      <c r="BM99" s="45">
        <v>3</v>
      </c>
      <c r="BN99" s="56">
        <v>9.3548467513611619</v>
      </c>
      <c r="BO99" s="45">
        <v>0.3</v>
      </c>
    </row>
    <row r="100" spans="1:67" s="50" customFormat="1" ht="15" customHeight="1" x14ac:dyDescent="0.25">
      <c r="A100" s="50">
        <v>99</v>
      </c>
      <c r="B100" s="36">
        <v>4021</v>
      </c>
      <c r="C100" s="46">
        <v>4021</v>
      </c>
      <c r="D100" s="45" t="s">
        <v>5</v>
      </c>
      <c r="E100" s="38" t="s">
        <v>426</v>
      </c>
      <c r="F100" s="39">
        <v>30.4831</v>
      </c>
      <c r="G100" s="56">
        <v>30.4831</v>
      </c>
      <c r="H100" s="67">
        <v>23.755795172413794</v>
      </c>
      <c r="I100" s="36">
        <v>60.744094488188978</v>
      </c>
      <c r="J100" s="67">
        <v>36.044064523647016</v>
      </c>
      <c r="K100" s="67">
        <v>14.126533601904413</v>
      </c>
      <c r="L100" s="36">
        <v>19478</v>
      </c>
      <c r="M100" s="36" t="s">
        <v>352</v>
      </c>
      <c r="N100" s="36">
        <v>100</v>
      </c>
      <c r="O100" s="43">
        <v>17.358166504702194</v>
      </c>
      <c r="P100" s="36">
        <v>35.940434924764887</v>
      </c>
      <c r="Q100" s="43">
        <v>38.925021224883885</v>
      </c>
      <c r="R100" s="43">
        <v>22.06949817715703</v>
      </c>
      <c r="S100" s="43">
        <v>7.5422847130895123</v>
      </c>
      <c r="T100" s="36">
        <v>19478</v>
      </c>
      <c r="U100" s="36" t="s">
        <v>352</v>
      </c>
      <c r="V100" s="36">
        <v>100</v>
      </c>
      <c r="W100" s="45">
        <v>1</v>
      </c>
      <c r="X100" s="103">
        <v>2</v>
      </c>
      <c r="Y100" s="29">
        <v>9.5168999999999926</v>
      </c>
      <c r="Z100" s="45">
        <v>6.5</v>
      </c>
      <c r="AA100" s="45">
        <v>85</v>
      </c>
      <c r="AB100" s="50">
        <v>23571</v>
      </c>
      <c r="AC100" s="50" t="s">
        <v>161</v>
      </c>
      <c r="AD100" s="50">
        <v>100</v>
      </c>
      <c r="AE100" s="42">
        <v>60</v>
      </c>
      <c r="AF100" s="43">
        <v>0.5</v>
      </c>
      <c r="AG100" s="45">
        <v>0</v>
      </c>
      <c r="AH100" s="45">
        <v>0.77400000000000002</v>
      </c>
      <c r="AI100" s="50">
        <v>41976</v>
      </c>
      <c r="AJ100" s="50" t="s">
        <v>209</v>
      </c>
      <c r="AK100" s="50">
        <v>100</v>
      </c>
      <c r="AL100" s="34">
        <v>6</v>
      </c>
      <c r="AM100" s="43">
        <v>0.8</v>
      </c>
      <c r="AN100" s="35">
        <v>0.16436028840125394</v>
      </c>
      <c r="AO100" s="35">
        <v>0.27234117554858928</v>
      </c>
      <c r="AP100" s="35">
        <v>0.52748185579937312</v>
      </c>
      <c r="AQ100" s="84">
        <v>0.63450715987460826</v>
      </c>
      <c r="AR100" s="46">
        <v>19478</v>
      </c>
      <c r="AS100" s="50" t="s">
        <v>352</v>
      </c>
      <c r="AT100" s="50">
        <v>100</v>
      </c>
      <c r="AU100" s="44">
        <v>-1</v>
      </c>
      <c r="AV100" s="48">
        <v>-1</v>
      </c>
      <c r="AW100" s="48">
        <v>-1</v>
      </c>
      <c r="AX100" s="48">
        <v>-1</v>
      </c>
      <c r="AY100" s="48">
        <v>-1</v>
      </c>
      <c r="AZ100" s="45">
        <v>2</v>
      </c>
      <c r="BA100" s="43">
        <v>72.03377173860622</v>
      </c>
      <c r="BB100" s="45">
        <v>0.8</v>
      </c>
      <c r="BC100" s="45">
        <v>-1</v>
      </c>
      <c r="BD100" s="45">
        <v>-1</v>
      </c>
      <c r="BE100" s="45">
        <v>-1</v>
      </c>
      <c r="BF100" s="45">
        <v>40</v>
      </c>
      <c r="BG100" s="45">
        <v>-1</v>
      </c>
      <c r="BH100" s="45">
        <v>-1</v>
      </c>
      <c r="BI100" s="45">
        <v>60</v>
      </c>
      <c r="BJ100" s="28">
        <v>1</v>
      </c>
      <c r="BK100" s="56">
        <v>27.439316446131006</v>
      </c>
      <c r="BL100" s="45">
        <v>0.6</v>
      </c>
      <c r="BM100" s="45">
        <v>3</v>
      </c>
      <c r="BN100" s="56">
        <v>21.947228473849201</v>
      </c>
      <c r="BO100" s="45">
        <v>0.3</v>
      </c>
    </row>
    <row r="101" spans="1:67" s="50" customFormat="1" ht="15" customHeight="1" x14ac:dyDescent="0.25">
      <c r="A101" s="50">
        <v>100</v>
      </c>
      <c r="B101" s="36">
        <v>4022</v>
      </c>
      <c r="C101" s="46">
        <v>4022</v>
      </c>
      <c r="D101" s="45" t="s">
        <v>5</v>
      </c>
      <c r="E101" s="38" t="s">
        <v>428</v>
      </c>
      <c r="F101" s="39">
        <v>8.8365899999999993</v>
      </c>
      <c r="G101" s="56">
        <v>8.8365899999999993</v>
      </c>
      <c r="H101" s="67">
        <v>6.8864460000000003</v>
      </c>
      <c r="I101" s="36">
        <v>37.184383202099738</v>
      </c>
      <c r="J101" s="67">
        <v>22.064306311605339</v>
      </c>
      <c r="K101" s="67">
        <v>8.6475309772324973</v>
      </c>
      <c r="L101" s="36">
        <v>19478</v>
      </c>
      <c r="M101" s="36" t="s">
        <v>352</v>
      </c>
      <c r="N101" s="36">
        <v>100</v>
      </c>
      <c r="O101" s="43">
        <v>5.0318701363636364</v>
      </c>
      <c r="P101" s="36">
        <v>10.418588918181818</v>
      </c>
      <c r="Q101" s="43">
        <v>23.827878538174271</v>
      </c>
      <c r="R101" s="43">
        <v>13.509801803976407</v>
      </c>
      <c r="S101" s="43">
        <v>4.6169954026624058</v>
      </c>
      <c r="T101" s="36">
        <v>19478</v>
      </c>
      <c r="U101" s="36" t="s">
        <v>352</v>
      </c>
      <c r="V101" s="36">
        <v>100</v>
      </c>
      <c r="W101" s="45">
        <v>1</v>
      </c>
      <c r="X101" s="103">
        <v>2</v>
      </c>
      <c r="Y101" s="29">
        <v>31.163409999999999</v>
      </c>
      <c r="Z101" s="45">
        <v>6.5</v>
      </c>
      <c r="AA101" s="45">
        <v>85</v>
      </c>
      <c r="AB101" s="50">
        <v>23571</v>
      </c>
      <c r="AC101" s="50" t="s">
        <v>161</v>
      </c>
      <c r="AD101" s="50">
        <v>100</v>
      </c>
      <c r="AE101" s="42">
        <v>60</v>
      </c>
      <c r="AF101" s="43">
        <v>0.5</v>
      </c>
      <c r="AG101" s="45">
        <v>0</v>
      </c>
      <c r="AH101" s="45">
        <v>0.28799999999999998</v>
      </c>
      <c r="AI101" s="50">
        <v>42269</v>
      </c>
      <c r="AJ101" s="50" t="s">
        <v>206</v>
      </c>
      <c r="AK101" s="50">
        <v>100</v>
      </c>
      <c r="AL101" s="34">
        <v>1</v>
      </c>
      <c r="AM101" s="43">
        <v>0.8</v>
      </c>
      <c r="AN101" s="35">
        <v>4.764556363636363E-2</v>
      </c>
      <c r="AO101" s="35">
        <v>7.8947590909090884E-2</v>
      </c>
      <c r="AP101" s="35">
        <v>0.15290901818181818</v>
      </c>
      <c r="AQ101" s="84">
        <v>0.18393403636363637</v>
      </c>
      <c r="AR101" s="46">
        <v>19478</v>
      </c>
      <c r="AS101" s="50" t="s">
        <v>352</v>
      </c>
      <c r="AT101" s="50">
        <v>100</v>
      </c>
      <c r="AU101" s="44">
        <v>-1</v>
      </c>
      <c r="AV101" s="48">
        <v>-1</v>
      </c>
      <c r="AW101" s="48">
        <v>-1</v>
      </c>
      <c r="AX101" s="48">
        <v>-1</v>
      </c>
      <c r="AY101" s="48">
        <v>-1</v>
      </c>
      <c r="AZ101" s="45">
        <v>2</v>
      </c>
      <c r="BA101" s="43">
        <v>49</v>
      </c>
      <c r="BB101" s="45">
        <v>0.8</v>
      </c>
      <c r="BC101" s="45">
        <v>-1</v>
      </c>
      <c r="BD101" s="45">
        <v>-1</v>
      </c>
      <c r="BE101" s="45">
        <v>-1</v>
      </c>
      <c r="BF101" s="45">
        <v>40</v>
      </c>
      <c r="BG101" s="45">
        <v>-1</v>
      </c>
      <c r="BH101" s="45">
        <v>-1</v>
      </c>
      <c r="BI101" s="45">
        <v>60</v>
      </c>
      <c r="BJ101" s="28">
        <v>1</v>
      </c>
      <c r="BK101" s="56">
        <v>7.9542431483253591</v>
      </c>
      <c r="BL101" s="45">
        <v>0.6</v>
      </c>
      <c r="BM101" s="45">
        <v>3</v>
      </c>
      <c r="BN101" s="56">
        <v>6.3621698468899517</v>
      </c>
      <c r="BO101" s="45">
        <v>0.3</v>
      </c>
    </row>
    <row r="102" spans="1:67" s="50" customFormat="1" ht="15" customHeight="1" x14ac:dyDescent="0.25">
      <c r="A102" s="50">
        <v>101</v>
      </c>
      <c r="B102" s="36">
        <v>4023</v>
      </c>
      <c r="C102" s="46">
        <v>4023</v>
      </c>
      <c r="D102" s="45" t="s">
        <v>5</v>
      </c>
      <c r="E102" s="38" t="s">
        <v>429</v>
      </c>
      <c r="F102" s="39">
        <v>6.7966199999999999</v>
      </c>
      <c r="G102" s="56">
        <v>6.7966199999999999</v>
      </c>
      <c r="H102" s="67">
        <v>5.2966762758620689</v>
      </c>
      <c r="I102" s="36">
        <v>44.236220472440941</v>
      </c>
      <c r="J102" s="67">
        <v>26.248694600278558</v>
      </c>
      <c r="K102" s="67">
        <v>10.2874931331258</v>
      </c>
      <c r="L102" s="36">
        <v>19478</v>
      </c>
      <c r="M102" s="36" t="s">
        <v>352</v>
      </c>
      <c r="N102" s="36">
        <v>100</v>
      </c>
      <c r="O102" s="43">
        <v>3.8702383166144205</v>
      </c>
      <c r="P102" s="36">
        <v>8.0134067341692798</v>
      </c>
      <c r="Q102" s="43">
        <v>28.346719715003911</v>
      </c>
      <c r="R102" s="43">
        <v>16.071869953887898</v>
      </c>
      <c r="S102" s="43">
        <v>5.4925861064407124</v>
      </c>
      <c r="T102" s="36">
        <v>19478</v>
      </c>
      <c r="U102" s="36" t="s">
        <v>352</v>
      </c>
      <c r="V102" s="36">
        <v>100</v>
      </c>
      <c r="W102" s="45">
        <v>1</v>
      </c>
      <c r="X102" s="103">
        <v>2</v>
      </c>
      <c r="Y102" s="29">
        <v>33.203379999999996</v>
      </c>
      <c r="Z102" s="45">
        <v>6.5</v>
      </c>
      <c r="AA102" s="45">
        <v>85</v>
      </c>
      <c r="AB102" s="50">
        <v>23571</v>
      </c>
      <c r="AC102" s="50" t="s">
        <v>161</v>
      </c>
      <c r="AD102" s="50">
        <v>100</v>
      </c>
      <c r="AE102" s="42">
        <v>60</v>
      </c>
      <c r="AF102" s="43">
        <v>0.5</v>
      </c>
      <c r="AG102" s="45">
        <v>0</v>
      </c>
      <c r="AH102" s="45">
        <v>0.10200000000000001</v>
      </c>
      <c r="AI102" s="50">
        <v>26716</v>
      </c>
      <c r="AJ102" s="50" t="s">
        <v>208</v>
      </c>
      <c r="AK102" s="50">
        <v>100</v>
      </c>
      <c r="AL102" s="34">
        <v>1</v>
      </c>
      <c r="AM102" s="43">
        <v>0.8</v>
      </c>
      <c r="AN102" s="35">
        <v>3.6646352351097179E-2</v>
      </c>
      <c r="AO102" s="35">
        <v>6.0722153605015657E-2</v>
      </c>
      <c r="AP102" s="35">
        <v>0.11760922382445141</v>
      </c>
      <c r="AQ102" s="84">
        <v>0.14147196489028213</v>
      </c>
      <c r="AR102" s="46">
        <v>19478</v>
      </c>
      <c r="AS102" s="50" t="s">
        <v>352</v>
      </c>
      <c r="AT102" s="50">
        <v>100</v>
      </c>
      <c r="AU102" s="44">
        <v>-1</v>
      </c>
      <c r="AV102" s="48">
        <v>-1</v>
      </c>
      <c r="AW102" s="48">
        <v>-1</v>
      </c>
      <c r="AX102" s="48">
        <v>-1</v>
      </c>
      <c r="AY102" s="48">
        <v>-1</v>
      </c>
      <c r="AZ102" s="45">
        <v>2</v>
      </c>
      <c r="BA102" s="43">
        <v>46</v>
      </c>
      <c r="BB102" s="45">
        <v>0.8</v>
      </c>
      <c r="BC102" s="45">
        <v>-1</v>
      </c>
      <c r="BD102" s="45">
        <v>-1</v>
      </c>
      <c r="BE102" s="45">
        <v>-1</v>
      </c>
      <c r="BF102" s="45">
        <v>40</v>
      </c>
      <c r="BG102" s="45">
        <v>-1</v>
      </c>
      <c r="BH102" s="45">
        <v>-1</v>
      </c>
      <c r="BI102" s="45">
        <v>60</v>
      </c>
      <c r="BJ102" s="28">
        <v>1</v>
      </c>
      <c r="BK102" s="56">
        <v>6.1179672324698897</v>
      </c>
      <c r="BL102" s="45">
        <v>0.6</v>
      </c>
      <c r="BM102" s="45">
        <v>3</v>
      </c>
      <c r="BN102" s="56">
        <v>4.8934318356706816</v>
      </c>
      <c r="BO102" s="45">
        <v>0.3</v>
      </c>
    </row>
    <row r="103" spans="1:67" s="50" customFormat="1" ht="15" customHeight="1" x14ac:dyDescent="0.25">
      <c r="A103" s="50">
        <v>102</v>
      </c>
      <c r="B103" s="36">
        <v>4027</v>
      </c>
      <c r="C103" s="36">
        <v>4027</v>
      </c>
      <c r="D103" s="45" t="s">
        <v>5</v>
      </c>
      <c r="E103" s="38" t="s">
        <v>431</v>
      </c>
      <c r="F103" s="39">
        <v>13.3903</v>
      </c>
      <c r="G103" s="36">
        <v>10.980046000000002</v>
      </c>
      <c r="H103" s="67">
        <v>13.033225333333331</v>
      </c>
      <c r="I103" s="36">
        <v>43.593832020997375</v>
      </c>
      <c r="J103" s="67">
        <v>23.597364257411588</v>
      </c>
      <c r="K103" s="67">
        <v>9.921619062775326</v>
      </c>
      <c r="L103" s="55" t="s">
        <v>390</v>
      </c>
      <c r="M103" s="36" t="s">
        <v>389</v>
      </c>
      <c r="N103" s="55" t="s">
        <v>156</v>
      </c>
      <c r="O103" s="43">
        <v>7.0918996296296299</v>
      </c>
      <c r="P103" s="36">
        <v>33.604693629629629</v>
      </c>
      <c r="Q103" s="43">
        <v>28.560301978216401</v>
      </c>
      <c r="R103" s="43">
        <v>12.735085472253871</v>
      </c>
      <c r="S103" s="43">
        <v>5.6090560278529917</v>
      </c>
      <c r="T103" s="55" t="s">
        <v>390</v>
      </c>
      <c r="U103" s="36" t="s">
        <v>389</v>
      </c>
      <c r="V103" s="55" t="s">
        <v>156</v>
      </c>
      <c r="W103" s="45">
        <v>-1</v>
      </c>
      <c r="X103" s="103">
        <v>-1</v>
      </c>
      <c r="Y103" s="29">
        <v>26.6097</v>
      </c>
      <c r="Z103" s="45">
        <v>4</v>
      </c>
      <c r="AA103" s="45">
        <v>85</v>
      </c>
      <c r="AB103" s="50">
        <v>23571</v>
      </c>
      <c r="AC103" s="50" t="s">
        <v>161</v>
      </c>
      <c r="AD103" s="50">
        <v>100</v>
      </c>
      <c r="AE103" s="42">
        <v>60</v>
      </c>
      <c r="AF103" s="43">
        <v>0.5</v>
      </c>
      <c r="AG103" s="45">
        <v>0</v>
      </c>
      <c r="AH103" s="45">
        <v>0</v>
      </c>
      <c r="AI103" s="46">
        <v>505272</v>
      </c>
      <c r="AJ103" s="47" t="s">
        <v>417</v>
      </c>
      <c r="AK103" s="46">
        <v>100</v>
      </c>
      <c r="AL103" s="34">
        <v>4</v>
      </c>
      <c r="AM103" s="43">
        <v>1.7</v>
      </c>
      <c r="AN103" s="35">
        <v>9.4624786666666641E-2</v>
      </c>
      <c r="AO103" s="35">
        <v>0.17675195999999999</v>
      </c>
      <c r="AP103" s="35">
        <v>0.24638152000000002</v>
      </c>
      <c r="AQ103" s="84">
        <v>0.36957228000000014</v>
      </c>
      <c r="AR103" s="40" t="s">
        <v>390</v>
      </c>
      <c r="AS103" s="46" t="s">
        <v>389</v>
      </c>
      <c r="AT103" s="40" t="s">
        <v>156</v>
      </c>
      <c r="AU103" s="44">
        <v>2</v>
      </c>
      <c r="AV103" s="45">
        <v>0.16</v>
      </c>
      <c r="AW103" s="45">
        <v>2</v>
      </c>
      <c r="AX103" s="45">
        <v>3</v>
      </c>
      <c r="AY103" s="45">
        <v>0.72</v>
      </c>
      <c r="AZ103" s="45">
        <v>2</v>
      </c>
      <c r="BA103" s="43">
        <v>56</v>
      </c>
      <c r="BB103" s="45">
        <v>1</v>
      </c>
      <c r="BC103" s="45">
        <v>20</v>
      </c>
      <c r="BD103" s="45">
        <v>-1</v>
      </c>
      <c r="BE103" s="45">
        <v>-1</v>
      </c>
      <c r="BF103" s="45">
        <v>20</v>
      </c>
      <c r="BG103" s="45">
        <v>-1</v>
      </c>
      <c r="BH103" s="45">
        <v>-1</v>
      </c>
      <c r="BI103" s="45">
        <v>60</v>
      </c>
      <c r="BJ103" s="28">
        <v>1</v>
      </c>
      <c r="BK103" s="56">
        <v>16.496849600000001</v>
      </c>
      <c r="BL103" s="45">
        <v>0.7</v>
      </c>
      <c r="BM103" s="45">
        <v>3</v>
      </c>
      <c r="BN103" s="56">
        <v>14.041961266666664</v>
      </c>
      <c r="BO103" s="45">
        <v>0.5</v>
      </c>
    </row>
    <row r="104" spans="1:67" s="50" customFormat="1" ht="15" customHeight="1" x14ac:dyDescent="0.25">
      <c r="A104" s="50">
        <v>103</v>
      </c>
      <c r="B104" s="36">
        <v>4028</v>
      </c>
      <c r="C104" s="46">
        <v>4028</v>
      </c>
      <c r="D104" s="45" t="s">
        <v>5</v>
      </c>
      <c r="E104" s="38" t="s">
        <v>432</v>
      </c>
      <c r="F104" s="39">
        <v>16.296800000000001</v>
      </c>
      <c r="G104" s="56">
        <v>16.296800000000001</v>
      </c>
      <c r="H104" s="67">
        <v>12.700264827586208</v>
      </c>
      <c r="I104" s="36">
        <v>51.690944881889763</v>
      </c>
      <c r="J104" s="67">
        <v>30.672146293552629</v>
      </c>
      <c r="K104" s="67">
        <v>12.021149972532502</v>
      </c>
      <c r="L104" s="36">
        <v>19478</v>
      </c>
      <c r="M104" s="36" t="s">
        <v>352</v>
      </c>
      <c r="N104" s="36">
        <v>100</v>
      </c>
      <c r="O104" s="43">
        <v>9.2799803134796246</v>
      </c>
      <c r="P104" s="36">
        <v>19.214386984326019</v>
      </c>
      <c r="Q104" s="43">
        <v>33.123732333405471</v>
      </c>
      <c r="R104" s="43">
        <v>18.780314752542825</v>
      </c>
      <c r="S104" s="43">
        <v>6.4182012535166724</v>
      </c>
      <c r="T104" s="36">
        <v>19478</v>
      </c>
      <c r="U104" s="36" t="s">
        <v>352</v>
      </c>
      <c r="V104" s="36">
        <v>100</v>
      </c>
      <c r="W104" s="45">
        <v>1</v>
      </c>
      <c r="X104" s="103">
        <v>2</v>
      </c>
      <c r="Y104" s="29">
        <v>23.703199999999995</v>
      </c>
      <c r="Z104" s="45">
        <v>6.5</v>
      </c>
      <c r="AA104" s="45">
        <v>85</v>
      </c>
      <c r="AB104" s="50">
        <v>23571</v>
      </c>
      <c r="AC104" s="50" t="s">
        <v>161</v>
      </c>
      <c r="AD104" s="50">
        <v>100</v>
      </c>
      <c r="AE104" s="42">
        <v>60</v>
      </c>
      <c r="AF104" s="43">
        <v>0.5</v>
      </c>
      <c r="AG104" s="45">
        <v>0</v>
      </c>
      <c r="AH104" s="45">
        <v>0.73199999999999998</v>
      </c>
      <c r="AI104" s="50">
        <v>41088</v>
      </c>
      <c r="AJ104" s="50" t="s">
        <v>420</v>
      </c>
      <c r="AK104" s="50">
        <v>100</v>
      </c>
      <c r="AL104" s="34">
        <v>3</v>
      </c>
      <c r="AM104" s="43">
        <v>0.8</v>
      </c>
      <c r="AN104" s="35">
        <v>8.7869893416927913E-2</v>
      </c>
      <c r="AO104" s="35">
        <v>0.14559836990595609</v>
      </c>
      <c r="AP104" s="35">
        <v>0.28200105329153607</v>
      </c>
      <c r="AQ104" s="84">
        <v>0.3392186583072101</v>
      </c>
      <c r="AR104" s="46">
        <v>19478</v>
      </c>
      <c r="AS104" s="50" t="s">
        <v>352</v>
      </c>
      <c r="AT104" s="50">
        <v>100</v>
      </c>
      <c r="AU104" s="44">
        <v>-1</v>
      </c>
      <c r="AV104" s="48">
        <v>-1</v>
      </c>
      <c r="AW104" s="48">
        <v>-1</v>
      </c>
      <c r="AX104" s="48">
        <v>-1</v>
      </c>
      <c r="AY104" s="48">
        <v>-1</v>
      </c>
      <c r="AZ104" s="45">
        <v>2</v>
      </c>
      <c r="BA104" s="43">
        <v>57</v>
      </c>
      <c r="BB104" s="45">
        <v>0.8</v>
      </c>
      <c r="BC104" s="45">
        <v>-1</v>
      </c>
      <c r="BD104" s="45">
        <v>-1</v>
      </c>
      <c r="BE104" s="45">
        <v>-1</v>
      </c>
      <c r="BF104" s="45">
        <v>40</v>
      </c>
      <c r="BG104" s="45">
        <v>-1</v>
      </c>
      <c r="BH104" s="45">
        <v>-1</v>
      </c>
      <c r="BI104" s="45">
        <v>60</v>
      </c>
      <c r="BJ104" s="28">
        <v>1</v>
      </c>
      <c r="BK104" s="56">
        <v>14.669539917505363</v>
      </c>
      <c r="BL104" s="45">
        <v>0.6</v>
      </c>
      <c r="BM104" s="45">
        <v>3</v>
      </c>
      <c r="BN104" s="56">
        <v>11.73337334433262</v>
      </c>
      <c r="BO104" s="45">
        <v>0.3</v>
      </c>
    </row>
    <row r="105" spans="1:67" s="50" customFormat="1" ht="15" customHeight="1" x14ac:dyDescent="0.25">
      <c r="A105" s="50">
        <v>104</v>
      </c>
      <c r="B105" s="51" t="s">
        <v>520</v>
      </c>
      <c r="C105" s="52">
        <v>914030</v>
      </c>
      <c r="D105" s="45" t="s">
        <v>5</v>
      </c>
      <c r="E105" s="39" t="s">
        <v>461</v>
      </c>
      <c r="F105" s="39">
        <v>9.5755999999999997</v>
      </c>
      <c r="G105" s="56">
        <v>9.5755999999999997</v>
      </c>
      <c r="H105" s="67">
        <v>7.4623641379310346</v>
      </c>
      <c r="I105" s="36">
        <v>44.10564304461942</v>
      </c>
      <c r="J105" s="67">
        <v>26.171213138526817</v>
      </c>
      <c r="K105" s="67">
        <v>10.257126289446377</v>
      </c>
      <c r="L105" s="36">
        <v>19478</v>
      </c>
      <c r="M105" s="36" t="s">
        <v>352</v>
      </c>
      <c r="N105" s="36">
        <v>100</v>
      </c>
      <c r="O105" s="43">
        <v>5.4526888401253917</v>
      </c>
      <c r="P105" s="36">
        <v>11.289902557993729</v>
      </c>
      <c r="Q105" s="43">
        <v>28.263045257556335</v>
      </c>
      <c r="R105" s="43">
        <v>16.024428662194182</v>
      </c>
      <c r="S105" s="43">
        <v>5.4763729725380523</v>
      </c>
      <c r="T105" s="36">
        <v>19478</v>
      </c>
      <c r="U105" s="36" t="s">
        <v>352</v>
      </c>
      <c r="V105" s="36">
        <v>100</v>
      </c>
      <c r="W105" s="45">
        <v>1</v>
      </c>
      <c r="X105" s="103">
        <v>2</v>
      </c>
      <c r="Y105" s="29">
        <v>60.424400000000006</v>
      </c>
      <c r="Z105" s="45">
        <v>6.5</v>
      </c>
      <c r="AA105" s="45">
        <v>85</v>
      </c>
      <c r="AB105" s="50">
        <v>23571</v>
      </c>
      <c r="AC105" s="50" t="s">
        <v>161</v>
      </c>
      <c r="AD105" s="50">
        <v>100</v>
      </c>
      <c r="AE105" s="42">
        <v>30</v>
      </c>
      <c r="AF105" s="43">
        <v>0.5</v>
      </c>
      <c r="AG105" s="45">
        <v>0</v>
      </c>
      <c r="AH105" s="45">
        <v>5.1000000000000004E-2</v>
      </c>
      <c r="AI105" s="50">
        <v>42236</v>
      </c>
      <c r="AJ105" s="50" t="s">
        <v>207</v>
      </c>
      <c r="AK105" s="50">
        <v>100</v>
      </c>
      <c r="AL105" s="34">
        <v>2</v>
      </c>
      <c r="AM105" s="43">
        <v>0.8</v>
      </c>
      <c r="AN105" s="35">
        <v>5.1630194357366772E-2</v>
      </c>
      <c r="AO105" s="35">
        <v>8.5550031347962366E-2</v>
      </c>
      <c r="AP105" s="35">
        <v>0.16569690282131661</v>
      </c>
      <c r="AQ105" s="84">
        <v>0.19931656426332292</v>
      </c>
      <c r="AR105" s="46">
        <v>19478</v>
      </c>
      <c r="AS105" s="50" t="s">
        <v>352</v>
      </c>
      <c r="AT105" s="50">
        <v>100</v>
      </c>
      <c r="AU105" s="44">
        <v>-1</v>
      </c>
      <c r="AV105" s="48">
        <v>-1</v>
      </c>
      <c r="AW105" s="48">
        <v>-1</v>
      </c>
      <c r="AX105" s="48">
        <v>-1</v>
      </c>
      <c r="AY105" s="48">
        <v>-1</v>
      </c>
      <c r="AZ105" s="45">
        <v>1</v>
      </c>
      <c r="BA105" s="43">
        <v>30</v>
      </c>
      <c r="BB105" s="45">
        <v>0.8</v>
      </c>
      <c r="BC105" s="45">
        <v>-1</v>
      </c>
      <c r="BD105" s="45">
        <v>-1</v>
      </c>
      <c r="BE105" s="45">
        <v>-1</v>
      </c>
      <c r="BF105" s="45">
        <v>70</v>
      </c>
      <c r="BG105" s="45">
        <v>-1</v>
      </c>
      <c r="BH105" s="45">
        <v>-1</v>
      </c>
      <c r="BI105" s="45">
        <v>30</v>
      </c>
      <c r="BJ105" s="28">
        <v>1</v>
      </c>
      <c r="BK105" s="56">
        <v>8.6194618841775288</v>
      </c>
      <c r="BL105" s="45">
        <v>0.6</v>
      </c>
      <c r="BM105" s="45">
        <v>3</v>
      </c>
      <c r="BN105" s="56">
        <v>6.8942424154429958</v>
      </c>
      <c r="BO105" s="45">
        <v>0.3</v>
      </c>
    </row>
    <row r="106" spans="1:67" s="50" customFormat="1" ht="15" customHeight="1" x14ac:dyDescent="0.25">
      <c r="A106" s="50">
        <v>105</v>
      </c>
      <c r="B106" s="51" t="s">
        <v>521</v>
      </c>
      <c r="C106" s="52">
        <v>924030</v>
      </c>
      <c r="D106" s="45" t="s">
        <v>5</v>
      </c>
      <c r="E106" s="39" t="s">
        <v>461</v>
      </c>
      <c r="F106" s="39">
        <v>52.286299999999997</v>
      </c>
      <c r="G106" s="56">
        <v>52.286299999999997</v>
      </c>
      <c r="H106" s="67">
        <v>40.74725448275862</v>
      </c>
      <c r="I106" s="36">
        <v>83.658792650918627</v>
      </c>
      <c r="J106" s="67">
        <v>49.641087675879831</v>
      </c>
      <c r="K106" s="67">
        <v>19.45553317463224</v>
      </c>
      <c r="L106" s="36">
        <v>19478</v>
      </c>
      <c r="M106" s="36" t="s">
        <v>352</v>
      </c>
      <c r="N106" s="36">
        <v>100</v>
      </c>
      <c r="O106" s="43">
        <v>29.773687758620689</v>
      </c>
      <c r="P106" s="36">
        <v>61.647022862068965</v>
      </c>
      <c r="Q106" s="43">
        <v>53.608837320282099</v>
      </c>
      <c r="R106" s="43">
        <v>30.394848873277734</v>
      </c>
      <c r="S106" s="43">
        <v>10.387486030419559</v>
      </c>
      <c r="T106" s="36">
        <v>19478</v>
      </c>
      <c r="U106" s="36" t="s">
        <v>352</v>
      </c>
      <c r="V106" s="36">
        <v>100</v>
      </c>
      <c r="W106" s="45">
        <v>1</v>
      </c>
      <c r="X106" s="103">
        <v>2</v>
      </c>
      <c r="Y106" s="29">
        <v>17.713700000000003</v>
      </c>
      <c r="Z106" s="45">
        <v>6.5</v>
      </c>
      <c r="AA106" s="45">
        <v>85</v>
      </c>
      <c r="AB106" s="50">
        <v>23571</v>
      </c>
      <c r="AC106" s="50" t="s">
        <v>161</v>
      </c>
      <c r="AD106" s="50">
        <v>100</v>
      </c>
      <c r="AE106" s="42">
        <v>30</v>
      </c>
      <c r="AF106" s="43">
        <v>0.5</v>
      </c>
      <c r="AG106" s="45">
        <v>0</v>
      </c>
      <c r="AH106" s="45">
        <v>5.1000000000000004E-2</v>
      </c>
      <c r="AI106" s="50">
        <v>42236</v>
      </c>
      <c r="AJ106" s="50" t="s">
        <v>207</v>
      </c>
      <c r="AK106" s="50">
        <v>100</v>
      </c>
      <c r="AL106" s="34">
        <v>11</v>
      </c>
      <c r="AM106" s="43">
        <v>0.8</v>
      </c>
      <c r="AN106" s="35">
        <v>0.28191986206896552</v>
      </c>
      <c r="AO106" s="35">
        <v>0.46713465517241365</v>
      </c>
      <c r="AP106" s="35">
        <v>0.90476606896551715</v>
      </c>
      <c r="AQ106" s="84">
        <v>1.0883417931034483</v>
      </c>
      <c r="AR106" s="46">
        <v>19478</v>
      </c>
      <c r="AS106" s="50" t="s">
        <v>352</v>
      </c>
      <c r="AT106" s="50">
        <v>100</v>
      </c>
      <c r="AU106" s="44">
        <v>-1</v>
      </c>
      <c r="AV106" s="48">
        <v>-1</v>
      </c>
      <c r="AW106" s="48">
        <v>-1</v>
      </c>
      <c r="AX106" s="48">
        <v>-1</v>
      </c>
      <c r="AY106" s="48">
        <v>-1</v>
      </c>
      <c r="AZ106" s="45">
        <v>1</v>
      </c>
      <c r="BA106" s="43">
        <v>76</v>
      </c>
      <c r="BB106" s="45">
        <v>0.8</v>
      </c>
      <c r="BC106" s="45">
        <v>-1</v>
      </c>
      <c r="BD106" s="45">
        <v>-1</v>
      </c>
      <c r="BE106" s="45">
        <v>-1</v>
      </c>
      <c r="BF106" s="45">
        <v>70</v>
      </c>
      <c r="BG106" s="45">
        <v>-1</v>
      </c>
      <c r="BH106" s="45">
        <v>-1</v>
      </c>
      <c r="BI106" s="45">
        <v>30</v>
      </c>
      <c r="BJ106" s="28">
        <v>1</v>
      </c>
      <c r="BK106" s="56">
        <v>47.065434010889291</v>
      </c>
      <c r="BL106" s="45">
        <v>0.6</v>
      </c>
      <c r="BM106" s="45">
        <v>3</v>
      </c>
      <c r="BN106" s="56">
        <v>37.645100798548093</v>
      </c>
      <c r="BO106" s="45">
        <v>0.3</v>
      </c>
    </row>
    <row r="107" spans="1:67" s="50" customFormat="1" ht="15" customHeight="1" x14ac:dyDescent="0.25">
      <c r="A107" s="50">
        <v>106</v>
      </c>
      <c r="B107" s="51" t="s">
        <v>518</v>
      </c>
      <c r="C107" s="68">
        <v>914031</v>
      </c>
      <c r="D107" s="45" t="s">
        <v>5</v>
      </c>
      <c r="E107" s="39" t="s">
        <v>460</v>
      </c>
      <c r="F107" s="39">
        <v>19.398800000000001</v>
      </c>
      <c r="G107" s="56">
        <v>19.398800000000001</v>
      </c>
      <c r="H107" s="67">
        <v>15.11768551724138</v>
      </c>
      <c r="I107" s="36">
        <v>54.710958005249338</v>
      </c>
      <c r="J107" s="67">
        <v>32.464148442861131</v>
      </c>
      <c r="K107" s="67">
        <v>12.723478605871939</v>
      </c>
      <c r="L107" s="36">
        <v>19478</v>
      </c>
      <c r="M107" s="36" t="s">
        <v>352</v>
      </c>
      <c r="N107" s="36">
        <v>100</v>
      </c>
      <c r="O107" s="43">
        <v>11.046369968652039</v>
      </c>
      <c r="P107" s="36">
        <v>22.871732501567401</v>
      </c>
      <c r="Q107" s="43">
        <v>35.058966958543493</v>
      </c>
      <c r="R107" s="43">
        <v>19.877543621991752</v>
      </c>
      <c r="S107" s="43">
        <v>6.7931808956623554</v>
      </c>
      <c r="T107" s="36">
        <v>19478</v>
      </c>
      <c r="U107" s="36" t="s">
        <v>352</v>
      </c>
      <c r="V107" s="36">
        <v>100</v>
      </c>
      <c r="W107" s="45">
        <v>1</v>
      </c>
      <c r="X107" s="103">
        <v>2</v>
      </c>
      <c r="Y107" s="29">
        <v>50.601200000000006</v>
      </c>
      <c r="Z107" s="45">
        <v>6.5</v>
      </c>
      <c r="AA107" s="45">
        <v>85</v>
      </c>
      <c r="AB107" s="50">
        <v>23571</v>
      </c>
      <c r="AC107" s="50" t="s">
        <v>161</v>
      </c>
      <c r="AD107" s="50">
        <v>100</v>
      </c>
      <c r="AE107" s="42">
        <v>30</v>
      </c>
      <c r="AF107" s="43">
        <v>0.5</v>
      </c>
      <c r="AG107" s="45">
        <v>0</v>
      </c>
      <c r="AH107" s="45">
        <v>0.38700000000000001</v>
      </c>
      <c r="AI107" s="50">
        <v>41976</v>
      </c>
      <c r="AJ107" s="50" t="s">
        <v>209</v>
      </c>
      <c r="AK107" s="50">
        <v>100</v>
      </c>
      <c r="AL107" s="34">
        <v>4</v>
      </c>
      <c r="AM107" s="43">
        <v>0.8</v>
      </c>
      <c r="AN107" s="35">
        <v>0.10459541065830723</v>
      </c>
      <c r="AO107" s="35">
        <v>0.17331216300940436</v>
      </c>
      <c r="AP107" s="35">
        <v>0.33567829467084648</v>
      </c>
      <c r="AQ107" s="84">
        <v>0.40378693416927908</v>
      </c>
      <c r="AR107" s="46">
        <v>19478</v>
      </c>
      <c r="AS107" s="50" t="s">
        <v>352</v>
      </c>
      <c r="AT107" s="50">
        <v>100</v>
      </c>
      <c r="AU107" s="44">
        <v>-1</v>
      </c>
      <c r="AV107" s="48">
        <v>-1</v>
      </c>
      <c r="AW107" s="48">
        <v>-1</v>
      </c>
      <c r="AX107" s="48">
        <v>-1</v>
      </c>
      <c r="AY107" s="48">
        <v>-1</v>
      </c>
      <c r="AZ107" s="45">
        <v>1</v>
      </c>
      <c r="BA107" s="43">
        <v>40.021993537496989</v>
      </c>
      <c r="BB107" s="45">
        <v>0.8</v>
      </c>
      <c r="BC107" s="45">
        <v>-1</v>
      </c>
      <c r="BD107" s="45">
        <v>-1</v>
      </c>
      <c r="BE107" s="45">
        <v>-1</v>
      </c>
      <c r="BF107" s="45">
        <v>70</v>
      </c>
      <c r="BG107" s="45">
        <v>-1</v>
      </c>
      <c r="BH107" s="45">
        <v>-1</v>
      </c>
      <c r="BI107" s="45">
        <v>30</v>
      </c>
      <c r="BJ107" s="28">
        <v>1</v>
      </c>
      <c r="BK107" s="56">
        <v>17.461800534565253</v>
      </c>
      <c r="BL107" s="45">
        <v>0.6</v>
      </c>
      <c r="BM107" s="45">
        <v>3</v>
      </c>
      <c r="BN107" s="56">
        <v>13.966751928724635</v>
      </c>
      <c r="BO107" s="45">
        <v>0.3</v>
      </c>
    </row>
    <row r="108" spans="1:67" s="50" customFormat="1" ht="15" customHeight="1" x14ac:dyDescent="0.25">
      <c r="A108" s="50">
        <v>107</v>
      </c>
      <c r="B108" s="51" t="s">
        <v>519</v>
      </c>
      <c r="C108" s="68">
        <v>924031</v>
      </c>
      <c r="D108" s="45" t="s">
        <v>5</v>
      </c>
      <c r="E108" s="39" t="s">
        <v>460</v>
      </c>
      <c r="F108" s="39">
        <v>52.286299999999997</v>
      </c>
      <c r="G108" s="56">
        <v>52.286299999999997</v>
      </c>
      <c r="H108" s="67">
        <v>40.74725448275862</v>
      </c>
      <c r="I108" s="36">
        <v>86.975721784776908</v>
      </c>
      <c r="J108" s="67">
        <v>51.609272546005748</v>
      </c>
      <c r="K108" s="67">
        <v>20.226912042971371</v>
      </c>
      <c r="L108" s="36">
        <v>19478</v>
      </c>
      <c r="M108" s="36" t="s">
        <v>352</v>
      </c>
      <c r="N108" s="36">
        <v>100</v>
      </c>
      <c r="O108" s="43">
        <v>29.773687758620689</v>
      </c>
      <c r="P108" s="36">
        <v>61.647022862068965</v>
      </c>
      <c r="Q108" s="43">
        <v>55.734336729314755</v>
      </c>
      <c r="R108" s="43">
        <v>31.599953041678461</v>
      </c>
      <c r="S108" s="43">
        <v>10.79933222076099</v>
      </c>
      <c r="T108" s="36">
        <v>19478</v>
      </c>
      <c r="U108" s="36" t="s">
        <v>352</v>
      </c>
      <c r="V108" s="36">
        <v>100</v>
      </c>
      <c r="W108" s="45">
        <v>1</v>
      </c>
      <c r="X108" s="103">
        <v>2</v>
      </c>
      <c r="Y108" s="29">
        <v>17.713700000000003</v>
      </c>
      <c r="Z108" s="45">
        <v>6.5</v>
      </c>
      <c r="AA108" s="45">
        <v>85</v>
      </c>
      <c r="AB108" s="50">
        <v>23571</v>
      </c>
      <c r="AC108" s="50" t="s">
        <v>161</v>
      </c>
      <c r="AD108" s="50">
        <v>100</v>
      </c>
      <c r="AE108" s="42">
        <v>30</v>
      </c>
      <c r="AF108" s="43">
        <v>0.5</v>
      </c>
      <c r="AG108" s="45">
        <v>0</v>
      </c>
      <c r="AH108" s="45">
        <v>0.38700000000000001</v>
      </c>
      <c r="AI108" s="50">
        <v>41976</v>
      </c>
      <c r="AJ108" s="50" t="s">
        <v>209</v>
      </c>
      <c r="AK108" s="50">
        <v>100</v>
      </c>
      <c r="AL108" s="34">
        <v>11</v>
      </c>
      <c r="AM108" s="43">
        <v>0.8</v>
      </c>
      <c r="AN108" s="35">
        <v>0.28191986206896552</v>
      </c>
      <c r="AO108" s="35">
        <v>0.46713465517241365</v>
      </c>
      <c r="AP108" s="35">
        <v>0.90476606896551715</v>
      </c>
      <c r="AQ108" s="84">
        <v>1.0883417931034483</v>
      </c>
      <c r="AR108" s="46">
        <v>19478</v>
      </c>
      <c r="AS108" s="50" t="s">
        <v>352</v>
      </c>
      <c r="AT108" s="50">
        <v>100</v>
      </c>
      <c r="AU108" s="44">
        <v>-1</v>
      </c>
      <c r="AV108" s="48">
        <v>-1</v>
      </c>
      <c r="AW108" s="48">
        <v>-1</v>
      </c>
      <c r="AX108" s="48">
        <v>-1</v>
      </c>
      <c r="AY108" s="48">
        <v>-1</v>
      </c>
      <c r="AZ108" s="45">
        <v>1</v>
      </c>
      <c r="BA108" s="43">
        <v>76</v>
      </c>
      <c r="BB108" s="45">
        <v>0.8</v>
      </c>
      <c r="BC108" s="45">
        <v>-1</v>
      </c>
      <c r="BD108" s="45">
        <v>-1</v>
      </c>
      <c r="BE108" s="45">
        <v>-1</v>
      </c>
      <c r="BF108" s="45">
        <v>70</v>
      </c>
      <c r="BG108" s="45">
        <v>-1</v>
      </c>
      <c r="BH108" s="45">
        <v>-1</v>
      </c>
      <c r="BI108" s="45">
        <v>30</v>
      </c>
      <c r="BJ108" s="28">
        <v>1</v>
      </c>
      <c r="BK108" s="56">
        <v>47.065434010889291</v>
      </c>
      <c r="BL108" s="45">
        <v>0.6</v>
      </c>
      <c r="BM108" s="45">
        <v>3</v>
      </c>
      <c r="BN108" s="56">
        <v>37.645100798548093</v>
      </c>
      <c r="BO108" s="45">
        <v>0.3</v>
      </c>
    </row>
    <row r="109" spans="1:67" s="50" customFormat="1" ht="15" customHeight="1" x14ac:dyDescent="0.25">
      <c r="A109" s="50">
        <v>108</v>
      </c>
      <c r="B109" s="52">
        <v>4032</v>
      </c>
      <c r="C109" s="68">
        <v>4032</v>
      </c>
      <c r="D109" s="45" t="s">
        <v>5</v>
      </c>
      <c r="E109" s="39" t="s">
        <v>462</v>
      </c>
      <c r="F109" s="39">
        <v>13.017300000000001</v>
      </c>
      <c r="G109" s="56">
        <v>13.017300000000001</v>
      </c>
      <c r="H109" s="67">
        <v>10.14451655172414</v>
      </c>
      <c r="I109" s="36">
        <v>45.007545931758528</v>
      </c>
      <c r="J109" s="67">
        <v>26.706380320324651</v>
      </c>
      <c r="K109" s="67">
        <v>10.466871146920587</v>
      </c>
      <c r="L109" s="36">
        <v>19478</v>
      </c>
      <c r="M109" s="36" t="s">
        <v>352</v>
      </c>
      <c r="N109" s="36">
        <v>100</v>
      </c>
      <c r="O109" s="43">
        <v>7.4125158150470227</v>
      </c>
      <c r="P109" s="36">
        <v>15.347763959247651</v>
      </c>
      <c r="Q109" s="43">
        <v>28.840987678469364</v>
      </c>
      <c r="R109" s="43">
        <v>16.352107332711846</v>
      </c>
      <c r="S109" s="43">
        <v>5.5883576587149655</v>
      </c>
      <c r="T109" s="36">
        <v>19478</v>
      </c>
      <c r="U109" s="36" t="s">
        <v>352</v>
      </c>
      <c r="V109" s="36">
        <v>100</v>
      </c>
      <c r="W109" s="45">
        <v>1</v>
      </c>
      <c r="X109" s="103">
        <v>2</v>
      </c>
      <c r="Y109" s="29">
        <v>56.982699999999994</v>
      </c>
      <c r="Z109" s="45">
        <v>6.5</v>
      </c>
      <c r="AA109" s="45">
        <v>85</v>
      </c>
      <c r="AB109" s="50">
        <v>23571</v>
      </c>
      <c r="AC109" s="50" t="s">
        <v>161</v>
      </c>
      <c r="AD109" s="50">
        <v>100</v>
      </c>
      <c r="AE109" s="42">
        <v>30</v>
      </c>
      <c r="AF109" s="43">
        <v>0.5</v>
      </c>
      <c r="AG109" s="45">
        <v>0</v>
      </c>
      <c r="AH109" s="45">
        <v>0.14399999999999999</v>
      </c>
      <c r="AI109" s="50">
        <v>42269</v>
      </c>
      <c r="AJ109" s="50" t="s">
        <v>206</v>
      </c>
      <c r="AK109" s="50">
        <v>100</v>
      </c>
      <c r="AL109" s="34">
        <v>3</v>
      </c>
      <c r="AM109" s="43">
        <v>0.8</v>
      </c>
      <c r="AN109" s="35">
        <v>7.018732288401254E-2</v>
      </c>
      <c r="AO109" s="35">
        <v>0.11629876175548588</v>
      </c>
      <c r="AP109" s="35">
        <v>0.22525233855799373</v>
      </c>
      <c r="AQ109" s="84">
        <v>0.27095571159874615</v>
      </c>
      <c r="AR109" s="46">
        <v>19478</v>
      </c>
      <c r="AS109" s="50" t="s">
        <v>352</v>
      </c>
      <c r="AT109" s="50">
        <v>100</v>
      </c>
      <c r="AU109" s="44">
        <v>-1</v>
      </c>
      <c r="AV109" s="48">
        <v>-1</v>
      </c>
      <c r="AW109" s="48">
        <v>-1</v>
      </c>
      <c r="AX109" s="48">
        <v>-1</v>
      </c>
      <c r="AY109" s="48">
        <v>-1</v>
      </c>
      <c r="AZ109" s="45">
        <v>1</v>
      </c>
      <c r="BA109" s="43">
        <v>33</v>
      </c>
      <c r="BB109" s="45">
        <v>0.8</v>
      </c>
      <c r="BC109" s="45">
        <v>-1</v>
      </c>
      <c r="BD109" s="45">
        <v>-1</v>
      </c>
      <c r="BE109" s="45">
        <v>-1</v>
      </c>
      <c r="BF109" s="45">
        <v>70</v>
      </c>
      <c r="BG109" s="45">
        <v>-1</v>
      </c>
      <c r="BH109" s="45">
        <v>-1</v>
      </c>
      <c r="BI109" s="45">
        <v>30</v>
      </c>
      <c r="BJ109" s="28">
        <v>1</v>
      </c>
      <c r="BK109" s="56">
        <v>11.717502943408679</v>
      </c>
      <c r="BL109" s="45">
        <v>0.6</v>
      </c>
      <c r="BM109" s="45">
        <v>3</v>
      </c>
      <c r="BN109" s="56">
        <v>9.3721982742121757</v>
      </c>
      <c r="BO109" s="45">
        <v>0.3</v>
      </c>
    </row>
    <row r="110" spans="1:67" s="50" customFormat="1" ht="15" customHeight="1" x14ac:dyDescent="0.25">
      <c r="A110" s="50">
        <v>109</v>
      </c>
      <c r="B110" s="52">
        <v>4033</v>
      </c>
      <c r="C110" s="68">
        <v>4033</v>
      </c>
      <c r="D110" s="45" t="s">
        <v>5</v>
      </c>
      <c r="E110" s="39" t="s">
        <v>463</v>
      </c>
      <c r="F110" s="39">
        <v>14.210599999999999</v>
      </c>
      <c r="G110" s="56">
        <v>14.210599999999999</v>
      </c>
      <c r="H110" s="67">
        <v>11.074467586206897</v>
      </c>
      <c r="I110" s="36">
        <v>52.409120734908129</v>
      </c>
      <c r="J110" s="67">
        <v>31.098294333187209</v>
      </c>
      <c r="K110" s="67">
        <v>12.188167612769332</v>
      </c>
      <c r="L110" s="36">
        <v>19478</v>
      </c>
      <c r="M110" s="36" t="s">
        <v>352</v>
      </c>
      <c r="N110" s="36">
        <v>100</v>
      </c>
      <c r="O110" s="43">
        <v>8.0920234796238244</v>
      </c>
      <c r="P110" s="36">
        <v>16.754698326018808</v>
      </c>
      <c r="Q110" s="43">
        <v>33.583941849367136</v>
      </c>
      <c r="R110" s="43">
        <v>19.041241856858271</v>
      </c>
      <c r="S110" s="43">
        <v>6.5073734899812994</v>
      </c>
      <c r="T110" s="36">
        <v>19478</v>
      </c>
      <c r="U110" s="36" t="s">
        <v>352</v>
      </c>
      <c r="V110" s="36">
        <v>100</v>
      </c>
      <c r="W110" s="45">
        <v>1</v>
      </c>
      <c r="X110" s="103">
        <v>2</v>
      </c>
      <c r="Y110" s="29">
        <v>55.789400000000001</v>
      </c>
      <c r="Z110" s="45">
        <v>6.5</v>
      </c>
      <c r="AA110" s="45">
        <v>85</v>
      </c>
      <c r="AB110" s="50">
        <v>23571</v>
      </c>
      <c r="AC110" s="50" t="s">
        <v>161</v>
      </c>
      <c r="AD110" s="50">
        <v>100</v>
      </c>
      <c r="AE110" s="42">
        <v>30</v>
      </c>
      <c r="AF110" s="43">
        <v>0.5</v>
      </c>
      <c r="AG110" s="45">
        <v>0</v>
      </c>
      <c r="AH110" s="45">
        <v>5.1000000000000004E-2</v>
      </c>
      <c r="AI110" s="50">
        <v>26716</v>
      </c>
      <c r="AJ110" s="50" t="s">
        <v>208</v>
      </c>
      <c r="AK110" s="50">
        <v>100</v>
      </c>
      <c r="AL110" s="34">
        <v>3</v>
      </c>
      <c r="AM110" s="43">
        <v>0.8</v>
      </c>
      <c r="AN110" s="35">
        <v>7.6621416927899685E-2</v>
      </c>
      <c r="AO110" s="35">
        <v>0.12695990595611284</v>
      </c>
      <c r="AP110" s="35">
        <v>0.24590129153605014</v>
      </c>
      <c r="AQ110" s="84">
        <v>0.29579430721003136</v>
      </c>
      <c r="AR110" s="46">
        <v>19478</v>
      </c>
      <c r="AS110" s="50" t="s">
        <v>352</v>
      </c>
      <c r="AT110" s="50">
        <v>100</v>
      </c>
      <c r="AU110" s="44">
        <v>-1</v>
      </c>
      <c r="AV110" s="48">
        <v>-1</v>
      </c>
      <c r="AW110" s="48">
        <v>-1</v>
      </c>
      <c r="AX110" s="48">
        <v>-1</v>
      </c>
      <c r="AY110" s="48">
        <v>-1</v>
      </c>
      <c r="AZ110" s="45">
        <v>1</v>
      </c>
      <c r="BA110" s="43">
        <v>34</v>
      </c>
      <c r="BB110" s="45">
        <v>0.8</v>
      </c>
      <c r="BC110" s="45">
        <v>-1</v>
      </c>
      <c r="BD110" s="45">
        <v>-1</v>
      </c>
      <c r="BE110" s="45">
        <v>-1</v>
      </c>
      <c r="BF110" s="45">
        <v>70</v>
      </c>
      <c r="BG110" s="45">
        <v>-1</v>
      </c>
      <c r="BH110" s="45">
        <v>-1</v>
      </c>
      <c r="BI110" s="45">
        <v>30</v>
      </c>
      <c r="BJ110" s="28">
        <v>1</v>
      </c>
      <c r="BK110" s="56">
        <v>12.791650136941097</v>
      </c>
      <c r="BL110" s="45">
        <v>0.6</v>
      </c>
      <c r="BM110" s="45">
        <v>3</v>
      </c>
      <c r="BN110" s="56">
        <v>10.231350648407854</v>
      </c>
      <c r="BO110" s="45">
        <v>0.3</v>
      </c>
    </row>
    <row r="111" spans="1:67" s="50" customFormat="1" ht="15" customHeight="1" x14ac:dyDescent="0.25">
      <c r="A111" s="50">
        <v>110</v>
      </c>
      <c r="B111" s="52">
        <v>4036</v>
      </c>
      <c r="C111" s="69">
        <v>4036</v>
      </c>
      <c r="D111" s="45" t="s">
        <v>5</v>
      </c>
      <c r="E111" s="33" t="s">
        <v>464</v>
      </c>
      <c r="F111" s="39">
        <v>14.8744</v>
      </c>
      <c r="G111" s="36">
        <v>14.9</v>
      </c>
      <c r="H111" s="36">
        <v>2.6607142857142856</v>
      </c>
      <c r="I111" s="36">
        <v>52.4</v>
      </c>
      <c r="J111" s="36">
        <v>32.392727272727271</v>
      </c>
      <c r="K111" s="36">
        <v>19.054545454545455</v>
      </c>
      <c r="L111" s="36">
        <v>27189</v>
      </c>
      <c r="M111" s="36" t="s">
        <v>401</v>
      </c>
      <c r="N111" s="36">
        <v>100</v>
      </c>
      <c r="O111" s="36">
        <v>7</v>
      </c>
      <c r="P111" s="36">
        <v>18</v>
      </c>
      <c r="Q111" s="36">
        <v>26</v>
      </c>
      <c r="R111" s="36">
        <v>12</v>
      </c>
      <c r="S111" s="36">
        <v>7</v>
      </c>
      <c r="T111" s="45">
        <v>27189</v>
      </c>
      <c r="U111" s="36" t="s">
        <v>401</v>
      </c>
      <c r="V111" s="36">
        <v>100</v>
      </c>
      <c r="W111" s="36">
        <v>1</v>
      </c>
      <c r="X111" s="102">
        <v>4</v>
      </c>
      <c r="Y111" s="29">
        <v>55</v>
      </c>
      <c r="Z111" s="43">
        <v>1</v>
      </c>
      <c r="AA111" s="43">
        <v>90</v>
      </c>
      <c r="AB111" s="50">
        <v>28675</v>
      </c>
      <c r="AC111" s="50" t="s">
        <v>375</v>
      </c>
      <c r="AD111" s="50">
        <v>100</v>
      </c>
      <c r="AE111" s="42">
        <v>30</v>
      </c>
      <c r="AF111" s="43">
        <v>0.5</v>
      </c>
      <c r="AG111" s="45">
        <v>0</v>
      </c>
      <c r="AH111" s="35">
        <v>0.05</v>
      </c>
      <c r="AI111" s="50">
        <v>42236</v>
      </c>
      <c r="AJ111" s="50" t="s">
        <v>207</v>
      </c>
      <c r="AK111" s="50">
        <v>100</v>
      </c>
      <c r="AL111" s="34">
        <v>14.2</v>
      </c>
      <c r="AM111" s="43">
        <v>3</v>
      </c>
      <c r="AN111" s="35">
        <v>0.1</v>
      </c>
      <c r="AO111" s="35">
        <v>0.6</v>
      </c>
      <c r="AP111" s="35">
        <v>0.7</v>
      </c>
      <c r="AQ111" s="84">
        <v>0.7</v>
      </c>
      <c r="AR111" s="46">
        <v>27189</v>
      </c>
      <c r="AS111" s="50" t="s">
        <v>401</v>
      </c>
      <c r="AT111" s="50">
        <v>100</v>
      </c>
      <c r="AU111" s="44">
        <v>-1</v>
      </c>
      <c r="AV111" s="48">
        <v>-1</v>
      </c>
      <c r="AW111" s="48">
        <v>-1</v>
      </c>
      <c r="AX111" s="48">
        <v>-1</v>
      </c>
      <c r="AY111" s="48">
        <v>-1</v>
      </c>
      <c r="AZ111" s="45">
        <v>1</v>
      </c>
      <c r="BA111" s="45">
        <v>36</v>
      </c>
      <c r="BB111" s="35">
        <v>1.8</v>
      </c>
      <c r="BC111" s="45">
        <v>-1</v>
      </c>
      <c r="BD111" s="45">
        <v>-1</v>
      </c>
      <c r="BE111" s="45">
        <v>-1</v>
      </c>
      <c r="BF111" s="45">
        <v>-1</v>
      </c>
      <c r="BG111" s="45">
        <v>70</v>
      </c>
      <c r="BH111" s="45">
        <v>-1</v>
      </c>
      <c r="BI111" s="45">
        <v>30</v>
      </c>
      <c r="BJ111" s="28">
        <v>1</v>
      </c>
      <c r="BK111" s="45">
        <v>17.399999999999999</v>
      </c>
      <c r="BL111" s="43">
        <v>2</v>
      </c>
      <c r="BM111" s="45">
        <v>3</v>
      </c>
      <c r="BN111" s="45">
        <v>17.399999999999999</v>
      </c>
      <c r="BO111" s="43">
        <v>2</v>
      </c>
    </row>
    <row r="112" spans="1:67" s="50" customFormat="1" ht="15" customHeight="1" x14ac:dyDescent="0.25">
      <c r="A112" s="50">
        <v>111</v>
      </c>
      <c r="B112" s="36">
        <v>4037</v>
      </c>
      <c r="C112" s="36">
        <v>4037</v>
      </c>
      <c r="D112" s="45" t="s">
        <v>5</v>
      </c>
      <c r="E112" s="39" t="s">
        <v>466</v>
      </c>
      <c r="F112" s="39">
        <v>15.4094</v>
      </c>
      <c r="G112" s="36">
        <v>12.635708000000001</v>
      </c>
      <c r="H112" s="67">
        <v>14.998482666666664</v>
      </c>
      <c r="I112" s="43">
        <v>45</v>
      </c>
      <c r="J112" s="67">
        <v>24.358523725834797</v>
      </c>
      <c r="K112" s="67">
        <v>10.24165202108963</v>
      </c>
      <c r="L112" s="55" t="s">
        <v>390</v>
      </c>
      <c r="M112" s="36" t="s">
        <v>389</v>
      </c>
      <c r="N112" s="55" t="s">
        <v>156</v>
      </c>
      <c r="O112" s="43">
        <v>8.1612748148148153</v>
      </c>
      <c r="P112" s="36">
        <v>38.671886814814812</v>
      </c>
      <c r="Q112" s="43">
        <v>29.48154657293497</v>
      </c>
      <c r="R112" s="43">
        <v>13.145869947275923</v>
      </c>
      <c r="S112" s="43">
        <v>5.7899824253075574</v>
      </c>
      <c r="T112" s="55" t="s">
        <v>390</v>
      </c>
      <c r="U112" s="36" t="s">
        <v>389</v>
      </c>
      <c r="V112" s="55" t="s">
        <v>156</v>
      </c>
      <c r="W112" s="45">
        <v>-1</v>
      </c>
      <c r="X112" s="103">
        <v>-1</v>
      </c>
      <c r="Y112" s="29">
        <v>54.590600000000002</v>
      </c>
      <c r="Z112" s="45">
        <v>4</v>
      </c>
      <c r="AA112" s="45">
        <v>85</v>
      </c>
      <c r="AB112" s="50">
        <v>23571</v>
      </c>
      <c r="AC112" s="50" t="s">
        <v>161</v>
      </c>
      <c r="AD112" s="50">
        <v>100</v>
      </c>
      <c r="AE112" s="42">
        <v>30</v>
      </c>
      <c r="AF112" s="43">
        <v>0.5</v>
      </c>
      <c r="AG112" s="45">
        <v>0</v>
      </c>
      <c r="AH112" s="45">
        <v>0</v>
      </c>
      <c r="AI112" s="46">
        <v>505272</v>
      </c>
      <c r="AJ112" s="47" t="s">
        <v>417</v>
      </c>
      <c r="AK112" s="46">
        <v>100</v>
      </c>
      <c r="AL112" s="34">
        <v>5</v>
      </c>
      <c r="AM112" s="43">
        <v>1.7</v>
      </c>
      <c r="AN112" s="35">
        <v>0.1088930933333333</v>
      </c>
      <c r="AO112" s="35">
        <v>0.20340407999999999</v>
      </c>
      <c r="AP112" s="35">
        <v>0.28353296</v>
      </c>
      <c r="AQ112" s="84">
        <v>0.42529944000000014</v>
      </c>
      <c r="AR112" s="40" t="s">
        <v>390</v>
      </c>
      <c r="AS112" s="46" t="s">
        <v>389</v>
      </c>
      <c r="AT112" s="40" t="s">
        <v>156</v>
      </c>
      <c r="AU112" s="44">
        <v>2</v>
      </c>
      <c r="AV112" s="45">
        <v>0.16</v>
      </c>
      <c r="AW112" s="45">
        <v>2</v>
      </c>
      <c r="AX112" s="45">
        <v>3</v>
      </c>
      <c r="AY112" s="45">
        <v>0.72</v>
      </c>
      <c r="AZ112" s="45">
        <v>1</v>
      </c>
      <c r="BA112" s="43">
        <v>56</v>
      </c>
      <c r="BB112" s="45">
        <v>1</v>
      </c>
      <c r="BC112" s="45">
        <v>20</v>
      </c>
      <c r="BD112" s="45">
        <v>-1</v>
      </c>
      <c r="BE112" s="45">
        <v>-1</v>
      </c>
      <c r="BF112" s="45">
        <v>20</v>
      </c>
      <c r="BG112" s="45">
        <v>-1</v>
      </c>
      <c r="BH112" s="45">
        <v>-1</v>
      </c>
      <c r="BI112" s="45">
        <v>60</v>
      </c>
      <c r="BJ112" s="28">
        <v>1</v>
      </c>
      <c r="BK112" s="56">
        <v>16.496849600000001</v>
      </c>
      <c r="BL112" s="45">
        <v>0.7</v>
      </c>
      <c r="BM112" s="45">
        <v>3</v>
      </c>
      <c r="BN112" s="56">
        <v>14.041961266666664</v>
      </c>
      <c r="BO112" s="45">
        <v>0.5</v>
      </c>
    </row>
    <row r="113" spans="1:67" s="50" customFormat="1" ht="15" customHeight="1" x14ac:dyDescent="0.25">
      <c r="A113" s="50">
        <v>112</v>
      </c>
      <c r="B113" s="52" t="s">
        <v>236</v>
      </c>
      <c r="C113" s="68">
        <v>914040</v>
      </c>
      <c r="D113" s="45" t="s">
        <v>5</v>
      </c>
      <c r="E113" s="6" t="s">
        <v>17</v>
      </c>
      <c r="F113" s="39">
        <v>20.7</v>
      </c>
      <c r="G113" s="56">
        <v>20.7</v>
      </c>
      <c r="H113" s="67">
        <v>16.131724137931034</v>
      </c>
      <c r="I113" s="36">
        <v>65.640091863517057</v>
      </c>
      <c r="J113" s="67">
        <v>38.949229985258185</v>
      </c>
      <c r="K113" s="67">
        <v>15.265137642678384</v>
      </c>
      <c r="L113" s="36">
        <v>19464</v>
      </c>
      <c r="M113" s="45" t="s">
        <v>155</v>
      </c>
      <c r="N113" s="45">
        <v>100</v>
      </c>
      <c r="O113" s="43">
        <v>11.787319749216302</v>
      </c>
      <c r="P113" s="36">
        <v>24.405884012539186</v>
      </c>
      <c r="Q113" s="43">
        <v>42.062392904507441</v>
      </c>
      <c r="R113" s="43">
        <v>23.848308217220733</v>
      </c>
      <c r="S113" s="43">
        <v>8.150195761404559</v>
      </c>
      <c r="T113" s="36">
        <v>19464</v>
      </c>
      <c r="U113" s="45" t="s">
        <v>155</v>
      </c>
      <c r="V113" s="45">
        <v>100</v>
      </c>
      <c r="W113" s="36">
        <v>1</v>
      </c>
      <c r="X113" s="102">
        <v>2</v>
      </c>
      <c r="Y113" s="29">
        <v>29.857572164948454</v>
      </c>
      <c r="Z113" s="45">
        <v>6.5</v>
      </c>
      <c r="AA113" s="43">
        <v>85</v>
      </c>
      <c r="AB113" s="50">
        <v>23571</v>
      </c>
      <c r="AC113" s="50" t="s">
        <v>161</v>
      </c>
      <c r="AD113" s="50">
        <v>100</v>
      </c>
      <c r="AE113" s="42">
        <v>23</v>
      </c>
      <c r="AF113" s="43">
        <v>1.7</v>
      </c>
      <c r="AG113" s="45">
        <v>75</v>
      </c>
      <c r="AH113" s="45">
        <v>0.22</v>
      </c>
      <c r="AI113" s="50">
        <v>39369</v>
      </c>
      <c r="AJ113" s="50" t="s">
        <v>391</v>
      </c>
      <c r="AK113" s="50">
        <v>100</v>
      </c>
      <c r="AL113" s="34">
        <v>4</v>
      </c>
      <c r="AM113" s="43">
        <v>0.8</v>
      </c>
      <c r="AN113" s="35">
        <v>0.11161128526645768</v>
      </c>
      <c r="AO113" s="35">
        <v>0.18493730407523506</v>
      </c>
      <c r="AP113" s="35">
        <v>0.35819435736677119</v>
      </c>
      <c r="AQ113" s="84">
        <v>0.43087147335423204</v>
      </c>
      <c r="AR113" s="46">
        <v>19464</v>
      </c>
      <c r="AS113" s="50" t="s">
        <v>155</v>
      </c>
      <c r="AT113" s="50">
        <v>100</v>
      </c>
      <c r="AU113" s="44">
        <v>-1</v>
      </c>
      <c r="AV113" s="48">
        <v>-1</v>
      </c>
      <c r="AW113" s="48">
        <v>-1</v>
      </c>
      <c r="AX113" s="48">
        <v>-1</v>
      </c>
      <c r="AY113" s="48">
        <v>-1</v>
      </c>
      <c r="AZ113" s="45">
        <v>1</v>
      </c>
      <c r="BA113" s="43">
        <v>22</v>
      </c>
      <c r="BB113" s="45">
        <v>1.2</v>
      </c>
      <c r="BC113" s="45">
        <v>-1</v>
      </c>
      <c r="BD113" s="45">
        <v>-1</v>
      </c>
      <c r="BE113" s="45">
        <v>-1</v>
      </c>
      <c r="BF113" s="45">
        <v>-1</v>
      </c>
      <c r="BG113" s="45">
        <v>100</v>
      </c>
      <c r="BH113" s="45">
        <v>-1</v>
      </c>
      <c r="BI113" s="45">
        <v>-1</v>
      </c>
      <c r="BJ113" s="28">
        <v>1</v>
      </c>
      <c r="BK113" s="56">
        <v>18.633073750206236</v>
      </c>
      <c r="BL113" s="45">
        <v>0.6</v>
      </c>
      <c r="BM113" s="45">
        <v>3</v>
      </c>
      <c r="BN113" s="56">
        <v>14.903590166639168</v>
      </c>
      <c r="BO113" s="45">
        <v>0.3</v>
      </c>
    </row>
    <row r="114" spans="1:67" s="50" customFormat="1" ht="15" customHeight="1" x14ac:dyDescent="0.25">
      <c r="A114" s="50">
        <v>113</v>
      </c>
      <c r="B114" s="52" t="s">
        <v>237</v>
      </c>
      <c r="C114" s="68">
        <v>924040</v>
      </c>
      <c r="D114" s="45" t="s">
        <v>5</v>
      </c>
      <c r="E114" s="6" t="s">
        <v>17</v>
      </c>
      <c r="F114" s="39">
        <v>57.5</v>
      </c>
      <c r="G114" s="56">
        <v>57.5</v>
      </c>
      <c r="H114" s="67">
        <v>44.810344827586206</v>
      </c>
      <c r="I114" s="36">
        <v>86.341863517060361</v>
      </c>
      <c r="J114" s="67">
        <v>51.23315650554251</v>
      </c>
      <c r="K114" s="67">
        <v>20.079503143502411</v>
      </c>
      <c r="L114" s="36">
        <v>19464</v>
      </c>
      <c r="M114" s="45" t="s">
        <v>155</v>
      </c>
      <c r="N114" s="45">
        <v>100</v>
      </c>
      <c r="O114" s="43">
        <v>32.74255485893417</v>
      </c>
      <c r="P114" s="36">
        <v>67.794122257053289</v>
      </c>
      <c r="Q114" s="43">
        <v>55.328158207232548</v>
      </c>
      <c r="R114" s="43">
        <v>31.369660138280814</v>
      </c>
      <c r="S114" s="43">
        <v>10.720629269253605</v>
      </c>
      <c r="T114" s="36">
        <v>19464</v>
      </c>
      <c r="U114" s="45" t="s">
        <v>155</v>
      </c>
      <c r="V114" s="45">
        <v>100</v>
      </c>
      <c r="W114" s="36">
        <v>1</v>
      </c>
      <c r="X114" s="102">
        <v>2</v>
      </c>
      <c r="Y114" s="29">
        <v>22.067668041237116</v>
      </c>
      <c r="Z114" s="45">
        <v>6.5</v>
      </c>
      <c r="AA114" s="43">
        <v>85</v>
      </c>
      <c r="AB114" s="50">
        <v>23571</v>
      </c>
      <c r="AC114" s="50" t="s">
        <v>161</v>
      </c>
      <c r="AD114" s="50">
        <v>100</v>
      </c>
      <c r="AE114" s="42">
        <v>17</v>
      </c>
      <c r="AF114" s="43">
        <v>1.7</v>
      </c>
      <c r="AG114" s="45">
        <v>75</v>
      </c>
      <c r="AH114" s="45">
        <v>0.16</v>
      </c>
      <c r="AI114" s="50">
        <v>39369</v>
      </c>
      <c r="AJ114" s="50" t="s">
        <v>391</v>
      </c>
      <c r="AK114" s="50">
        <v>100</v>
      </c>
      <c r="AL114" s="34">
        <v>12</v>
      </c>
      <c r="AM114" s="43">
        <v>0.8</v>
      </c>
      <c r="AN114" s="35">
        <v>0.31003134796238246</v>
      </c>
      <c r="AO114" s="35">
        <v>0.51371473354231967</v>
      </c>
      <c r="AP114" s="35">
        <v>0.99498432601880882</v>
      </c>
      <c r="AQ114" s="84">
        <v>1.1968652037617555</v>
      </c>
      <c r="AR114" s="46">
        <v>19464</v>
      </c>
      <c r="AS114" s="50" t="s">
        <v>155</v>
      </c>
      <c r="AT114" s="50">
        <v>100</v>
      </c>
      <c r="AU114" s="44">
        <v>-1</v>
      </c>
      <c r="AV114" s="48">
        <v>-1</v>
      </c>
      <c r="AW114" s="48">
        <v>-1</v>
      </c>
      <c r="AX114" s="48">
        <v>-1</v>
      </c>
      <c r="AY114" s="48">
        <v>-1</v>
      </c>
      <c r="AZ114" s="45">
        <v>1</v>
      </c>
      <c r="BA114" s="43">
        <v>62</v>
      </c>
      <c r="BB114" s="45">
        <v>1.2</v>
      </c>
      <c r="BC114" s="45">
        <v>-1</v>
      </c>
      <c r="BD114" s="45">
        <v>-1</v>
      </c>
      <c r="BE114" s="45">
        <v>-1</v>
      </c>
      <c r="BF114" s="45">
        <v>-1</v>
      </c>
      <c r="BG114" s="45">
        <v>100</v>
      </c>
      <c r="BH114" s="45">
        <v>-1</v>
      </c>
      <c r="BI114" s="45">
        <v>-1</v>
      </c>
      <c r="BJ114" s="28">
        <v>1</v>
      </c>
      <c r="BK114" s="56">
        <v>51.758538195017323</v>
      </c>
      <c r="BL114" s="45">
        <v>0.6</v>
      </c>
      <c r="BM114" s="45">
        <v>3</v>
      </c>
      <c r="BN114" s="56">
        <v>41.398861573997692</v>
      </c>
      <c r="BO114" s="45">
        <v>0.3</v>
      </c>
    </row>
    <row r="115" spans="1:67" s="50" customFormat="1" ht="15" customHeight="1" x14ac:dyDescent="0.25">
      <c r="A115" s="50">
        <v>114</v>
      </c>
      <c r="B115" s="52" t="s">
        <v>238</v>
      </c>
      <c r="C115" s="68">
        <v>934040</v>
      </c>
      <c r="D115" s="36" t="s">
        <v>5</v>
      </c>
      <c r="E115" s="6" t="s">
        <v>17</v>
      </c>
      <c r="F115" s="39">
        <v>77.599999999999994</v>
      </c>
      <c r="G115" s="56">
        <v>77.599999999999994</v>
      </c>
      <c r="H115" s="67">
        <v>60.474482758620681</v>
      </c>
      <c r="I115" s="36">
        <v>95.015748031496059</v>
      </c>
      <c r="J115" s="67">
        <v>56.380028077885612</v>
      </c>
      <c r="K115" s="67">
        <v>20</v>
      </c>
      <c r="L115" s="36">
        <v>19464</v>
      </c>
      <c r="M115" s="45" t="s">
        <v>155</v>
      </c>
      <c r="N115" s="45">
        <v>100</v>
      </c>
      <c r="O115" s="43">
        <v>44.188213166144202</v>
      </c>
      <c r="P115" s="36">
        <v>91.492589341692792</v>
      </c>
      <c r="Q115" s="43">
        <v>60.886412744918516</v>
      </c>
      <c r="R115" s="43">
        <v>34.521049258377587</v>
      </c>
      <c r="S115" s="43">
        <v>11.797621314777514</v>
      </c>
      <c r="T115" s="36">
        <v>19464</v>
      </c>
      <c r="U115" s="45" t="s">
        <v>155</v>
      </c>
      <c r="V115" s="45">
        <v>100</v>
      </c>
      <c r="W115" s="36">
        <v>1</v>
      </c>
      <c r="X115" s="102">
        <v>2</v>
      </c>
      <c r="Y115" s="29">
        <v>12.585567010309282</v>
      </c>
      <c r="Z115" s="45">
        <v>6.5</v>
      </c>
      <c r="AA115" s="43">
        <v>85</v>
      </c>
      <c r="AB115" s="50">
        <v>23571</v>
      </c>
      <c r="AC115" s="50" t="s">
        <v>161</v>
      </c>
      <c r="AD115" s="50">
        <v>100</v>
      </c>
      <c r="AE115" s="42">
        <v>10</v>
      </c>
      <c r="AF115" s="43">
        <v>1.7</v>
      </c>
      <c r="AG115" s="45">
        <v>75</v>
      </c>
      <c r="AH115" s="45">
        <v>0.09</v>
      </c>
      <c r="AI115" s="50">
        <v>39369</v>
      </c>
      <c r="AJ115" s="50" t="s">
        <v>391</v>
      </c>
      <c r="AK115" s="50">
        <v>100</v>
      </c>
      <c r="AL115" s="34">
        <v>16</v>
      </c>
      <c r="AM115" s="43">
        <v>0.8</v>
      </c>
      <c r="AN115" s="35">
        <v>0.41840752351097177</v>
      </c>
      <c r="AO115" s="35">
        <v>0.69329153605015648</v>
      </c>
      <c r="AP115" s="35">
        <v>1.342796238244514</v>
      </c>
      <c r="AQ115" s="84">
        <v>1.6152476489028214</v>
      </c>
      <c r="AR115" s="46">
        <v>19464</v>
      </c>
      <c r="AS115" s="50" t="s">
        <v>155</v>
      </c>
      <c r="AT115" s="50">
        <v>100</v>
      </c>
      <c r="AU115" s="44">
        <v>-1</v>
      </c>
      <c r="AV115" s="48">
        <v>-1</v>
      </c>
      <c r="AW115" s="48">
        <v>-1</v>
      </c>
      <c r="AX115" s="48">
        <v>-1</v>
      </c>
      <c r="AY115" s="48">
        <v>-1</v>
      </c>
      <c r="AZ115" s="45">
        <v>1</v>
      </c>
      <c r="BA115" s="43">
        <v>84</v>
      </c>
      <c r="BB115" s="45">
        <v>1.2</v>
      </c>
      <c r="BC115" s="45">
        <v>-1</v>
      </c>
      <c r="BD115" s="45">
        <v>-1</v>
      </c>
      <c r="BE115" s="45">
        <v>-1</v>
      </c>
      <c r="BF115" s="45">
        <v>-1</v>
      </c>
      <c r="BG115" s="45">
        <v>100</v>
      </c>
      <c r="BH115" s="45">
        <v>-1</v>
      </c>
      <c r="BI115" s="45">
        <v>-1</v>
      </c>
      <c r="BJ115" s="28">
        <v>1</v>
      </c>
      <c r="BK115" s="56">
        <v>69.851522851014678</v>
      </c>
      <c r="BL115" s="45">
        <v>0.6</v>
      </c>
      <c r="BM115" s="45">
        <v>3</v>
      </c>
      <c r="BN115" s="56">
        <v>55.870463619864701</v>
      </c>
      <c r="BO115" s="45">
        <v>0.3</v>
      </c>
    </row>
    <row r="116" spans="1:67" s="50" customFormat="1" ht="15" customHeight="1" x14ac:dyDescent="0.25">
      <c r="A116" s="50">
        <v>115</v>
      </c>
      <c r="B116" s="52" t="s">
        <v>239</v>
      </c>
      <c r="C116" s="69">
        <v>914043</v>
      </c>
      <c r="D116" s="45" t="s">
        <v>5</v>
      </c>
      <c r="E116" s="75" t="s">
        <v>404</v>
      </c>
      <c r="F116" s="39">
        <v>18</v>
      </c>
      <c r="G116" s="36">
        <v>18</v>
      </c>
      <c r="H116" s="36">
        <v>3</v>
      </c>
      <c r="I116" s="43">
        <v>62</v>
      </c>
      <c r="J116" s="36">
        <v>38</v>
      </c>
      <c r="K116" s="36">
        <v>23</v>
      </c>
      <c r="L116" s="36">
        <v>27189</v>
      </c>
      <c r="M116" s="36" t="s">
        <v>401</v>
      </c>
      <c r="N116" s="36">
        <v>100</v>
      </c>
      <c r="O116" s="36">
        <v>9</v>
      </c>
      <c r="P116" s="36">
        <v>22</v>
      </c>
      <c r="Q116" s="36">
        <v>30</v>
      </c>
      <c r="R116" s="36">
        <v>14</v>
      </c>
      <c r="S116" s="36">
        <v>8</v>
      </c>
      <c r="T116" s="45">
        <v>27189</v>
      </c>
      <c r="U116" s="36" t="s">
        <v>401</v>
      </c>
      <c r="V116" s="36">
        <v>100</v>
      </c>
      <c r="W116" s="36">
        <v>1</v>
      </c>
      <c r="X116" s="102">
        <v>4</v>
      </c>
      <c r="Y116" s="29">
        <v>39.171428570000003</v>
      </c>
      <c r="Z116" s="43">
        <v>1</v>
      </c>
      <c r="AA116" s="43">
        <v>90</v>
      </c>
      <c r="AB116" s="50">
        <v>28675</v>
      </c>
      <c r="AC116" s="50" t="s">
        <v>375</v>
      </c>
      <c r="AD116" s="50">
        <v>100</v>
      </c>
      <c r="AE116" s="42">
        <v>29</v>
      </c>
      <c r="AF116" s="43">
        <v>0.5</v>
      </c>
      <c r="AG116" s="45">
        <v>80</v>
      </c>
      <c r="AH116" s="35">
        <v>0.24</v>
      </c>
      <c r="AI116" s="50">
        <v>39369</v>
      </c>
      <c r="AJ116" s="50" t="s">
        <v>391</v>
      </c>
      <c r="AK116" s="50">
        <v>100</v>
      </c>
      <c r="AL116" s="34">
        <v>17.3</v>
      </c>
      <c r="AM116" s="43">
        <v>3</v>
      </c>
      <c r="AN116" s="35">
        <v>0.2</v>
      </c>
      <c r="AO116" s="35">
        <v>0.7</v>
      </c>
      <c r="AP116" s="35">
        <v>0.9</v>
      </c>
      <c r="AQ116" s="83">
        <v>0.9</v>
      </c>
      <c r="AR116" s="46">
        <v>27189</v>
      </c>
      <c r="AS116" s="50" t="s">
        <v>401</v>
      </c>
      <c r="AT116" s="50">
        <v>100</v>
      </c>
      <c r="AU116" s="44">
        <v>-1</v>
      </c>
      <c r="AV116" s="48">
        <v>-1</v>
      </c>
      <c r="AW116" s="48">
        <v>-1</v>
      </c>
      <c r="AX116" s="48">
        <v>-1</v>
      </c>
      <c r="AY116" s="48">
        <v>-1</v>
      </c>
      <c r="AZ116" s="45">
        <v>1</v>
      </c>
      <c r="BA116" s="45">
        <v>21</v>
      </c>
      <c r="BB116" s="35">
        <v>1.8</v>
      </c>
      <c r="BC116" s="45">
        <v>-1</v>
      </c>
      <c r="BD116" s="45">
        <v>-1</v>
      </c>
      <c r="BE116" s="45">
        <v>-1</v>
      </c>
      <c r="BF116" s="45">
        <v>-1</v>
      </c>
      <c r="BG116" s="45">
        <v>100</v>
      </c>
      <c r="BH116" s="45">
        <v>-1</v>
      </c>
      <c r="BI116" s="45">
        <v>-1</v>
      </c>
      <c r="BJ116" s="28">
        <v>1</v>
      </c>
      <c r="BK116" s="45">
        <v>21.2</v>
      </c>
      <c r="BL116" s="43">
        <v>2</v>
      </c>
      <c r="BM116" s="45">
        <v>3</v>
      </c>
      <c r="BN116" s="45">
        <v>21.2</v>
      </c>
      <c r="BO116" s="43">
        <v>2</v>
      </c>
    </row>
    <row r="117" spans="1:67" s="50" customFormat="1" ht="15" customHeight="1" x14ac:dyDescent="0.25">
      <c r="A117" s="50">
        <v>116</v>
      </c>
      <c r="B117" s="52" t="s">
        <v>240</v>
      </c>
      <c r="C117" s="69">
        <v>924043</v>
      </c>
      <c r="D117" s="45" t="s">
        <v>5</v>
      </c>
      <c r="E117" s="75" t="s">
        <v>404</v>
      </c>
      <c r="F117" s="39">
        <v>57</v>
      </c>
      <c r="G117" s="36">
        <v>57</v>
      </c>
      <c r="H117" s="36">
        <v>10</v>
      </c>
      <c r="I117" s="43">
        <v>83</v>
      </c>
      <c r="J117" s="36">
        <v>51</v>
      </c>
      <c r="K117" s="36">
        <v>30</v>
      </c>
      <c r="L117" s="36">
        <v>27189</v>
      </c>
      <c r="M117" s="36" t="s">
        <v>401</v>
      </c>
      <c r="N117" s="36">
        <v>100</v>
      </c>
      <c r="O117" s="36">
        <v>27</v>
      </c>
      <c r="P117" s="36">
        <v>68</v>
      </c>
      <c r="Q117" s="36">
        <v>41</v>
      </c>
      <c r="R117" s="36">
        <v>19</v>
      </c>
      <c r="S117" s="36">
        <v>11</v>
      </c>
      <c r="T117" s="45">
        <v>27189</v>
      </c>
      <c r="U117" s="36" t="s">
        <v>401</v>
      </c>
      <c r="V117" s="36">
        <v>100</v>
      </c>
      <c r="W117" s="36">
        <v>1</v>
      </c>
      <c r="X117" s="102">
        <v>4</v>
      </c>
      <c r="Y117" s="29">
        <v>24.628571430000001</v>
      </c>
      <c r="Z117" s="43">
        <v>1</v>
      </c>
      <c r="AA117" s="43">
        <v>90</v>
      </c>
      <c r="AB117" s="50">
        <v>28675</v>
      </c>
      <c r="AC117" s="50" t="s">
        <v>375</v>
      </c>
      <c r="AD117" s="50">
        <v>100</v>
      </c>
      <c r="AE117" s="42">
        <v>18</v>
      </c>
      <c r="AF117" s="43">
        <v>0.5</v>
      </c>
      <c r="AG117" s="45">
        <v>80</v>
      </c>
      <c r="AH117" s="35">
        <v>0.15</v>
      </c>
      <c r="AI117" s="50">
        <v>39369</v>
      </c>
      <c r="AJ117" s="50" t="s">
        <v>391</v>
      </c>
      <c r="AK117" s="50">
        <v>100</v>
      </c>
      <c r="AL117" s="34">
        <v>54.2</v>
      </c>
      <c r="AM117" s="43">
        <v>3</v>
      </c>
      <c r="AN117" s="35">
        <v>0.5</v>
      </c>
      <c r="AO117" s="35">
        <v>2.2000000000000002</v>
      </c>
      <c r="AP117" s="35">
        <v>2.8</v>
      </c>
      <c r="AQ117" s="83">
        <v>2.7</v>
      </c>
      <c r="AR117" s="46">
        <v>27189</v>
      </c>
      <c r="AS117" s="50" t="s">
        <v>401</v>
      </c>
      <c r="AT117" s="50">
        <v>100</v>
      </c>
      <c r="AU117" s="44">
        <v>-1</v>
      </c>
      <c r="AV117" s="48">
        <v>-1</v>
      </c>
      <c r="AW117" s="48">
        <v>-1</v>
      </c>
      <c r="AX117" s="48">
        <v>-1</v>
      </c>
      <c r="AY117" s="48">
        <v>-1</v>
      </c>
      <c r="AZ117" s="45">
        <v>1</v>
      </c>
      <c r="BA117" s="45">
        <v>66</v>
      </c>
      <c r="BB117" s="35">
        <v>1.8</v>
      </c>
      <c r="BC117" s="45">
        <v>-1</v>
      </c>
      <c r="BD117" s="45">
        <v>-1</v>
      </c>
      <c r="BE117" s="45">
        <v>-1</v>
      </c>
      <c r="BF117" s="45">
        <v>-1</v>
      </c>
      <c r="BG117" s="45">
        <v>100</v>
      </c>
      <c r="BH117" s="45">
        <v>-1</v>
      </c>
      <c r="BI117" s="45">
        <v>-1</v>
      </c>
      <c r="BJ117" s="28">
        <v>1</v>
      </c>
      <c r="BK117" s="45">
        <v>66.400000000000006</v>
      </c>
      <c r="BL117" s="43">
        <v>2</v>
      </c>
      <c r="BM117" s="45">
        <v>3</v>
      </c>
      <c r="BN117" s="45">
        <v>66.400000000000006</v>
      </c>
      <c r="BO117" s="43">
        <v>2</v>
      </c>
    </row>
    <row r="118" spans="1:67" s="50" customFormat="1" ht="15" customHeight="1" x14ac:dyDescent="0.25">
      <c r="A118" s="50">
        <v>117</v>
      </c>
      <c r="B118" s="52" t="s">
        <v>241</v>
      </c>
      <c r="C118" s="69">
        <v>934043</v>
      </c>
      <c r="D118" s="36" t="s">
        <v>5</v>
      </c>
      <c r="E118" s="75" t="s">
        <v>404</v>
      </c>
      <c r="F118" s="39">
        <v>76</v>
      </c>
      <c r="G118" s="36">
        <v>76</v>
      </c>
      <c r="H118" s="36">
        <v>14</v>
      </c>
      <c r="I118" s="43">
        <v>100</v>
      </c>
      <c r="J118" s="36">
        <v>62</v>
      </c>
      <c r="K118" s="36">
        <v>36</v>
      </c>
      <c r="L118" s="36">
        <v>27189</v>
      </c>
      <c r="M118" s="36" t="s">
        <v>401</v>
      </c>
      <c r="N118" s="36">
        <v>100</v>
      </c>
      <c r="O118" s="36">
        <v>36</v>
      </c>
      <c r="P118" s="36">
        <v>91</v>
      </c>
      <c r="Q118" s="36">
        <v>49</v>
      </c>
      <c r="R118" s="36">
        <v>23</v>
      </c>
      <c r="S118" s="36">
        <v>14</v>
      </c>
      <c r="T118" s="45">
        <v>27189</v>
      </c>
      <c r="U118" s="36" t="s">
        <v>401</v>
      </c>
      <c r="V118" s="36">
        <v>100</v>
      </c>
      <c r="W118" s="36">
        <v>1</v>
      </c>
      <c r="X118" s="102">
        <v>4</v>
      </c>
      <c r="Y118" s="29">
        <v>13.542857140000001</v>
      </c>
      <c r="Z118" s="47">
        <v>5</v>
      </c>
      <c r="AA118" s="47">
        <v>90</v>
      </c>
      <c r="AB118" s="50">
        <v>23700</v>
      </c>
      <c r="AC118" s="50" t="s">
        <v>402</v>
      </c>
      <c r="AD118" s="50">
        <v>100</v>
      </c>
      <c r="AE118" s="42">
        <v>10</v>
      </c>
      <c r="AF118" s="43">
        <v>0.5</v>
      </c>
      <c r="AG118" s="45">
        <v>80</v>
      </c>
      <c r="AH118" s="35">
        <v>0.08</v>
      </c>
      <c r="AI118" s="50">
        <v>39369</v>
      </c>
      <c r="AJ118" s="50" t="s">
        <v>391</v>
      </c>
      <c r="AK118" s="50">
        <v>100</v>
      </c>
      <c r="AL118" s="34">
        <v>72.7</v>
      </c>
      <c r="AM118" s="43">
        <v>3</v>
      </c>
      <c r="AN118" s="35">
        <v>0.7</v>
      </c>
      <c r="AO118" s="35">
        <v>3</v>
      </c>
      <c r="AP118" s="35">
        <v>3.8</v>
      </c>
      <c r="AQ118" s="83">
        <v>3.6</v>
      </c>
      <c r="AR118" s="46">
        <v>27189</v>
      </c>
      <c r="AS118" s="50" t="s">
        <v>401</v>
      </c>
      <c r="AT118" s="50">
        <v>100</v>
      </c>
      <c r="AU118" s="44">
        <v>-1</v>
      </c>
      <c r="AV118" s="48">
        <v>-1</v>
      </c>
      <c r="AW118" s="48">
        <v>-1</v>
      </c>
      <c r="AX118" s="48">
        <v>-1</v>
      </c>
      <c r="AY118" s="48">
        <v>-1</v>
      </c>
      <c r="AZ118" s="45">
        <v>1</v>
      </c>
      <c r="BA118" s="45">
        <v>89</v>
      </c>
      <c r="BB118" s="35">
        <v>1.8</v>
      </c>
      <c r="BC118" s="45">
        <v>-1</v>
      </c>
      <c r="BD118" s="45">
        <v>-1</v>
      </c>
      <c r="BE118" s="45">
        <v>-1</v>
      </c>
      <c r="BF118" s="45">
        <v>-1</v>
      </c>
      <c r="BG118" s="45">
        <v>100</v>
      </c>
      <c r="BH118" s="45">
        <v>-1</v>
      </c>
      <c r="BI118" s="45">
        <v>-1</v>
      </c>
      <c r="BJ118" s="28">
        <v>1</v>
      </c>
      <c r="BK118" s="45">
        <v>89</v>
      </c>
      <c r="BL118" s="43">
        <v>2</v>
      </c>
      <c r="BM118" s="45">
        <v>3</v>
      </c>
      <c r="BN118" s="45">
        <v>89</v>
      </c>
      <c r="BO118" s="43">
        <v>2</v>
      </c>
    </row>
    <row r="119" spans="1:67" s="50" customFormat="1" ht="15" customHeight="1" x14ac:dyDescent="0.25">
      <c r="A119" s="50">
        <v>118</v>
      </c>
      <c r="B119" s="52" t="s">
        <v>242</v>
      </c>
      <c r="C119" s="68">
        <v>914061</v>
      </c>
      <c r="D119" s="45" t="s">
        <v>5</v>
      </c>
      <c r="E119" s="11" t="s">
        <v>16</v>
      </c>
      <c r="F119" s="39">
        <v>24.2</v>
      </c>
      <c r="G119" s="36">
        <v>24.2</v>
      </c>
      <c r="H119" s="67">
        <v>18.859310344827588</v>
      </c>
      <c r="I119" s="36">
        <v>60.366797900262462</v>
      </c>
      <c r="J119" s="36">
        <v>35.761196134886802</v>
      </c>
      <c r="K119" s="67">
        <v>14.038790209363363</v>
      </c>
      <c r="L119" s="36">
        <v>19478</v>
      </c>
      <c r="M119" s="36" t="s">
        <v>352</v>
      </c>
      <c r="N119" s="36">
        <v>100</v>
      </c>
      <c r="O119" s="43">
        <v>13.780344827586205</v>
      </c>
      <c r="P119" s="36">
        <v>28.532482758620684</v>
      </c>
      <c r="Q119" s="43">
        <v>38.683248295073042</v>
      </c>
      <c r="R119" s="43">
        <v>21.932419067991766</v>
      </c>
      <c r="S119" s="43">
        <v>7.4954377181446397</v>
      </c>
      <c r="T119" s="36">
        <v>19478</v>
      </c>
      <c r="U119" s="36" t="s">
        <v>352</v>
      </c>
      <c r="V119" s="36">
        <v>100</v>
      </c>
      <c r="W119" s="36">
        <v>1</v>
      </c>
      <c r="X119" s="102">
        <v>2</v>
      </c>
      <c r="Y119" s="29">
        <v>36</v>
      </c>
      <c r="Z119" s="47">
        <v>5.8</v>
      </c>
      <c r="AA119" s="47">
        <v>85</v>
      </c>
      <c r="AB119" s="50">
        <v>23571</v>
      </c>
      <c r="AC119" s="50" t="s">
        <v>161</v>
      </c>
      <c r="AD119" s="50">
        <v>100</v>
      </c>
      <c r="AE119" s="42">
        <v>28</v>
      </c>
      <c r="AF119" s="43">
        <v>1.7</v>
      </c>
      <c r="AG119" s="45">
        <v>75</v>
      </c>
      <c r="AH119" s="35">
        <v>0.29216445225225229</v>
      </c>
      <c r="AI119" s="50">
        <v>39369</v>
      </c>
      <c r="AJ119" s="50" t="s">
        <v>391</v>
      </c>
      <c r="AK119" s="50">
        <v>100</v>
      </c>
      <c r="AL119" s="34">
        <v>5</v>
      </c>
      <c r="AM119" s="43">
        <v>0.8</v>
      </c>
      <c r="AN119" s="35">
        <v>0.13048275862068967</v>
      </c>
      <c r="AO119" s="35">
        <v>0.21620689655172409</v>
      </c>
      <c r="AP119" s="35">
        <v>0.41875862068965519</v>
      </c>
      <c r="AQ119" s="84">
        <v>0.50372413793103454</v>
      </c>
      <c r="AR119" s="46">
        <v>19478</v>
      </c>
      <c r="AS119" s="50" t="s">
        <v>352</v>
      </c>
      <c r="AT119" s="50">
        <v>100</v>
      </c>
      <c r="AU119" s="44">
        <v>-1</v>
      </c>
      <c r="AV119" s="48">
        <v>-1</v>
      </c>
      <c r="AW119" s="48">
        <v>-1</v>
      </c>
      <c r="AX119" s="48">
        <v>-1</v>
      </c>
      <c r="AY119" s="48">
        <v>-1</v>
      </c>
      <c r="AZ119" s="45">
        <v>1</v>
      </c>
      <c r="BA119" s="43">
        <v>26</v>
      </c>
      <c r="BB119" s="45">
        <v>1.2</v>
      </c>
      <c r="BC119" s="45">
        <v>-1</v>
      </c>
      <c r="BD119" s="45">
        <v>-1</v>
      </c>
      <c r="BE119" s="45">
        <v>-1</v>
      </c>
      <c r="BF119" s="45">
        <v>100</v>
      </c>
      <c r="BG119" s="45">
        <v>-1</v>
      </c>
      <c r="BH119" s="45">
        <v>-1</v>
      </c>
      <c r="BI119" s="45">
        <v>-1</v>
      </c>
      <c r="BJ119" s="28">
        <v>1</v>
      </c>
      <c r="BK119" s="56">
        <v>21.78359346642468</v>
      </c>
      <c r="BL119" s="45">
        <v>0.6</v>
      </c>
      <c r="BM119" s="45">
        <v>3</v>
      </c>
      <c r="BN119" s="56">
        <v>17.423520871143378</v>
      </c>
      <c r="BO119" s="45">
        <v>0.3</v>
      </c>
    </row>
    <row r="120" spans="1:67" s="50" customFormat="1" ht="15" customHeight="1" x14ac:dyDescent="0.25">
      <c r="A120" s="50">
        <v>119</v>
      </c>
      <c r="B120" s="52" t="s">
        <v>243</v>
      </c>
      <c r="C120" s="68">
        <v>924061</v>
      </c>
      <c r="D120" s="45" t="s">
        <v>5</v>
      </c>
      <c r="E120" s="11" t="s">
        <v>16</v>
      </c>
      <c r="F120" s="39">
        <v>56</v>
      </c>
      <c r="G120" s="36">
        <v>56</v>
      </c>
      <c r="H120" s="67">
        <v>43.641379310344824</v>
      </c>
      <c r="I120" s="36">
        <v>72.288713910761146</v>
      </c>
      <c r="J120" s="36">
        <v>42.823720429441721</v>
      </c>
      <c r="K120" s="67">
        <v>16.811328816456079</v>
      </c>
      <c r="L120" s="36">
        <v>19478</v>
      </c>
      <c r="M120" s="36" t="s">
        <v>352</v>
      </c>
      <c r="N120" s="36">
        <v>100</v>
      </c>
      <c r="O120" s="43">
        <v>31.888401253918495</v>
      </c>
      <c r="P120" s="36">
        <v>66.025579937304073</v>
      </c>
      <c r="Q120" s="43">
        <v>46.32285240243489</v>
      </c>
      <c r="R120" s="43">
        <v>26.263880519163433</v>
      </c>
      <c r="S120" s="43">
        <v>8.9757212853678698</v>
      </c>
      <c r="T120" s="36">
        <v>19478</v>
      </c>
      <c r="U120" s="36" t="s">
        <v>352</v>
      </c>
      <c r="V120" s="36">
        <v>100</v>
      </c>
      <c r="W120" s="36">
        <v>1</v>
      </c>
      <c r="X120" s="102">
        <v>2</v>
      </c>
      <c r="Y120" s="29">
        <v>22</v>
      </c>
      <c r="Z120" s="47">
        <v>5.8</v>
      </c>
      <c r="AA120" s="47">
        <v>85</v>
      </c>
      <c r="AB120" s="50">
        <v>23571</v>
      </c>
      <c r="AC120" s="50" t="s">
        <v>161</v>
      </c>
      <c r="AD120" s="50">
        <v>100</v>
      </c>
      <c r="AE120" s="42">
        <v>17</v>
      </c>
      <c r="AF120" s="43">
        <v>1.7</v>
      </c>
      <c r="AG120" s="45">
        <v>75</v>
      </c>
      <c r="AH120" s="35">
        <v>0.18005247567567564</v>
      </c>
      <c r="AI120" s="50">
        <v>39369</v>
      </c>
      <c r="AJ120" s="50" t="s">
        <v>391</v>
      </c>
      <c r="AK120" s="50">
        <v>100</v>
      </c>
      <c r="AL120" s="34">
        <v>12</v>
      </c>
      <c r="AM120" s="43">
        <v>0.8</v>
      </c>
      <c r="AN120" s="35">
        <v>0.30194357366771163</v>
      </c>
      <c r="AO120" s="35">
        <v>0.50031347962382433</v>
      </c>
      <c r="AP120" s="35">
        <v>0.96902821316614418</v>
      </c>
      <c r="AQ120" s="84">
        <v>1.1656426332288403</v>
      </c>
      <c r="AR120" s="46">
        <v>19478</v>
      </c>
      <c r="AS120" s="50" t="s">
        <v>352</v>
      </c>
      <c r="AT120" s="50">
        <v>100</v>
      </c>
      <c r="AU120" s="44">
        <v>-1</v>
      </c>
      <c r="AV120" s="48">
        <v>-1</v>
      </c>
      <c r="AW120" s="48">
        <v>-1</v>
      </c>
      <c r="AX120" s="48">
        <v>-1</v>
      </c>
      <c r="AY120" s="48">
        <v>-1</v>
      </c>
      <c r="AZ120" s="45">
        <v>1</v>
      </c>
      <c r="BA120" s="43">
        <v>61</v>
      </c>
      <c r="BB120" s="45">
        <v>1.2</v>
      </c>
      <c r="BC120" s="45">
        <v>-1</v>
      </c>
      <c r="BD120" s="45">
        <v>-1</v>
      </c>
      <c r="BE120" s="45">
        <v>-1</v>
      </c>
      <c r="BF120" s="45">
        <v>100</v>
      </c>
      <c r="BG120" s="45">
        <v>-1</v>
      </c>
      <c r="BH120" s="45">
        <v>-1</v>
      </c>
      <c r="BI120" s="45">
        <v>-1</v>
      </c>
      <c r="BJ120" s="28">
        <v>1</v>
      </c>
      <c r="BK120" s="56">
        <v>50.408315459495135</v>
      </c>
      <c r="BL120" s="45">
        <v>0.6</v>
      </c>
      <c r="BM120" s="45">
        <v>3</v>
      </c>
      <c r="BN120" s="56">
        <v>40.318891272067319</v>
      </c>
      <c r="BO120" s="45">
        <v>0.3</v>
      </c>
    </row>
    <row r="121" spans="1:67" s="50" customFormat="1" ht="15" customHeight="1" x14ac:dyDescent="0.25">
      <c r="A121" s="50">
        <v>120</v>
      </c>
      <c r="B121" s="52" t="s">
        <v>244</v>
      </c>
      <c r="C121" s="68">
        <v>934061</v>
      </c>
      <c r="D121" s="36" t="s">
        <v>5</v>
      </c>
      <c r="E121" s="11" t="s">
        <v>16</v>
      </c>
      <c r="F121" s="39">
        <v>73.7</v>
      </c>
      <c r="G121" s="36">
        <v>73.7</v>
      </c>
      <c r="H121" s="67">
        <v>57.435172413793111</v>
      </c>
      <c r="I121" s="36">
        <v>83.296259842519675</v>
      </c>
      <c r="J121" s="36">
        <v>49.344573327416626</v>
      </c>
      <c r="K121" s="67">
        <v>19.371223219190622</v>
      </c>
      <c r="L121" s="36">
        <v>19478</v>
      </c>
      <c r="M121" s="36" t="s">
        <v>352</v>
      </c>
      <c r="N121" s="36">
        <v>100</v>
      </c>
      <c r="O121" s="43">
        <v>41.967413793103454</v>
      </c>
      <c r="P121" s="36">
        <v>86.894379310344831</v>
      </c>
      <c r="Q121" s="43">
        <v>53.376525070333429</v>
      </c>
      <c r="R121" s="43">
        <v>30.263133729253713</v>
      </c>
      <c r="S121" s="43">
        <v>10.342472178755139</v>
      </c>
      <c r="T121" s="36">
        <v>19478</v>
      </c>
      <c r="U121" s="36" t="s">
        <v>352</v>
      </c>
      <c r="V121" s="36">
        <v>100</v>
      </c>
      <c r="W121" s="36">
        <v>1</v>
      </c>
      <c r="X121" s="102">
        <v>2</v>
      </c>
      <c r="Y121" s="29">
        <v>16</v>
      </c>
      <c r="Z121" s="47">
        <v>5.8</v>
      </c>
      <c r="AA121" s="47">
        <v>85</v>
      </c>
      <c r="AB121" s="50">
        <v>23571</v>
      </c>
      <c r="AC121" s="50" t="s">
        <v>161</v>
      </c>
      <c r="AD121" s="50">
        <v>100</v>
      </c>
      <c r="AE121" s="42">
        <v>13</v>
      </c>
      <c r="AF121" s="43">
        <v>1.7</v>
      </c>
      <c r="AG121" s="45">
        <v>75</v>
      </c>
      <c r="AH121" s="35">
        <v>0.13302954774774778</v>
      </c>
      <c r="AI121" s="50">
        <v>39369</v>
      </c>
      <c r="AJ121" s="50" t="s">
        <v>391</v>
      </c>
      <c r="AK121" s="50">
        <v>100</v>
      </c>
      <c r="AL121" s="34">
        <v>15</v>
      </c>
      <c r="AM121" s="43">
        <v>0.8</v>
      </c>
      <c r="AN121" s="35">
        <v>0.3973793103448276</v>
      </c>
      <c r="AO121" s="35">
        <v>0.65844827586206878</v>
      </c>
      <c r="AP121" s="35">
        <v>1.2753103448275864</v>
      </c>
      <c r="AQ121" s="84">
        <v>1.5340689655172417</v>
      </c>
      <c r="AR121" s="46">
        <v>19478</v>
      </c>
      <c r="AS121" s="50" t="s">
        <v>352</v>
      </c>
      <c r="AT121" s="50">
        <v>100</v>
      </c>
      <c r="AU121" s="44">
        <v>-1</v>
      </c>
      <c r="AV121" s="48">
        <v>-1</v>
      </c>
      <c r="AW121" s="48">
        <v>-1</v>
      </c>
      <c r="AX121" s="48">
        <v>-1</v>
      </c>
      <c r="AY121" s="48">
        <v>-1</v>
      </c>
      <c r="AZ121" s="45">
        <v>1</v>
      </c>
      <c r="BA121" s="43">
        <v>80</v>
      </c>
      <c r="BB121" s="45">
        <v>1.2</v>
      </c>
      <c r="BC121" s="45">
        <v>-1</v>
      </c>
      <c r="BD121" s="45">
        <v>-1</v>
      </c>
      <c r="BE121" s="45">
        <v>-1</v>
      </c>
      <c r="BF121" s="45">
        <v>100</v>
      </c>
      <c r="BG121" s="45">
        <v>-1</v>
      </c>
      <c r="BH121" s="45">
        <v>-1</v>
      </c>
      <c r="BI121" s="45">
        <v>-1</v>
      </c>
      <c r="BJ121" s="28">
        <v>1</v>
      </c>
      <c r="BK121" s="56">
        <v>66.340943738656989</v>
      </c>
      <c r="BL121" s="45">
        <v>0.6</v>
      </c>
      <c r="BM121" s="45">
        <v>3</v>
      </c>
      <c r="BN121" s="56">
        <v>53.062540834845734</v>
      </c>
      <c r="BO121" s="45">
        <v>0.3</v>
      </c>
    </row>
    <row r="122" spans="1:67" s="50" customFormat="1" ht="15" customHeight="1" x14ac:dyDescent="0.25">
      <c r="A122" s="50">
        <v>121</v>
      </c>
      <c r="B122" s="52" t="s">
        <v>245</v>
      </c>
      <c r="C122" s="68">
        <v>914091</v>
      </c>
      <c r="D122" s="45" t="s">
        <v>5</v>
      </c>
      <c r="E122" s="24" t="s">
        <v>353</v>
      </c>
      <c r="F122" s="39">
        <v>22.4</v>
      </c>
      <c r="G122" s="36">
        <v>22.4</v>
      </c>
      <c r="H122" s="36">
        <v>41.00292682926829</v>
      </c>
      <c r="I122" s="36">
        <v>62.876312335958005</v>
      </c>
      <c r="J122" s="36">
        <v>32.714592583821762</v>
      </c>
      <c r="K122" s="36">
        <v>12.575262467191601</v>
      </c>
      <c r="L122" s="36">
        <v>18035</v>
      </c>
      <c r="M122" s="36" t="s">
        <v>370</v>
      </c>
      <c r="N122" s="36">
        <v>100</v>
      </c>
      <c r="O122" s="36">
        <v>9.3151219512195116</v>
      </c>
      <c r="P122" s="36">
        <v>61.326829268292677</v>
      </c>
      <c r="Q122" s="36">
        <v>34.747435764608369</v>
      </c>
      <c r="R122" s="36">
        <v>17.586457284944647</v>
      </c>
      <c r="S122" s="36">
        <v>6.334906656404792</v>
      </c>
      <c r="T122" s="36">
        <v>18031</v>
      </c>
      <c r="U122" s="36" t="s">
        <v>385</v>
      </c>
      <c r="V122" s="36">
        <v>100</v>
      </c>
      <c r="W122" s="36">
        <v>1</v>
      </c>
      <c r="X122" s="102">
        <v>2</v>
      </c>
      <c r="Y122" s="29">
        <v>35.326936708860757</v>
      </c>
      <c r="Z122" s="47">
        <v>4.9000000000000004</v>
      </c>
      <c r="AA122" s="47">
        <v>85</v>
      </c>
      <c r="AB122" s="50">
        <v>23571</v>
      </c>
      <c r="AC122" s="50" t="s">
        <v>161</v>
      </c>
      <c r="AD122" s="50">
        <v>100</v>
      </c>
      <c r="AE122" s="42">
        <v>27</v>
      </c>
      <c r="AF122" s="43">
        <v>1.8</v>
      </c>
      <c r="AG122" s="45">
        <v>80</v>
      </c>
      <c r="AH122" s="35">
        <v>0.23158769620253164</v>
      </c>
      <c r="AI122" s="20" t="s">
        <v>395</v>
      </c>
      <c r="AJ122" s="50" t="s">
        <v>394</v>
      </c>
      <c r="AK122" s="50" t="s">
        <v>156</v>
      </c>
      <c r="AL122" s="34">
        <v>9.2878048780487799</v>
      </c>
      <c r="AM122" s="43">
        <v>2</v>
      </c>
      <c r="AN122" s="35">
        <v>0.15297560975609756</v>
      </c>
      <c r="AO122" s="35">
        <v>0.28956097560975608</v>
      </c>
      <c r="AP122" s="35">
        <v>0.4288780487804878</v>
      </c>
      <c r="AQ122" s="84">
        <v>1.5302736842105262</v>
      </c>
      <c r="AR122" s="40" t="s">
        <v>387</v>
      </c>
      <c r="AS122" s="50" t="s">
        <v>386</v>
      </c>
      <c r="AT122" s="50" t="s">
        <v>388</v>
      </c>
      <c r="AU122" s="44">
        <v>6</v>
      </c>
      <c r="AV122" s="45">
        <v>0.5</v>
      </c>
      <c r="AW122" s="45">
        <v>2</v>
      </c>
      <c r="AX122" s="45">
        <v>28</v>
      </c>
      <c r="AY122" s="45">
        <v>1.7</v>
      </c>
      <c r="AZ122" s="45">
        <v>1</v>
      </c>
      <c r="BA122" s="36">
        <v>23.164878048780487</v>
      </c>
      <c r="BB122" s="35">
        <v>1</v>
      </c>
      <c r="BC122" s="45">
        <v>60</v>
      </c>
      <c r="BD122" s="45">
        <v>-1</v>
      </c>
      <c r="BE122" s="45">
        <v>40</v>
      </c>
      <c r="BF122" s="45">
        <v>-1</v>
      </c>
      <c r="BG122" s="45">
        <v>-1</v>
      </c>
      <c r="BH122" s="45">
        <v>-1</v>
      </c>
      <c r="BI122" s="45">
        <v>-1</v>
      </c>
      <c r="BJ122" s="28">
        <v>1</v>
      </c>
      <c r="BK122" s="36">
        <v>25.923902439024388</v>
      </c>
      <c r="BL122" s="43">
        <v>1.8</v>
      </c>
      <c r="BM122" s="45">
        <v>3</v>
      </c>
      <c r="BN122" s="36">
        <v>25.104390243902436</v>
      </c>
      <c r="BO122" s="43">
        <v>1.9</v>
      </c>
    </row>
    <row r="123" spans="1:67" s="50" customFormat="1" ht="15" customHeight="1" x14ac:dyDescent="0.25">
      <c r="A123" s="50">
        <v>122</v>
      </c>
      <c r="B123" s="52" t="s">
        <v>246</v>
      </c>
      <c r="C123" s="68">
        <v>924091</v>
      </c>
      <c r="D123" s="45" t="s">
        <v>5</v>
      </c>
      <c r="E123" s="24" t="s">
        <v>353</v>
      </c>
      <c r="F123" s="39">
        <v>59</v>
      </c>
      <c r="G123" s="36">
        <v>59</v>
      </c>
      <c r="H123" s="36">
        <v>107.99878048780489</v>
      </c>
      <c r="I123" s="36">
        <v>74.36023622047243</v>
      </c>
      <c r="J123" s="36">
        <v>38.689686815463851</v>
      </c>
      <c r="K123" s="36">
        <v>14.872047244094487</v>
      </c>
      <c r="L123" s="36">
        <v>18035</v>
      </c>
      <c r="M123" s="36" t="s">
        <v>370</v>
      </c>
      <c r="N123" s="36">
        <v>100</v>
      </c>
      <c r="O123" s="36">
        <v>24.535365853658536</v>
      </c>
      <c r="P123" s="36">
        <v>161.53048780487805</v>
      </c>
      <c r="Q123" s="36">
        <v>41.093814753418968</v>
      </c>
      <c r="R123" s="36">
        <v>20.798502160914097</v>
      </c>
      <c r="S123" s="36">
        <v>7.4919335740927107</v>
      </c>
      <c r="T123" s="36">
        <v>18031</v>
      </c>
      <c r="U123" s="36" t="s">
        <v>385</v>
      </c>
      <c r="V123" s="36">
        <v>100</v>
      </c>
      <c r="W123" s="36">
        <v>1</v>
      </c>
      <c r="X123" s="102">
        <v>2</v>
      </c>
      <c r="Y123" s="29">
        <v>20.76923076923077</v>
      </c>
      <c r="Z123" s="47">
        <v>4.9000000000000004</v>
      </c>
      <c r="AA123" s="47">
        <v>85</v>
      </c>
      <c r="AB123" s="50">
        <v>23571</v>
      </c>
      <c r="AC123" s="50" t="s">
        <v>161</v>
      </c>
      <c r="AD123" s="50">
        <v>100</v>
      </c>
      <c r="AE123" s="42">
        <v>16</v>
      </c>
      <c r="AF123" s="43">
        <v>1.8</v>
      </c>
      <c r="AG123" s="45">
        <v>80</v>
      </c>
      <c r="AH123" s="35">
        <v>0.13615384615384615</v>
      </c>
      <c r="AI123" s="50" t="s">
        <v>395</v>
      </c>
      <c r="AJ123" s="50" t="s">
        <v>394</v>
      </c>
      <c r="AK123" s="50" t="s">
        <v>156</v>
      </c>
      <c r="AL123" s="34">
        <v>24.463414634146343</v>
      </c>
      <c r="AM123" s="43">
        <v>2</v>
      </c>
      <c r="AN123" s="35">
        <v>0.40292682926829271</v>
      </c>
      <c r="AO123" s="35">
        <v>0.76268292682926819</v>
      </c>
      <c r="AP123" s="35">
        <v>1.1296341463414634</v>
      </c>
      <c r="AQ123" s="84">
        <v>4.0306315789473688</v>
      </c>
      <c r="AR123" s="40" t="s">
        <v>387</v>
      </c>
      <c r="AS123" s="50" t="s">
        <v>386</v>
      </c>
      <c r="AT123" s="50" t="s">
        <v>388</v>
      </c>
      <c r="AU123" s="44">
        <v>6</v>
      </c>
      <c r="AV123" s="45">
        <v>0.5</v>
      </c>
      <c r="AW123" s="45">
        <v>2</v>
      </c>
      <c r="AX123" s="45">
        <v>28</v>
      </c>
      <c r="AY123" s="45">
        <v>1.7</v>
      </c>
      <c r="AZ123" s="45">
        <v>1</v>
      </c>
      <c r="BA123" s="36">
        <v>61.014634146341471</v>
      </c>
      <c r="BB123" s="35">
        <v>1</v>
      </c>
      <c r="BC123" s="45">
        <v>60</v>
      </c>
      <c r="BD123" s="45">
        <v>-1</v>
      </c>
      <c r="BE123" s="45">
        <v>40</v>
      </c>
      <c r="BF123" s="45">
        <v>-1</v>
      </c>
      <c r="BG123" s="45">
        <v>-1</v>
      </c>
      <c r="BH123" s="45">
        <v>-1</v>
      </c>
      <c r="BI123" s="45">
        <v>-1</v>
      </c>
      <c r="BJ123" s="28">
        <v>1</v>
      </c>
      <c r="BK123" s="36">
        <v>68.28170731707317</v>
      </c>
      <c r="BL123" s="43">
        <v>1.8</v>
      </c>
      <c r="BM123" s="45">
        <v>3</v>
      </c>
      <c r="BN123" s="36">
        <v>66.123170731707319</v>
      </c>
      <c r="BO123" s="43">
        <v>1.9</v>
      </c>
    </row>
    <row r="124" spans="1:67" s="50" customFormat="1" ht="15" customHeight="1" x14ac:dyDescent="0.25">
      <c r="A124" s="50">
        <v>123</v>
      </c>
      <c r="B124" s="52" t="s">
        <v>247</v>
      </c>
      <c r="C124" s="68">
        <v>934091</v>
      </c>
      <c r="D124" s="36" t="s">
        <v>5</v>
      </c>
      <c r="E124" s="24" t="s">
        <v>353</v>
      </c>
      <c r="F124" s="39">
        <v>74.099999999999994</v>
      </c>
      <c r="G124" s="36">
        <v>74.099999999999994</v>
      </c>
      <c r="H124" s="36">
        <v>135.6391463414634</v>
      </c>
      <c r="I124" s="36">
        <v>87.93208661417323</v>
      </c>
      <c r="J124" s="36">
        <v>45.751130779705171</v>
      </c>
      <c r="K124" s="36">
        <v>17.586417322834649</v>
      </c>
      <c r="L124" s="36">
        <v>18035</v>
      </c>
      <c r="M124" s="36" t="s">
        <v>370</v>
      </c>
      <c r="N124" s="36">
        <v>100</v>
      </c>
      <c r="O124" s="36">
        <v>30.814756097560974</v>
      </c>
      <c r="P124" s="36">
        <v>202.87134146341464</v>
      </c>
      <c r="Q124" s="36">
        <v>48.594047865727312</v>
      </c>
      <c r="R124" s="36">
        <v>24.594538511633417</v>
      </c>
      <c r="S124" s="36">
        <v>8.8593230122550466</v>
      </c>
      <c r="T124" s="36">
        <v>18031</v>
      </c>
      <c r="U124" s="36" t="s">
        <v>385</v>
      </c>
      <c r="V124" s="36">
        <v>100</v>
      </c>
      <c r="W124" s="36">
        <v>1</v>
      </c>
      <c r="X124" s="102">
        <v>2</v>
      </c>
      <c r="Y124" s="29">
        <v>20.76923076923077</v>
      </c>
      <c r="Z124" s="47">
        <v>4.9000000000000004</v>
      </c>
      <c r="AA124" s="47">
        <v>85</v>
      </c>
      <c r="AB124" s="50">
        <v>23571</v>
      </c>
      <c r="AC124" s="50" t="s">
        <v>161</v>
      </c>
      <c r="AD124" s="50">
        <v>100</v>
      </c>
      <c r="AE124" s="42">
        <v>16</v>
      </c>
      <c r="AF124" s="43">
        <v>1.8</v>
      </c>
      <c r="AG124" s="45">
        <v>80</v>
      </c>
      <c r="AH124" s="35">
        <v>0.13615384615384615</v>
      </c>
      <c r="AI124" s="50" t="s">
        <v>395</v>
      </c>
      <c r="AJ124" s="50" t="s">
        <v>394</v>
      </c>
      <c r="AK124" s="50" t="s">
        <v>156</v>
      </c>
      <c r="AL124" s="34">
        <v>30.724390243902434</v>
      </c>
      <c r="AM124" s="43">
        <v>2</v>
      </c>
      <c r="AN124" s="35">
        <v>0.50604878048780488</v>
      </c>
      <c r="AO124" s="35">
        <v>0.95787804878048777</v>
      </c>
      <c r="AP124" s="35">
        <v>1.4187439024390243</v>
      </c>
      <c r="AQ124" s="84">
        <v>5.0621999999999989</v>
      </c>
      <c r="AR124" s="40" t="s">
        <v>387</v>
      </c>
      <c r="AS124" s="50" t="s">
        <v>386</v>
      </c>
      <c r="AT124" s="50" t="s">
        <v>388</v>
      </c>
      <c r="AU124" s="44">
        <v>6</v>
      </c>
      <c r="AV124" s="45">
        <v>0.5</v>
      </c>
      <c r="AW124" s="45">
        <v>2</v>
      </c>
      <c r="AX124" s="45">
        <v>28</v>
      </c>
      <c r="AY124" s="45">
        <v>1.7</v>
      </c>
      <c r="AZ124" s="45">
        <v>1</v>
      </c>
      <c r="BA124" s="36">
        <v>76.63024390243902</v>
      </c>
      <c r="BB124" s="35">
        <v>1</v>
      </c>
      <c r="BC124" s="45">
        <v>60</v>
      </c>
      <c r="BD124" s="45">
        <v>-1</v>
      </c>
      <c r="BE124" s="45">
        <v>40</v>
      </c>
      <c r="BF124" s="45">
        <v>-1</v>
      </c>
      <c r="BG124" s="45">
        <v>-1</v>
      </c>
      <c r="BH124" s="45">
        <v>-1</v>
      </c>
      <c r="BI124" s="45">
        <v>-1</v>
      </c>
      <c r="BJ124" s="28">
        <v>1</v>
      </c>
      <c r="BK124" s="36">
        <v>85.757195121951199</v>
      </c>
      <c r="BL124" s="43">
        <v>1.8</v>
      </c>
      <c r="BM124" s="45">
        <v>3</v>
      </c>
      <c r="BN124" s="36">
        <v>83.046219512195108</v>
      </c>
      <c r="BO124" s="43">
        <v>1.9</v>
      </c>
    </row>
    <row r="125" spans="1:67" s="50" customFormat="1" ht="15" customHeight="1" x14ac:dyDescent="0.25">
      <c r="A125" s="50">
        <v>124</v>
      </c>
      <c r="B125" s="52" t="s">
        <v>248</v>
      </c>
      <c r="C125" s="72">
        <v>914092</v>
      </c>
      <c r="D125" s="45" t="s">
        <v>5</v>
      </c>
      <c r="E125" s="76" t="s">
        <v>354</v>
      </c>
      <c r="F125" s="39">
        <v>21.8</v>
      </c>
      <c r="G125" s="36">
        <v>21.8</v>
      </c>
      <c r="H125" s="36">
        <v>76.3</v>
      </c>
      <c r="I125" s="43">
        <v>53.6</v>
      </c>
      <c r="J125" s="36">
        <v>18.91764705882353</v>
      </c>
      <c r="K125" s="36">
        <v>8.1976470588235291</v>
      </c>
      <c r="L125" s="36">
        <v>183412</v>
      </c>
      <c r="M125" s="36" t="s">
        <v>398</v>
      </c>
      <c r="N125" s="36">
        <v>100</v>
      </c>
      <c r="O125" s="36">
        <v>5.7224999999999993</v>
      </c>
      <c r="P125" s="36">
        <v>130.79999999999998</v>
      </c>
      <c r="Q125" s="36">
        <v>30.741176470588236</v>
      </c>
      <c r="R125" s="36">
        <v>7.0941176470588241</v>
      </c>
      <c r="S125" s="36">
        <v>2.5038062283737026</v>
      </c>
      <c r="T125" s="36">
        <v>183412</v>
      </c>
      <c r="U125" s="36" t="s">
        <v>398</v>
      </c>
      <c r="V125" s="36">
        <v>100</v>
      </c>
      <c r="W125" s="36">
        <v>1</v>
      </c>
      <c r="X125" s="102">
        <v>2</v>
      </c>
      <c r="Y125" s="29">
        <v>47.178571428571431</v>
      </c>
      <c r="Z125" s="43">
        <v>3</v>
      </c>
      <c r="AA125" s="47">
        <v>90</v>
      </c>
      <c r="AB125" s="50">
        <v>22476</v>
      </c>
      <c r="AC125" s="50" t="s">
        <v>157</v>
      </c>
      <c r="AD125" s="50">
        <v>100</v>
      </c>
      <c r="AE125" s="42">
        <v>18.87142857142857</v>
      </c>
      <c r="AF125" s="43">
        <v>1.3</v>
      </c>
      <c r="AG125" s="45">
        <v>80</v>
      </c>
      <c r="AH125" s="35">
        <v>8.8066666666666654E-2</v>
      </c>
      <c r="AI125" s="50">
        <v>40529</v>
      </c>
      <c r="AJ125" s="50" t="s">
        <v>356</v>
      </c>
      <c r="AK125" s="50">
        <v>100</v>
      </c>
      <c r="AL125" s="34">
        <v>12.535</v>
      </c>
      <c r="AM125" s="43">
        <v>1</v>
      </c>
      <c r="AN125" s="35">
        <v>0.16350000000000001</v>
      </c>
      <c r="AO125" s="35">
        <v>0.44689999999999991</v>
      </c>
      <c r="AP125" s="35">
        <v>0.91560000000000008</v>
      </c>
      <c r="AQ125" s="84">
        <v>2.9</v>
      </c>
      <c r="AR125" s="46">
        <v>183412</v>
      </c>
      <c r="AS125" s="50" t="s">
        <v>398</v>
      </c>
      <c r="AT125" s="50">
        <v>100</v>
      </c>
      <c r="AU125" s="44">
        <v>-1</v>
      </c>
      <c r="AV125" s="48">
        <v>-1</v>
      </c>
      <c r="AW125" s="45">
        <v>1</v>
      </c>
      <c r="AX125" s="45">
        <v>63</v>
      </c>
      <c r="AY125" s="45">
        <v>2.2999999999999998</v>
      </c>
      <c r="AZ125" s="45">
        <v>1</v>
      </c>
      <c r="BA125" s="45">
        <v>21.8</v>
      </c>
      <c r="BB125" s="35">
        <v>0.7</v>
      </c>
      <c r="BC125" s="45">
        <v>-1</v>
      </c>
      <c r="BD125" s="45">
        <v>-1</v>
      </c>
      <c r="BE125" s="45">
        <v>100</v>
      </c>
      <c r="BF125" s="45">
        <v>-1</v>
      </c>
      <c r="BG125" s="45">
        <v>-1</v>
      </c>
      <c r="BH125" s="45">
        <v>-1</v>
      </c>
      <c r="BI125" s="45">
        <v>-1</v>
      </c>
      <c r="BJ125" s="28">
        <v>2</v>
      </c>
      <c r="BK125" s="45">
        <v>100</v>
      </c>
      <c r="BL125" s="43">
        <v>5</v>
      </c>
      <c r="BM125" s="45">
        <v>4</v>
      </c>
      <c r="BN125" s="45">
        <v>100</v>
      </c>
      <c r="BO125" s="43">
        <v>5</v>
      </c>
    </row>
    <row r="126" spans="1:67" s="50" customFormat="1" ht="15" customHeight="1" x14ac:dyDescent="0.25">
      <c r="A126" s="50">
        <v>125</v>
      </c>
      <c r="B126" s="52" t="s">
        <v>528</v>
      </c>
      <c r="C126" s="72">
        <v>924092</v>
      </c>
      <c r="D126" s="45" t="s">
        <v>5</v>
      </c>
      <c r="E126" s="76" t="s">
        <v>354</v>
      </c>
      <c r="F126" s="39">
        <v>58.4</v>
      </c>
      <c r="G126" s="36">
        <v>58.4</v>
      </c>
      <c r="H126" s="36">
        <v>204.39999999999998</v>
      </c>
      <c r="I126" s="43">
        <v>75.5</v>
      </c>
      <c r="J126" s="36">
        <v>26.647058823529413</v>
      </c>
      <c r="K126" s="36">
        <v>10</v>
      </c>
      <c r="L126" s="36">
        <v>183412</v>
      </c>
      <c r="M126" s="36" t="s">
        <v>398</v>
      </c>
      <c r="N126" s="36">
        <v>100</v>
      </c>
      <c r="O126" s="36">
        <v>15.329999999999998</v>
      </c>
      <c r="P126" s="36">
        <v>350.4</v>
      </c>
      <c r="Q126" s="36">
        <v>43.301470588235297</v>
      </c>
      <c r="R126" s="36">
        <v>9.992647058823529</v>
      </c>
      <c r="S126" s="36">
        <v>3.5268166089965405</v>
      </c>
      <c r="T126" s="36">
        <v>183412</v>
      </c>
      <c r="U126" s="36" t="s">
        <v>398</v>
      </c>
      <c r="V126" s="36">
        <v>100</v>
      </c>
      <c r="W126" s="36">
        <v>1</v>
      </c>
      <c r="X126" s="102">
        <v>2</v>
      </c>
      <c r="Y126" s="29">
        <v>26.314285714285717</v>
      </c>
      <c r="Z126" s="43">
        <v>7.6</v>
      </c>
      <c r="AA126" s="47">
        <v>90</v>
      </c>
      <c r="AB126" s="50">
        <v>22476</v>
      </c>
      <c r="AC126" s="50" t="s">
        <v>157</v>
      </c>
      <c r="AD126" s="50">
        <v>100</v>
      </c>
      <c r="AE126" s="42">
        <v>10.525714285714287</v>
      </c>
      <c r="AF126" s="43">
        <v>1.3</v>
      </c>
      <c r="AG126" s="45">
        <v>80</v>
      </c>
      <c r="AH126" s="35">
        <v>4.9120000000000011E-2</v>
      </c>
      <c r="AI126" s="50">
        <v>40529</v>
      </c>
      <c r="AJ126" s="50" t="s">
        <v>356</v>
      </c>
      <c r="AK126" s="50">
        <v>100</v>
      </c>
      <c r="AL126" s="34">
        <v>33.580000000000005</v>
      </c>
      <c r="AM126" s="43">
        <v>1</v>
      </c>
      <c r="AN126" s="35">
        <v>0.43799999999999994</v>
      </c>
      <c r="AO126" s="35">
        <v>1.1971999999999996</v>
      </c>
      <c r="AP126" s="35">
        <v>2.4527999999999999</v>
      </c>
      <c r="AQ126" s="84">
        <v>7.7</v>
      </c>
      <c r="AR126" s="46">
        <v>183412</v>
      </c>
      <c r="AS126" s="50" t="s">
        <v>398</v>
      </c>
      <c r="AT126" s="50">
        <v>100</v>
      </c>
      <c r="AU126" s="44">
        <v>-1</v>
      </c>
      <c r="AV126" s="48">
        <v>-1</v>
      </c>
      <c r="AW126" s="45">
        <v>1</v>
      </c>
      <c r="AX126" s="45">
        <v>63</v>
      </c>
      <c r="AY126" s="45">
        <v>2.2999999999999998</v>
      </c>
      <c r="AZ126" s="45">
        <v>1</v>
      </c>
      <c r="BA126" s="45">
        <v>58.4</v>
      </c>
      <c r="BB126" s="35">
        <v>0.7</v>
      </c>
      <c r="BC126" s="45">
        <v>-1</v>
      </c>
      <c r="BD126" s="45">
        <v>-1</v>
      </c>
      <c r="BE126" s="45">
        <v>100</v>
      </c>
      <c r="BF126" s="45">
        <v>-1</v>
      </c>
      <c r="BG126" s="45">
        <v>-1</v>
      </c>
      <c r="BH126" s="45">
        <v>-1</v>
      </c>
      <c r="BI126" s="45">
        <v>-1</v>
      </c>
      <c r="BJ126" s="28">
        <v>2</v>
      </c>
      <c r="BK126" s="45">
        <v>100</v>
      </c>
      <c r="BL126" s="43">
        <v>5</v>
      </c>
      <c r="BM126" s="45">
        <v>4</v>
      </c>
      <c r="BN126" s="45">
        <v>100</v>
      </c>
      <c r="BO126" s="43">
        <v>5</v>
      </c>
    </row>
    <row r="127" spans="1:67" s="50" customFormat="1" ht="15" customHeight="1" x14ac:dyDescent="0.25">
      <c r="A127" s="50">
        <v>126</v>
      </c>
      <c r="B127" s="52" t="s">
        <v>249</v>
      </c>
      <c r="C127" s="72">
        <v>934092</v>
      </c>
      <c r="D127" s="36" t="s">
        <v>5</v>
      </c>
      <c r="E127" s="76" t="s">
        <v>354</v>
      </c>
      <c r="F127" s="39">
        <v>72.900000000000006</v>
      </c>
      <c r="G127" s="36">
        <v>72.900000000000006</v>
      </c>
      <c r="H127" s="36">
        <v>255.15000000000003</v>
      </c>
      <c r="I127" s="43">
        <v>82.9</v>
      </c>
      <c r="J127" s="36">
        <v>29.258823529411767</v>
      </c>
      <c r="K127" s="36">
        <v>10</v>
      </c>
      <c r="L127" s="36">
        <v>183412</v>
      </c>
      <c r="M127" s="36" t="s">
        <v>398</v>
      </c>
      <c r="N127" s="36">
        <v>100</v>
      </c>
      <c r="O127" s="36">
        <v>19.136249999999997</v>
      </c>
      <c r="P127" s="36">
        <v>437.40000000000003</v>
      </c>
      <c r="Q127" s="36">
        <v>47.545588235294119</v>
      </c>
      <c r="R127" s="36">
        <v>10.972058823529412</v>
      </c>
      <c r="S127" s="36">
        <v>3.8724913494809696</v>
      </c>
      <c r="T127" s="36">
        <v>183412</v>
      </c>
      <c r="U127" s="36" t="s">
        <v>398</v>
      </c>
      <c r="V127" s="36">
        <v>100</v>
      </c>
      <c r="W127" s="36">
        <v>1</v>
      </c>
      <c r="X127" s="102">
        <v>2</v>
      </c>
      <c r="Y127" s="29">
        <v>19.357142857142854</v>
      </c>
      <c r="Z127" s="43">
        <v>7.6</v>
      </c>
      <c r="AA127" s="47">
        <v>90</v>
      </c>
      <c r="AB127" s="50">
        <v>22476</v>
      </c>
      <c r="AC127" s="50" t="s">
        <v>157</v>
      </c>
      <c r="AD127" s="50">
        <v>100</v>
      </c>
      <c r="AE127" s="42">
        <v>7.7428571428571411</v>
      </c>
      <c r="AF127" s="43">
        <v>1.3</v>
      </c>
      <c r="AG127" s="45">
        <v>80</v>
      </c>
      <c r="AH127" s="35">
        <v>3.613333333333333E-2</v>
      </c>
      <c r="AI127" s="50">
        <v>40529</v>
      </c>
      <c r="AJ127" s="50" t="s">
        <v>356</v>
      </c>
      <c r="AK127" s="50">
        <v>100</v>
      </c>
      <c r="AL127" s="34">
        <v>41.917500000000004</v>
      </c>
      <c r="AM127" s="43">
        <v>1</v>
      </c>
      <c r="AN127" s="35">
        <v>0.54674999999999996</v>
      </c>
      <c r="AO127" s="35">
        <v>1.4944499999999998</v>
      </c>
      <c r="AP127" s="35">
        <v>3.0618000000000003</v>
      </c>
      <c r="AQ127" s="84">
        <v>9.6</v>
      </c>
      <c r="AR127" s="46">
        <v>183412</v>
      </c>
      <c r="AS127" s="50" t="s">
        <v>398</v>
      </c>
      <c r="AT127" s="50">
        <v>100</v>
      </c>
      <c r="AU127" s="44">
        <v>-1</v>
      </c>
      <c r="AV127" s="48">
        <v>-1</v>
      </c>
      <c r="AW127" s="45">
        <v>1</v>
      </c>
      <c r="AX127" s="45">
        <v>63</v>
      </c>
      <c r="AY127" s="45">
        <v>2.2999999999999998</v>
      </c>
      <c r="AZ127" s="45">
        <v>1</v>
      </c>
      <c r="BA127" s="45">
        <v>72.900000000000006</v>
      </c>
      <c r="BB127" s="35">
        <v>0.7</v>
      </c>
      <c r="BC127" s="45">
        <v>-1</v>
      </c>
      <c r="BD127" s="45">
        <v>-1</v>
      </c>
      <c r="BE127" s="45">
        <v>100</v>
      </c>
      <c r="BF127" s="45">
        <v>-1</v>
      </c>
      <c r="BG127" s="45">
        <v>-1</v>
      </c>
      <c r="BH127" s="45">
        <v>-1</v>
      </c>
      <c r="BI127" s="45">
        <v>-1</v>
      </c>
      <c r="BJ127" s="28">
        <v>2</v>
      </c>
      <c r="BK127" s="45">
        <v>100</v>
      </c>
      <c r="BL127" s="43">
        <v>5</v>
      </c>
      <c r="BM127" s="45">
        <v>4</v>
      </c>
      <c r="BN127" s="45">
        <v>75.25</v>
      </c>
      <c r="BO127" s="43">
        <v>5</v>
      </c>
    </row>
    <row r="128" spans="1:67" s="50" customFormat="1" x14ac:dyDescent="0.25">
      <c r="A128" s="50">
        <v>127</v>
      </c>
      <c r="B128" s="52" t="s">
        <v>250</v>
      </c>
      <c r="C128" s="68">
        <v>914100</v>
      </c>
      <c r="D128" s="45" t="s">
        <v>5</v>
      </c>
      <c r="E128" s="17" t="s">
        <v>134</v>
      </c>
      <c r="F128" s="39">
        <v>26.7</v>
      </c>
      <c r="G128" s="36">
        <v>21.893999999999998</v>
      </c>
      <c r="H128" s="67">
        <v>25.987999999999996</v>
      </c>
      <c r="I128" s="36">
        <v>62.876312335957998</v>
      </c>
      <c r="J128" s="67">
        <v>34.034981018409603</v>
      </c>
      <c r="K128" s="67">
        <v>14.310162473649493</v>
      </c>
      <c r="L128" s="55" t="s">
        <v>390</v>
      </c>
      <c r="M128" s="36" t="s">
        <v>389</v>
      </c>
      <c r="N128" s="55" t="s">
        <v>156</v>
      </c>
      <c r="O128" s="43">
        <v>14.141111111111112</v>
      </c>
      <c r="P128" s="36">
        <v>67.007111111111115</v>
      </c>
      <c r="Q128" s="43">
        <v>41.193131788154474</v>
      </c>
      <c r="R128" s="43">
        <v>18.368084994062322</v>
      </c>
      <c r="S128" s="43">
        <v>7</v>
      </c>
      <c r="T128" s="36">
        <v>19478</v>
      </c>
      <c r="U128" s="36" t="s">
        <v>352</v>
      </c>
      <c r="V128" s="36">
        <v>100</v>
      </c>
      <c r="W128" s="36">
        <v>-1</v>
      </c>
      <c r="X128" s="102">
        <v>-1</v>
      </c>
      <c r="Y128" s="29">
        <v>22.853081785849515</v>
      </c>
      <c r="Z128" s="45">
        <v>4</v>
      </c>
      <c r="AA128" s="47">
        <v>85</v>
      </c>
      <c r="AB128" s="50">
        <v>23571</v>
      </c>
      <c r="AC128" s="50" t="s">
        <v>161</v>
      </c>
      <c r="AD128" s="50">
        <v>100</v>
      </c>
      <c r="AE128" s="42">
        <v>22</v>
      </c>
      <c r="AF128" s="56">
        <v>1.7</v>
      </c>
      <c r="AG128" s="45">
        <v>75</v>
      </c>
      <c r="AH128" s="45">
        <v>0.09</v>
      </c>
      <c r="AI128" s="50" t="s">
        <v>395</v>
      </c>
      <c r="AJ128" s="50" t="s">
        <v>394</v>
      </c>
      <c r="AK128" s="50" t="s">
        <v>156</v>
      </c>
      <c r="AL128" s="34">
        <v>8</v>
      </c>
      <c r="AM128" s="43">
        <v>1.7</v>
      </c>
      <c r="AN128" s="35">
        <v>0.18867999999999993</v>
      </c>
      <c r="AO128" s="35">
        <v>0.35243999999999998</v>
      </c>
      <c r="AP128" s="35">
        <v>0.49127999999999999</v>
      </c>
      <c r="AQ128" s="84">
        <v>0.73692000000000024</v>
      </c>
      <c r="AR128" s="46" t="s">
        <v>390</v>
      </c>
      <c r="AS128" s="50" t="s">
        <v>389</v>
      </c>
      <c r="AT128" s="50" t="s">
        <v>156</v>
      </c>
      <c r="AU128" s="44">
        <v>2</v>
      </c>
      <c r="AV128" s="45">
        <v>0.16</v>
      </c>
      <c r="AW128" s="45">
        <v>2</v>
      </c>
      <c r="AX128" s="45">
        <v>3</v>
      </c>
      <c r="AY128" s="45">
        <v>0.72</v>
      </c>
      <c r="AZ128" s="59">
        <v>1</v>
      </c>
      <c r="BA128" s="43">
        <v>34</v>
      </c>
      <c r="BB128" s="45">
        <v>1.6</v>
      </c>
      <c r="BC128" s="45">
        <v>50</v>
      </c>
      <c r="BD128" s="45">
        <v>-1</v>
      </c>
      <c r="BE128" s="45">
        <v>-1</v>
      </c>
      <c r="BF128" s="45">
        <v>50</v>
      </c>
      <c r="BG128" s="45">
        <v>-1</v>
      </c>
      <c r="BH128" s="45">
        <v>-1</v>
      </c>
      <c r="BI128" s="45">
        <v>-1</v>
      </c>
      <c r="BJ128" s="28">
        <v>1</v>
      </c>
      <c r="BK128" s="56">
        <v>32.89439999999999</v>
      </c>
      <c r="BL128" s="45">
        <v>0.7</v>
      </c>
      <c r="BM128" s="45">
        <v>3</v>
      </c>
      <c r="BN128" s="56">
        <v>27.999399999999998</v>
      </c>
      <c r="BO128" s="45">
        <v>0.5</v>
      </c>
    </row>
    <row r="129" spans="1:67" s="50" customFormat="1" x14ac:dyDescent="0.25">
      <c r="A129" s="50">
        <v>128</v>
      </c>
      <c r="B129" s="52" t="s">
        <v>251</v>
      </c>
      <c r="C129" s="68">
        <v>924100</v>
      </c>
      <c r="D129" s="45" t="s">
        <v>5</v>
      </c>
      <c r="E129" s="17" t="s">
        <v>134</v>
      </c>
      <c r="F129" s="39">
        <v>59.6</v>
      </c>
      <c r="G129" s="36">
        <v>48.872</v>
      </c>
      <c r="H129" s="67">
        <v>58.010666666666658</v>
      </c>
      <c r="I129" s="36">
        <v>67.54232283464566</v>
      </c>
      <c r="J129" s="67">
        <v>36.560694961460214</v>
      </c>
      <c r="K129" s="67">
        <v>15.372110381523047</v>
      </c>
      <c r="L129" s="55" t="s">
        <v>390</v>
      </c>
      <c r="M129" s="36" t="s">
        <v>389</v>
      </c>
      <c r="N129" s="55" t="s">
        <v>156</v>
      </c>
      <c r="O129" s="43">
        <v>31.565925925925928</v>
      </c>
      <c r="P129" s="36">
        <v>149.57392592592592</v>
      </c>
      <c r="Q129" s="43">
        <v>44.250047473195899</v>
      </c>
      <c r="R129" s="43">
        <v>19.731168709359483</v>
      </c>
      <c r="S129" s="43">
        <v>8</v>
      </c>
      <c r="T129" s="36">
        <v>19478</v>
      </c>
      <c r="U129" s="36" t="s">
        <v>352</v>
      </c>
      <c r="V129" s="36">
        <v>100</v>
      </c>
      <c r="W129" s="36">
        <v>-1</v>
      </c>
      <c r="X129" s="102">
        <v>-1</v>
      </c>
      <c r="Y129" s="29">
        <v>15.29555204725666</v>
      </c>
      <c r="Z129" s="45">
        <v>4</v>
      </c>
      <c r="AA129" s="47">
        <v>85</v>
      </c>
      <c r="AB129" s="50">
        <v>23571</v>
      </c>
      <c r="AC129" s="50" t="s">
        <v>161</v>
      </c>
      <c r="AD129" s="50">
        <v>100</v>
      </c>
      <c r="AE129" s="42">
        <v>15</v>
      </c>
      <c r="AF129" s="56">
        <v>1.7</v>
      </c>
      <c r="AG129" s="45">
        <v>75</v>
      </c>
      <c r="AH129" s="45">
        <v>0.06</v>
      </c>
      <c r="AI129" s="50" t="s">
        <v>395</v>
      </c>
      <c r="AJ129" s="50" t="s">
        <v>394</v>
      </c>
      <c r="AK129" s="50" t="s">
        <v>156</v>
      </c>
      <c r="AL129" s="34">
        <v>19</v>
      </c>
      <c r="AM129" s="43">
        <v>1.7</v>
      </c>
      <c r="AN129" s="35">
        <v>0.42117333333333323</v>
      </c>
      <c r="AO129" s="35">
        <v>0.78671999999999997</v>
      </c>
      <c r="AP129" s="35">
        <v>1.0966400000000001</v>
      </c>
      <c r="AQ129" s="84">
        <v>1.6449600000000004</v>
      </c>
      <c r="AR129" s="46" t="s">
        <v>390</v>
      </c>
      <c r="AS129" s="50" t="s">
        <v>389</v>
      </c>
      <c r="AT129" s="50" t="s">
        <v>156</v>
      </c>
      <c r="AU129" s="44">
        <v>2</v>
      </c>
      <c r="AV129" s="45">
        <v>0.16</v>
      </c>
      <c r="AW129" s="45">
        <v>2</v>
      </c>
      <c r="AX129" s="45">
        <v>3</v>
      </c>
      <c r="AY129" s="45">
        <v>0.72</v>
      </c>
      <c r="AZ129" s="59">
        <v>1</v>
      </c>
      <c r="BA129" s="43">
        <v>76</v>
      </c>
      <c r="BB129" s="45">
        <v>1.6</v>
      </c>
      <c r="BC129" s="45">
        <v>50</v>
      </c>
      <c r="BD129" s="45">
        <v>-1</v>
      </c>
      <c r="BE129" s="45">
        <v>-1</v>
      </c>
      <c r="BF129" s="45">
        <v>50</v>
      </c>
      <c r="BG129" s="45">
        <v>-1</v>
      </c>
      <c r="BH129" s="45">
        <v>-1</v>
      </c>
      <c r="BI129" s="45">
        <v>-1</v>
      </c>
      <c r="BJ129" s="28">
        <v>1</v>
      </c>
      <c r="BK129" s="56">
        <v>73.427199999999999</v>
      </c>
      <c r="BL129" s="45">
        <v>0.7</v>
      </c>
      <c r="BM129" s="45">
        <v>3</v>
      </c>
      <c r="BN129" s="56">
        <v>62.500533333333337</v>
      </c>
      <c r="BO129" s="45">
        <v>0.5</v>
      </c>
    </row>
    <row r="130" spans="1:67" s="50" customFormat="1" x14ac:dyDescent="0.25">
      <c r="A130" s="50">
        <v>129</v>
      </c>
      <c r="B130" s="52" t="s">
        <v>252</v>
      </c>
      <c r="C130" s="68">
        <v>934100</v>
      </c>
      <c r="D130" s="36" t="s">
        <v>5</v>
      </c>
      <c r="E130" s="17" t="s">
        <v>134</v>
      </c>
      <c r="F130" s="39">
        <v>73.599999999999994</v>
      </c>
      <c r="G130" s="36">
        <v>60.351999999999997</v>
      </c>
      <c r="H130" s="67">
        <v>71.637333333333316</v>
      </c>
      <c r="I130" s="36">
        <v>78.330052493438316</v>
      </c>
      <c r="J130" s="67">
        <v>42.400098713495609</v>
      </c>
      <c r="K130" s="67">
        <v>17.827314231810654</v>
      </c>
      <c r="L130" s="55" t="s">
        <v>390</v>
      </c>
      <c r="M130" s="36" t="s">
        <v>389</v>
      </c>
      <c r="N130" s="55" t="s">
        <v>156</v>
      </c>
      <c r="O130" s="43">
        <v>38.980740740740735</v>
      </c>
      <c r="P130" s="36">
        <v>184.70874074074072</v>
      </c>
      <c r="Q130" s="43">
        <v>51.317579792127617</v>
      </c>
      <c r="R130" s="43">
        <v>22.882592956489695</v>
      </c>
      <c r="S130" s="43">
        <v>8</v>
      </c>
      <c r="T130" s="36">
        <v>19478</v>
      </c>
      <c r="U130" s="36" t="s">
        <v>352</v>
      </c>
      <c r="V130" s="36">
        <v>100</v>
      </c>
      <c r="W130" s="36">
        <v>-1</v>
      </c>
      <c r="X130" s="102">
        <v>-1</v>
      </c>
      <c r="Y130" s="29">
        <v>27.675161098281944</v>
      </c>
      <c r="Z130" s="45">
        <v>4</v>
      </c>
      <c r="AA130" s="47">
        <v>85</v>
      </c>
      <c r="AB130" s="50">
        <v>23571</v>
      </c>
      <c r="AC130" s="50" t="s">
        <v>161</v>
      </c>
      <c r="AD130" s="50">
        <v>100</v>
      </c>
      <c r="AE130" s="42">
        <v>35</v>
      </c>
      <c r="AF130" s="56">
        <v>1.7</v>
      </c>
      <c r="AG130" s="45">
        <v>75</v>
      </c>
      <c r="AH130" s="45">
        <v>0.15</v>
      </c>
      <c r="AI130" s="50" t="s">
        <v>395</v>
      </c>
      <c r="AJ130" s="50" t="s">
        <v>394</v>
      </c>
      <c r="AK130" s="50" t="s">
        <v>156</v>
      </c>
      <c r="AL130" s="34">
        <v>23</v>
      </c>
      <c r="AM130" s="43">
        <v>1.7</v>
      </c>
      <c r="AN130" s="35">
        <v>0.5201066666666665</v>
      </c>
      <c r="AO130" s="35">
        <v>0.97151999999999983</v>
      </c>
      <c r="AP130" s="35">
        <v>1.3542399999999999</v>
      </c>
      <c r="AQ130" s="84">
        <v>2.0313600000000003</v>
      </c>
      <c r="AR130" s="46" t="s">
        <v>390</v>
      </c>
      <c r="AS130" s="50" t="s">
        <v>389</v>
      </c>
      <c r="AT130" s="50" t="s">
        <v>156</v>
      </c>
      <c r="AU130" s="44">
        <v>2</v>
      </c>
      <c r="AV130" s="45">
        <v>0.16</v>
      </c>
      <c r="AW130" s="45">
        <v>2</v>
      </c>
      <c r="AX130" s="45">
        <v>3</v>
      </c>
      <c r="AY130" s="45">
        <v>0.72</v>
      </c>
      <c r="AZ130" s="59">
        <v>1</v>
      </c>
      <c r="BA130" s="43">
        <v>94</v>
      </c>
      <c r="BB130" s="45">
        <v>1.6</v>
      </c>
      <c r="BC130" s="45">
        <v>50</v>
      </c>
      <c r="BD130" s="45">
        <v>-1</v>
      </c>
      <c r="BE130" s="45">
        <v>-1</v>
      </c>
      <c r="BF130" s="45">
        <v>50</v>
      </c>
      <c r="BG130" s="45">
        <v>-1</v>
      </c>
      <c r="BH130" s="45">
        <v>-1</v>
      </c>
      <c r="BI130" s="45">
        <v>-1</v>
      </c>
      <c r="BJ130" s="28">
        <v>1</v>
      </c>
      <c r="BK130" s="56">
        <v>90.67519999999999</v>
      </c>
      <c r="BL130" s="45">
        <v>0.7</v>
      </c>
      <c r="BM130" s="45">
        <v>3</v>
      </c>
      <c r="BN130" s="56">
        <v>77.18186666666665</v>
      </c>
      <c r="BO130" s="45">
        <v>0.5</v>
      </c>
    </row>
    <row r="131" spans="1:67" s="50" customFormat="1" ht="15" customHeight="1" x14ac:dyDescent="0.25">
      <c r="A131" s="50">
        <v>130</v>
      </c>
      <c r="B131" s="36">
        <v>4102</v>
      </c>
      <c r="C131" s="70">
        <v>4102</v>
      </c>
      <c r="D131" s="45" t="s">
        <v>5</v>
      </c>
      <c r="E131" s="77" t="s">
        <v>406</v>
      </c>
      <c r="F131" s="39">
        <v>60.2</v>
      </c>
      <c r="G131" s="36">
        <v>60.2</v>
      </c>
      <c r="H131" s="36">
        <v>210.70000000000002</v>
      </c>
      <c r="I131" s="36">
        <v>78.099999999999994</v>
      </c>
      <c r="J131" s="36">
        <v>27.564705882352943</v>
      </c>
      <c r="K131" s="36">
        <v>10</v>
      </c>
      <c r="L131" s="55" t="s">
        <v>400</v>
      </c>
      <c r="M131" s="36" t="s">
        <v>399</v>
      </c>
      <c r="N131" s="36" t="s">
        <v>156</v>
      </c>
      <c r="O131" s="36">
        <v>15.802499999999998</v>
      </c>
      <c r="P131" s="36">
        <v>361.2</v>
      </c>
      <c r="Q131" s="36">
        <v>44.792647058823533</v>
      </c>
      <c r="R131" s="36">
        <v>10.336764705882354</v>
      </c>
      <c r="S131" s="36">
        <v>3.6482698961937721</v>
      </c>
      <c r="T131" s="55" t="s">
        <v>400</v>
      </c>
      <c r="U131" s="36" t="s">
        <v>399</v>
      </c>
      <c r="V131" s="36" t="s">
        <v>156</v>
      </c>
      <c r="W131" s="36">
        <v>1</v>
      </c>
      <c r="X131" s="102">
        <v>2</v>
      </c>
      <c r="Y131" s="29">
        <v>24.464285714285715</v>
      </c>
      <c r="Z131" s="43">
        <v>7.6</v>
      </c>
      <c r="AA131" s="47">
        <v>90</v>
      </c>
      <c r="AB131" s="50">
        <v>22476</v>
      </c>
      <c r="AC131" s="50" t="s">
        <v>157</v>
      </c>
      <c r="AD131" s="50">
        <v>100</v>
      </c>
      <c r="AE131" s="42">
        <v>9.7857142857142865</v>
      </c>
      <c r="AF131" s="56">
        <v>1.3</v>
      </c>
      <c r="AG131" s="45">
        <v>80</v>
      </c>
      <c r="AH131" s="35">
        <v>4.5666666666666675E-2</v>
      </c>
      <c r="AI131" s="50">
        <v>40529</v>
      </c>
      <c r="AJ131" s="50" t="s">
        <v>356</v>
      </c>
      <c r="AK131" s="50">
        <v>100</v>
      </c>
      <c r="AL131" s="34">
        <v>34.615000000000002</v>
      </c>
      <c r="AM131" s="43">
        <v>1</v>
      </c>
      <c r="AN131" s="35">
        <v>0.45150000000000001</v>
      </c>
      <c r="AO131" s="35">
        <v>1.2340999999999998</v>
      </c>
      <c r="AP131" s="35">
        <v>2.5284000000000004</v>
      </c>
      <c r="AQ131" s="84">
        <v>7.9</v>
      </c>
      <c r="AR131" s="46" t="s">
        <v>400</v>
      </c>
      <c r="AS131" s="50" t="s">
        <v>399</v>
      </c>
      <c r="AT131" s="50" t="s">
        <v>156</v>
      </c>
      <c r="AU131" s="44">
        <v>-1</v>
      </c>
      <c r="AV131" s="48">
        <v>-1</v>
      </c>
      <c r="AW131" s="45">
        <v>1</v>
      </c>
      <c r="AX131" s="45">
        <v>63</v>
      </c>
      <c r="AY131" s="45">
        <v>2.2999999999999998</v>
      </c>
      <c r="AZ131" s="59">
        <v>1</v>
      </c>
      <c r="BA131" s="45">
        <v>60.2</v>
      </c>
      <c r="BB131" s="35">
        <v>0.7</v>
      </c>
      <c r="BC131" s="45">
        <v>-1</v>
      </c>
      <c r="BD131" s="45">
        <v>-1</v>
      </c>
      <c r="BE131" s="45">
        <v>50</v>
      </c>
      <c r="BF131" s="45">
        <v>50</v>
      </c>
      <c r="BG131" s="45">
        <v>-1</v>
      </c>
      <c r="BH131" s="45">
        <v>-1</v>
      </c>
      <c r="BI131" s="45">
        <v>-1</v>
      </c>
      <c r="BJ131" s="28">
        <v>2</v>
      </c>
      <c r="BK131" s="45">
        <v>24.499999999999996</v>
      </c>
      <c r="BL131" s="43">
        <v>5</v>
      </c>
      <c r="BM131" s="45">
        <v>4</v>
      </c>
      <c r="BN131" s="45">
        <v>24.499999999999996</v>
      </c>
      <c r="BO131" s="43">
        <v>5</v>
      </c>
    </row>
    <row r="132" spans="1:67" s="50" customFormat="1" ht="15" customHeight="1" x14ac:dyDescent="0.25">
      <c r="A132" s="50">
        <v>131</v>
      </c>
      <c r="B132" s="52" t="s">
        <v>253</v>
      </c>
      <c r="C132" s="68">
        <v>914110</v>
      </c>
      <c r="D132" s="45" t="s">
        <v>5</v>
      </c>
      <c r="E132" s="12" t="s">
        <v>9</v>
      </c>
      <c r="F132" s="39">
        <v>17</v>
      </c>
      <c r="G132" s="36">
        <v>13.94</v>
      </c>
      <c r="H132" s="67">
        <v>16.546666666666663</v>
      </c>
      <c r="I132" s="36">
        <v>50.497703412073491</v>
      </c>
      <c r="J132" s="67">
        <v>27.334433481403575</v>
      </c>
      <c r="K132" s="67">
        <v>11.492886804681049</v>
      </c>
      <c r="L132" s="55" t="s">
        <v>390</v>
      </c>
      <c r="M132" s="36" t="s">
        <v>389</v>
      </c>
      <c r="N132" s="55" t="s">
        <v>156</v>
      </c>
      <c r="O132" s="43">
        <v>9.0037037037037031</v>
      </c>
      <c r="P132" s="36">
        <v>42.663703703703696</v>
      </c>
      <c r="Q132" s="43">
        <v>33.08334211042893</v>
      </c>
      <c r="R132" s="43">
        <v>14.751916482027328</v>
      </c>
      <c r="S132" s="43">
        <v>6</v>
      </c>
      <c r="T132" s="36">
        <v>19478</v>
      </c>
      <c r="U132" s="36" t="s">
        <v>352</v>
      </c>
      <c r="V132" s="36">
        <v>100</v>
      </c>
      <c r="W132" s="36">
        <v>-1</v>
      </c>
      <c r="X132" s="102">
        <v>-1</v>
      </c>
      <c r="Y132" s="29">
        <v>32.210675770032452</v>
      </c>
      <c r="Z132" s="45">
        <v>4</v>
      </c>
      <c r="AA132" s="47">
        <v>85</v>
      </c>
      <c r="AB132" s="50">
        <v>23571</v>
      </c>
      <c r="AC132" s="50" t="s">
        <v>161</v>
      </c>
      <c r="AD132" s="50">
        <v>100</v>
      </c>
      <c r="AE132" s="42">
        <v>31</v>
      </c>
      <c r="AF132" s="56">
        <v>1.7</v>
      </c>
      <c r="AG132" s="45">
        <v>75</v>
      </c>
      <c r="AH132" s="45">
        <v>0.13</v>
      </c>
      <c r="AI132" s="50" t="s">
        <v>395</v>
      </c>
      <c r="AJ132" s="50" t="s">
        <v>394</v>
      </c>
      <c r="AK132" s="50" t="s">
        <v>156</v>
      </c>
      <c r="AL132" s="34">
        <v>5</v>
      </c>
      <c r="AM132" s="43">
        <v>1.7</v>
      </c>
      <c r="AN132" s="35">
        <v>0.1201333333333333</v>
      </c>
      <c r="AO132" s="35">
        <v>0.22439999999999999</v>
      </c>
      <c r="AP132" s="35">
        <v>0.31279999999999997</v>
      </c>
      <c r="AQ132" s="84">
        <v>0.46920000000000012</v>
      </c>
      <c r="AR132" s="46" t="s">
        <v>390</v>
      </c>
      <c r="AS132" s="50" t="s">
        <v>389</v>
      </c>
      <c r="AT132" s="50" t="s">
        <v>156</v>
      </c>
      <c r="AU132" s="44">
        <v>2</v>
      </c>
      <c r="AV132" s="45">
        <v>0.16</v>
      </c>
      <c r="AW132" s="45">
        <v>2</v>
      </c>
      <c r="AX132" s="45">
        <v>3</v>
      </c>
      <c r="AY132" s="45">
        <v>0.72</v>
      </c>
      <c r="AZ132" s="59">
        <v>1</v>
      </c>
      <c r="BA132" s="43">
        <v>22</v>
      </c>
      <c r="BB132" s="45">
        <v>1.6</v>
      </c>
      <c r="BC132" s="45">
        <v>50</v>
      </c>
      <c r="BD132" s="45">
        <v>-1</v>
      </c>
      <c r="BE132" s="45">
        <v>-1</v>
      </c>
      <c r="BF132" s="45">
        <v>50</v>
      </c>
      <c r="BG132" s="45">
        <v>-1</v>
      </c>
      <c r="BH132" s="45">
        <v>-1</v>
      </c>
      <c r="BI132" s="45">
        <v>-1</v>
      </c>
      <c r="BJ132" s="28">
        <v>1</v>
      </c>
      <c r="BK132" s="56">
        <v>20.943999999999999</v>
      </c>
      <c r="BL132" s="45">
        <v>0.7</v>
      </c>
      <c r="BM132" s="45">
        <v>3</v>
      </c>
      <c r="BN132" s="56">
        <v>17.827333333333332</v>
      </c>
      <c r="BO132" s="45">
        <v>0.5</v>
      </c>
    </row>
    <row r="133" spans="1:67" s="50" customFormat="1" ht="15" customHeight="1" x14ac:dyDescent="0.25">
      <c r="A133" s="50">
        <v>132</v>
      </c>
      <c r="B133" s="52" t="s">
        <v>254</v>
      </c>
      <c r="C133" s="68">
        <v>924110</v>
      </c>
      <c r="D133" s="45" t="s">
        <v>5</v>
      </c>
      <c r="E133" s="12" t="s">
        <v>9</v>
      </c>
      <c r="F133" s="39">
        <v>55.8</v>
      </c>
      <c r="G133" s="36">
        <v>45.756</v>
      </c>
      <c r="H133" s="67">
        <v>54.311999999999991</v>
      </c>
      <c r="I133" s="36">
        <v>67.691601049868765</v>
      </c>
      <c r="J133" s="67">
        <v>36.641499338066048</v>
      </c>
      <c r="K133" s="67">
        <v>15.406084948959588</v>
      </c>
      <c r="L133" s="55" t="s">
        <v>390</v>
      </c>
      <c r="M133" s="36" t="s">
        <v>389</v>
      </c>
      <c r="N133" s="55" t="s">
        <v>156</v>
      </c>
      <c r="O133" s="43">
        <v>29.553333333333331</v>
      </c>
      <c r="P133" s="36">
        <v>140.03733333333332</v>
      </c>
      <c r="Q133" s="43">
        <v>44.347846421071999</v>
      </c>
      <c r="R133" s="43">
        <v>19.774777420543579</v>
      </c>
      <c r="S133" s="43">
        <v>8</v>
      </c>
      <c r="T133" s="36">
        <v>19478</v>
      </c>
      <c r="U133" s="36" t="s">
        <v>352</v>
      </c>
      <c r="V133" s="36">
        <v>100</v>
      </c>
      <c r="W133" s="36">
        <v>-1</v>
      </c>
      <c r="X133" s="102">
        <v>-1</v>
      </c>
      <c r="Y133" s="29">
        <v>20.541636656740575</v>
      </c>
      <c r="Z133" s="45">
        <v>4</v>
      </c>
      <c r="AA133" s="47">
        <v>85</v>
      </c>
      <c r="AB133" s="50">
        <v>23571</v>
      </c>
      <c r="AC133" s="50" t="s">
        <v>161</v>
      </c>
      <c r="AD133" s="50">
        <v>100</v>
      </c>
      <c r="AE133" s="42">
        <v>20</v>
      </c>
      <c r="AF133" s="56">
        <v>1.7</v>
      </c>
      <c r="AG133" s="45">
        <v>75</v>
      </c>
      <c r="AH133" s="45">
        <v>0.08</v>
      </c>
      <c r="AI133" s="50" t="s">
        <v>395</v>
      </c>
      <c r="AJ133" s="50" t="s">
        <v>394</v>
      </c>
      <c r="AK133" s="50" t="s">
        <v>156</v>
      </c>
      <c r="AL133" s="34">
        <v>17</v>
      </c>
      <c r="AM133" s="43">
        <v>1.7</v>
      </c>
      <c r="AN133" s="35">
        <v>0.39431999999999984</v>
      </c>
      <c r="AO133" s="35">
        <v>0.73655999999999988</v>
      </c>
      <c r="AP133" s="35">
        <v>1.0267199999999999</v>
      </c>
      <c r="AQ133" s="84">
        <v>1.5400800000000003</v>
      </c>
      <c r="AR133" s="46" t="s">
        <v>390</v>
      </c>
      <c r="AS133" s="50" t="s">
        <v>389</v>
      </c>
      <c r="AT133" s="50" t="s">
        <v>156</v>
      </c>
      <c r="AU133" s="44">
        <v>2</v>
      </c>
      <c r="AV133" s="45">
        <v>0.16</v>
      </c>
      <c r="AW133" s="45">
        <v>2</v>
      </c>
      <c r="AX133" s="45">
        <v>3</v>
      </c>
      <c r="AY133" s="45">
        <v>0.72</v>
      </c>
      <c r="AZ133" s="59">
        <v>1</v>
      </c>
      <c r="BA133" s="43">
        <v>71</v>
      </c>
      <c r="BB133" s="45">
        <v>1.6</v>
      </c>
      <c r="BC133" s="45">
        <v>50</v>
      </c>
      <c r="BD133" s="45">
        <v>-1</v>
      </c>
      <c r="BE133" s="45">
        <v>-1</v>
      </c>
      <c r="BF133" s="45">
        <v>50</v>
      </c>
      <c r="BG133" s="45">
        <v>-1</v>
      </c>
      <c r="BH133" s="45">
        <v>-1</v>
      </c>
      <c r="BI133" s="45">
        <v>-1</v>
      </c>
      <c r="BJ133" s="28">
        <v>1</v>
      </c>
      <c r="BK133" s="56">
        <v>68.745599999999996</v>
      </c>
      <c r="BL133" s="45">
        <v>0.7</v>
      </c>
      <c r="BM133" s="45">
        <v>3</v>
      </c>
      <c r="BN133" s="56">
        <v>58.515599999999992</v>
      </c>
      <c r="BO133" s="45">
        <v>0.5</v>
      </c>
    </row>
    <row r="134" spans="1:67" s="50" customFormat="1" ht="15" customHeight="1" x14ac:dyDescent="0.25">
      <c r="A134" s="50">
        <v>133</v>
      </c>
      <c r="B134" s="52" t="s">
        <v>255</v>
      </c>
      <c r="C134" s="72">
        <v>914112</v>
      </c>
      <c r="D134" s="45" t="s">
        <v>5</v>
      </c>
      <c r="E134" s="30" t="s">
        <v>407</v>
      </c>
      <c r="F134" s="39">
        <v>19.600000000000001</v>
      </c>
      <c r="G134" s="36">
        <v>19.600000000000001</v>
      </c>
      <c r="H134" s="36">
        <v>68.600000000000009</v>
      </c>
      <c r="I134" s="43">
        <v>48.5</v>
      </c>
      <c r="J134" s="36">
        <v>17.117647058823529</v>
      </c>
      <c r="K134" s="36">
        <v>7.4176470588235297</v>
      </c>
      <c r="L134" s="36">
        <v>183412</v>
      </c>
      <c r="M134" s="36" t="s">
        <v>398</v>
      </c>
      <c r="N134" s="36">
        <v>100</v>
      </c>
      <c r="O134" s="36">
        <v>5.1449999999999996</v>
      </c>
      <c r="P134" s="36">
        <v>117.60000000000001</v>
      </c>
      <c r="Q134" s="36">
        <v>27.816176470588236</v>
      </c>
      <c r="R134" s="36">
        <v>6.4191176470588234</v>
      </c>
      <c r="S134" s="36">
        <v>2.2655709342560555</v>
      </c>
      <c r="T134" s="36">
        <v>183412</v>
      </c>
      <c r="U134" s="36" t="s">
        <v>398</v>
      </c>
      <c r="V134" s="36">
        <v>100</v>
      </c>
      <c r="W134" s="36">
        <v>1</v>
      </c>
      <c r="X134" s="102">
        <v>2</v>
      </c>
      <c r="Y134" s="29">
        <v>44.2</v>
      </c>
      <c r="Z134" s="43">
        <v>7.6</v>
      </c>
      <c r="AA134" s="47">
        <v>90</v>
      </c>
      <c r="AB134" s="50">
        <v>22476</v>
      </c>
      <c r="AC134" s="50" t="s">
        <v>157</v>
      </c>
      <c r="AD134" s="50">
        <v>100</v>
      </c>
      <c r="AE134" s="42">
        <v>30</v>
      </c>
      <c r="AF134" s="56">
        <v>1.3</v>
      </c>
      <c r="AG134" s="45">
        <v>80</v>
      </c>
      <c r="AH134" s="35">
        <v>0.14000000000000001</v>
      </c>
      <c r="AI134" s="50">
        <v>40529</v>
      </c>
      <c r="AJ134" s="50" t="s">
        <v>356</v>
      </c>
      <c r="AK134" s="50">
        <v>100</v>
      </c>
      <c r="AL134" s="34">
        <v>11.270000000000001</v>
      </c>
      <c r="AM134" s="43">
        <v>1</v>
      </c>
      <c r="AN134" s="35">
        <v>0.14699999999999999</v>
      </c>
      <c r="AO134" s="35">
        <v>0.40179999999999993</v>
      </c>
      <c r="AP134" s="35">
        <v>0.82320000000000004</v>
      </c>
      <c r="AQ134" s="84">
        <v>2.6</v>
      </c>
      <c r="AR134" s="46">
        <v>183412</v>
      </c>
      <c r="AS134" s="50" t="s">
        <v>398</v>
      </c>
      <c r="AT134" s="50">
        <v>100</v>
      </c>
      <c r="AU134" s="44">
        <v>-1</v>
      </c>
      <c r="AV134" s="48">
        <v>-1</v>
      </c>
      <c r="AW134" s="45">
        <v>1</v>
      </c>
      <c r="AX134" s="45">
        <v>63</v>
      </c>
      <c r="AY134" s="45">
        <v>2.2999999999999998</v>
      </c>
      <c r="AZ134" s="59">
        <v>1</v>
      </c>
      <c r="BA134" s="45">
        <v>19.600000000000001</v>
      </c>
      <c r="BB134" s="35">
        <v>0.7</v>
      </c>
      <c r="BC134" s="45">
        <v>-1</v>
      </c>
      <c r="BD134" s="45">
        <v>-1</v>
      </c>
      <c r="BE134" s="45">
        <v>100</v>
      </c>
      <c r="BF134" s="45">
        <v>-1</v>
      </c>
      <c r="BG134" s="45">
        <v>-1</v>
      </c>
      <c r="BH134" s="45">
        <v>-1</v>
      </c>
      <c r="BI134" s="45">
        <v>-1</v>
      </c>
      <c r="BJ134" s="28">
        <v>2</v>
      </c>
      <c r="BK134" s="45">
        <v>24.75</v>
      </c>
      <c r="BL134" s="43">
        <v>5</v>
      </c>
      <c r="BM134" s="45">
        <v>4</v>
      </c>
      <c r="BN134" s="45">
        <v>24.75</v>
      </c>
      <c r="BO134" s="43">
        <v>5</v>
      </c>
    </row>
    <row r="135" spans="1:67" s="50" customFormat="1" ht="15" customHeight="1" x14ac:dyDescent="0.25">
      <c r="A135" s="50">
        <v>134</v>
      </c>
      <c r="B135" s="52" t="s">
        <v>256</v>
      </c>
      <c r="C135" s="72">
        <v>924112</v>
      </c>
      <c r="D135" s="45" t="s">
        <v>5</v>
      </c>
      <c r="E135" s="30" t="s">
        <v>407</v>
      </c>
      <c r="F135" s="39">
        <v>58.7</v>
      </c>
      <c r="G135" s="36">
        <v>58.7</v>
      </c>
      <c r="H135" s="36">
        <v>205.45000000000002</v>
      </c>
      <c r="I135" s="43">
        <v>73.900000000000006</v>
      </c>
      <c r="J135" s="36">
        <v>26.08235294117647</v>
      </c>
      <c r="K135" s="36">
        <v>10</v>
      </c>
      <c r="L135" s="36">
        <v>183412</v>
      </c>
      <c r="M135" s="36" t="s">
        <v>398</v>
      </c>
      <c r="N135" s="36">
        <v>100</v>
      </c>
      <c r="O135" s="36">
        <v>15.40875</v>
      </c>
      <c r="P135" s="36">
        <v>352.2</v>
      </c>
      <c r="Q135" s="36">
        <v>42.383823529411764</v>
      </c>
      <c r="R135" s="36">
        <v>9.7808823529411768</v>
      </c>
      <c r="S135" s="36">
        <v>3.4520761245674745</v>
      </c>
      <c r="T135" s="36">
        <v>183412</v>
      </c>
      <c r="U135" s="36" t="s">
        <v>398</v>
      </c>
      <c r="V135" s="36">
        <v>100</v>
      </c>
      <c r="W135" s="36">
        <v>1</v>
      </c>
      <c r="X135" s="102">
        <v>2</v>
      </c>
      <c r="Y135" s="29">
        <v>9.36</v>
      </c>
      <c r="Z135" s="43">
        <v>7.6</v>
      </c>
      <c r="AA135" s="47">
        <v>90</v>
      </c>
      <c r="AB135" s="50">
        <v>22476</v>
      </c>
      <c r="AC135" s="50" t="s">
        <v>157</v>
      </c>
      <c r="AD135" s="50">
        <v>100</v>
      </c>
      <c r="AE135" s="42">
        <v>30</v>
      </c>
      <c r="AF135" s="56">
        <v>1.3</v>
      </c>
      <c r="AG135" s="45">
        <v>80</v>
      </c>
      <c r="AH135" s="35">
        <v>0.14000000000000001</v>
      </c>
      <c r="AI135" s="50">
        <v>40529</v>
      </c>
      <c r="AJ135" s="50" t="s">
        <v>356</v>
      </c>
      <c r="AK135" s="50">
        <v>100</v>
      </c>
      <c r="AL135" s="34">
        <v>33.752500000000005</v>
      </c>
      <c r="AM135" s="43">
        <v>1</v>
      </c>
      <c r="AN135" s="35">
        <v>0.44024999999999997</v>
      </c>
      <c r="AO135" s="35">
        <v>1.2033499999999999</v>
      </c>
      <c r="AP135" s="35">
        <v>2.4653999999999998</v>
      </c>
      <c r="AQ135" s="84">
        <v>7.7</v>
      </c>
      <c r="AR135" s="46">
        <v>183412</v>
      </c>
      <c r="AS135" s="50" t="s">
        <v>398</v>
      </c>
      <c r="AT135" s="50">
        <v>100</v>
      </c>
      <c r="AU135" s="44">
        <v>-1</v>
      </c>
      <c r="AV135" s="48">
        <v>-1</v>
      </c>
      <c r="AW135" s="45">
        <v>1</v>
      </c>
      <c r="AX135" s="45">
        <v>63</v>
      </c>
      <c r="AY135" s="45">
        <v>2.2999999999999998</v>
      </c>
      <c r="AZ135" s="59">
        <v>1</v>
      </c>
      <c r="BA135" s="45">
        <v>58.7</v>
      </c>
      <c r="BB135" s="35">
        <v>0.7</v>
      </c>
      <c r="BC135" s="45">
        <v>-1</v>
      </c>
      <c r="BD135" s="45">
        <v>-1</v>
      </c>
      <c r="BE135" s="45">
        <v>100</v>
      </c>
      <c r="BF135" s="45">
        <v>-1</v>
      </c>
      <c r="BG135" s="45">
        <v>-1</v>
      </c>
      <c r="BH135" s="45">
        <v>-1</v>
      </c>
      <c r="BI135" s="45">
        <v>-1</v>
      </c>
      <c r="BJ135" s="28">
        <v>2</v>
      </c>
      <c r="BK135" s="45">
        <v>100</v>
      </c>
      <c r="BL135" s="43">
        <v>5</v>
      </c>
      <c r="BM135" s="45">
        <v>4</v>
      </c>
      <c r="BN135" s="45">
        <v>100</v>
      </c>
      <c r="BO135" s="43">
        <v>5</v>
      </c>
    </row>
    <row r="136" spans="1:67" s="50" customFormat="1" ht="15" customHeight="1" x14ac:dyDescent="0.25">
      <c r="A136" s="50">
        <v>135</v>
      </c>
      <c r="B136" s="52" t="s">
        <v>257</v>
      </c>
      <c r="C136" s="68">
        <v>914120</v>
      </c>
      <c r="D136" s="45" t="s">
        <v>5</v>
      </c>
      <c r="E136" s="13" t="s">
        <v>8</v>
      </c>
      <c r="F136" s="39">
        <v>22</v>
      </c>
      <c r="G136" s="36">
        <v>18.040000000000003</v>
      </c>
      <c r="H136" s="67">
        <v>21.41333333333333</v>
      </c>
      <c r="I136" s="36">
        <v>63.036089238845143</v>
      </c>
      <c r="J136" s="67">
        <v>34.121468340183313</v>
      </c>
      <c r="K136" s="67">
        <v>14.34652646121344</v>
      </c>
      <c r="L136" s="55" t="s">
        <v>390</v>
      </c>
      <c r="M136" s="36" t="s">
        <v>389</v>
      </c>
      <c r="N136" s="55" t="s">
        <v>156</v>
      </c>
      <c r="O136" s="43">
        <v>11.651851851851854</v>
      </c>
      <c r="P136" s="36">
        <v>55.211851851851854</v>
      </c>
      <c r="Q136" s="43">
        <v>41.297808903793289</v>
      </c>
      <c r="R136" s="43">
        <v>18.414760691527501</v>
      </c>
      <c r="S136" s="43">
        <v>8</v>
      </c>
      <c r="T136" s="36">
        <v>19478</v>
      </c>
      <c r="U136" s="36" t="s">
        <v>352</v>
      </c>
      <c r="V136" s="36">
        <v>100</v>
      </c>
      <c r="W136" s="36">
        <v>-1</v>
      </c>
      <c r="X136" s="102">
        <v>-1</v>
      </c>
      <c r="Y136" s="29">
        <v>30.585977469114638</v>
      </c>
      <c r="Z136" s="45">
        <v>4</v>
      </c>
      <c r="AA136" s="47">
        <v>85</v>
      </c>
      <c r="AB136" s="50">
        <v>23571</v>
      </c>
      <c r="AC136" s="50" t="s">
        <v>161</v>
      </c>
      <c r="AD136" s="50">
        <v>100</v>
      </c>
      <c r="AE136" s="42">
        <v>30</v>
      </c>
      <c r="AF136" s="56">
        <v>1.7</v>
      </c>
      <c r="AG136" s="45">
        <v>75</v>
      </c>
      <c r="AH136" s="45">
        <v>0.13</v>
      </c>
      <c r="AI136" s="50" t="s">
        <v>395</v>
      </c>
      <c r="AJ136" s="50" t="s">
        <v>394</v>
      </c>
      <c r="AK136" s="50" t="s">
        <v>156</v>
      </c>
      <c r="AL136" s="34">
        <v>7</v>
      </c>
      <c r="AM136" s="43">
        <v>1.7</v>
      </c>
      <c r="AN136" s="35">
        <v>0.15546666666666661</v>
      </c>
      <c r="AO136" s="35">
        <v>0.29039999999999999</v>
      </c>
      <c r="AP136" s="35">
        <v>0.40479999999999999</v>
      </c>
      <c r="AQ136" s="84">
        <v>0.60720000000000018</v>
      </c>
      <c r="AR136" s="46" t="s">
        <v>390</v>
      </c>
      <c r="AS136" s="50" t="s">
        <v>389</v>
      </c>
      <c r="AT136" s="50" t="s">
        <v>156</v>
      </c>
      <c r="AU136" s="44">
        <v>2</v>
      </c>
      <c r="AV136" s="45">
        <v>0.16</v>
      </c>
      <c r="AW136" s="45">
        <v>2</v>
      </c>
      <c r="AX136" s="45">
        <v>3</v>
      </c>
      <c r="AY136" s="45">
        <v>0.72</v>
      </c>
      <c r="AZ136" s="59">
        <v>1</v>
      </c>
      <c r="BA136" s="43">
        <v>28</v>
      </c>
      <c r="BB136" s="45">
        <v>1.6</v>
      </c>
      <c r="BC136" s="45">
        <v>50</v>
      </c>
      <c r="BD136" s="45">
        <v>-1</v>
      </c>
      <c r="BE136" s="45">
        <v>-1</v>
      </c>
      <c r="BF136" s="45">
        <v>50</v>
      </c>
      <c r="BG136" s="45">
        <v>-1</v>
      </c>
      <c r="BH136" s="45">
        <v>-1</v>
      </c>
      <c r="BI136" s="45">
        <v>-1</v>
      </c>
      <c r="BJ136" s="28">
        <v>1</v>
      </c>
      <c r="BK136" s="56">
        <v>27.103999999999999</v>
      </c>
      <c r="BL136" s="45">
        <v>0.7</v>
      </c>
      <c r="BM136" s="45">
        <v>3</v>
      </c>
      <c r="BN136" s="56">
        <v>23.070666666666664</v>
      </c>
      <c r="BO136" s="45">
        <v>0.5</v>
      </c>
    </row>
    <row r="137" spans="1:67" s="50" customFormat="1" ht="15" customHeight="1" x14ac:dyDescent="0.25">
      <c r="A137" s="50">
        <v>136</v>
      </c>
      <c r="B137" s="52" t="s">
        <v>258</v>
      </c>
      <c r="C137" s="68">
        <v>924120</v>
      </c>
      <c r="D137" s="45" t="s">
        <v>5</v>
      </c>
      <c r="E137" s="13" t="s">
        <v>8</v>
      </c>
      <c r="F137" s="39">
        <v>58.9</v>
      </c>
      <c r="G137" s="36">
        <v>48.298000000000002</v>
      </c>
      <c r="H137" s="67">
        <v>57.329333333333324</v>
      </c>
      <c r="I137" s="36">
        <v>80.359251968503941</v>
      </c>
      <c r="J137" s="67">
        <v>43.498505459225335</v>
      </c>
      <c r="K137" s="67">
        <v>18.289144340810651</v>
      </c>
      <c r="L137" s="55" t="s">
        <v>390</v>
      </c>
      <c r="M137" s="36" t="s">
        <v>389</v>
      </c>
      <c r="N137" s="55" t="s">
        <v>156</v>
      </c>
      <c r="O137" s="43">
        <v>31.195185185185188</v>
      </c>
      <c r="P137" s="36">
        <v>147.8171851851852</v>
      </c>
      <c r="Q137" s="43">
        <v>52.647000655014786</v>
      </c>
      <c r="R137" s="43">
        <v>23.475383898629541</v>
      </c>
      <c r="S137" s="43">
        <v>8</v>
      </c>
      <c r="T137" s="36">
        <v>19478</v>
      </c>
      <c r="U137" s="36" t="s">
        <v>352</v>
      </c>
      <c r="V137" s="36">
        <v>100</v>
      </c>
      <c r="W137" s="36">
        <v>-1</v>
      </c>
      <c r="X137" s="102">
        <v>-1</v>
      </c>
      <c r="Y137" s="29">
        <v>17.520905225704919</v>
      </c>
      <c r="Z137" s="45">
        <v>4</v>
      </c>
      <c r="AA137" s="47">
        <v>85</v>
      </c>
      <c r="AB137" s="50">
        <v>23571</v>
      </c>
      <c r="AC137" s="50" t="s">
        <v>161</v>
      </c>
      <c r="AD137" s="50">
        <v>100</v>
      </c>
      <c r="AE137" s="42">
        <v>17</v>
      </c>
      <c r="AF137" s="56">
        <v>1.7</v>
      </c>
      <c r="AG137" s="45">
        <v>75</v>
      </c>
      <c r="AH137" s="45">
        <v>7.0000000000000007E-2</v>
      </c>
      <c r="AI137" s="50" t="s">
        <v>395</v>
      </c>
      <c r="AJ137" s="50" t="s">
        <v>394</v>
      </c>
      <c r="AK137" s="50" t="s">
        <v>156</v>
      </c>
      <c r="AL137" s="34">
        <v>18</v>
      </c>
      <c r="AM137" s="43">
        <v>1.7</v>
      </c>
      <c r="AN137" s="35">
        <v>0.41622666666666652</v>
      </c>
      <c r="AO137" s="35">
        <v>0.77747999999999995</v>
      </c>
      <c r="AP137" s="35">
        <v>1.0837599999999998</v>
      </c>
      <c r="AQ137" s="84">
        <v>1.6256400000000004</v>
      </c>
      <c r="AR137" s="46" t="s">
        <v>390</v>
      </c>
      <c r="AS137" s="50" t="s">
        <v>389</v>
      </c>
      <c r="AT137" s="50" t="s">
        <v>156</v>
      </c>
      <c r="AU137" s="44">
        <v>2</v>
      </c>
      <c r="AV137" s="45">
        <v>0.16</v>
      </c>
      <c r="AW137" s="45">
        <v>2</v>
      </c>
      <c r="AX137" s="45">
        <v>3</v>
      </c>
      <c r="AY137" s="45">
        <v>0.72</v>
      </c>
      <c r="AZ137" s="59">
        <v>1</v>
      </c>
      <c r="BA137" s="43">
        <v>75</v>
      </c>
      <c r="BB137" s="45">
        <v>1.6</v>
      </c>
      <c r="BC137" s="45">
        <v>50</v>
      </c>
      <c r="BD137" s="45">
        <v>-1</v>
      </c>
      <c r="BE137" s="45">
        <v>-1</v>
      </c>
      <c r="BF137" s="45">
        <v>50</v>
      </c>
      <c r="BG137" s="45">
        <v>-1</v>
      </c>
      <c r="BH137" s="45">
        <v>-1</v>
      </c>
      <c r="BI137" s="45">
        <v>-1</v>
      </c>
      <c r="BJ137" s="28">
        <v>1</v>
      </c>
      <c r="BK137" s="56">
        <v>72.564799999999991</v>
      </c>
      <c r="BL137" s="45">
        <v>0.7</v>
      </c>
      <c r="BM137" s="45">
        <v>3</v>
      </c>
      <c r="BN137" s="56">
        <v>61.766466666666652</v>
      </c>
      <c r="BO137" s="45">
        <v>0.5</v>
      </c>
    </row>
    <row r="138" spans="1:67" s="50" customFormat="1" ht="15" customHeight="1" x14ac:dyDescent="0.25">
      <c r="A138" s="50">
        <v>137</v>
      </c>
      <c r="B138" s="52" t="s">
        <v>259</v>
      </c>
      <c r="C138" s="72">
        <v>914122</v>
      </c>
      <c r="D138" s="45" t="s">
        <v>5</v>
      </c>
      <c r="E138" s="78" t="s">
        <v>409</v>
      </c>
      <c r="F138" s="39">
        <v>19.8</v>
      </c>
      <c r="G138" s="36">
        <v>19.8</v>
      </c>
      <c r="H138" s="36">
        <v>69.3</v>
      </c>
      <c r="I138" s="43">
        <v>46.6</v>
      </c>
      <c r="J138" s="36">
        <v>16.447058823529414</v>
      </c>
      <c r="K138" s="36">
        <v>7.1270588235294126</v>
      </c>
      <c r="L138" s="36">
        <v>183412</v>
      </c>
      <c r="M138" s="36" t="s">
        <v>398</v>
      </c>
      <c r="N138" s="36">
        <v>100</v>
      </c>
      <c r="O138" s="36">
        <v>5.1974999999999998</v>
      </c>
      <c r="P138" s="36">
        <v>118.8</v>
      </c>
      <c r="Q138" s="36">
        <v>26.726470588235294</v>
      </c>
      <c r="R138" s="36">
        <v>6.1676470588235297</v>
      </c>
      <c r="S138" s="36">
        <v>2.1768166089965404</v>
      </c>
      <c r="T138" s="36">
        <v>183412</v>
      </c>
      <c r="U138" s="36" t="s">
        <v>398</v>
      </c>
      <c r="V138" s="36">
        <v>100</v>
      </c>
      <c r="W138" s="36">
        <v>1</v>
      </c>
      <c r="X138" s="102">
        <v>2</v>
      </c>
      <c r="Y138" s="29">
        <v>14.049999999999997</v>
      </c>
      <c r="Z138" s="43">
        <v>7.6</v>
      </c>
      <c r="AA138" s="47">
        <v>90</v>
      </c>
      <c r="AB138" s="50">
        <v>22476</v>
      </c>
      <c r="AC138" s="50" t="s">
        <v>157</v>
      </c>
      <c r="AD138" s="50">
        <v>100</v>
      </c>
      <c r="AE138" s="42">
        <v>60</v>
      </c>
      <c r="AF138" s="43">
        <v>1.3</v>
      </c>
      <c r="AG138" s="45">
        <v>80</v>
      </c>
      <c r="AH138" s="35">
        <v>0.28000000000000003</v>
      </c>
      <c r="AI138" s="50">
        <v>40529</v>
      </c>
      <c r="AJ138" s="50" t="s">
        <v>356</v>
      </c>
      <c r="AK138" s="50">
        <v>100</v>
      </c>
      <c r="AL138" s="34">
        <v>11.385000000000002</v>
      </c>
      <c r="AM138" s="43">
        <v>1</v>
      </c>
      <c r="AN138" s="35">
        <v>0.14849999999999999</v>
      </c>
      <c r="AO138" s="35">
        <v>0.40589999999999993</v>
      </c>
      <c r="AP138" s="35">
        <v>0.83160000000000001</v>
      </c>
      <c r="AQ138" s="84">
        <v>2.6</v>
      </c>
      <c r="AR138" s="46">
        <v>183412</v>
      </c>
      <c r="AS138" s="50" t="s">
        <v>398</v>
      </c>
      <c r="AT138" s="50">
        <v>100</v>
      </c>
      <c r="AU138" s="44">
        <v>-1</v>
      </c>
      <c r="AV138" s="48">
        <v>-1</v>
      </c>
      <c r="AW138" s="45">
        <v>1</v>
      </c>
      <c r="AX138" s="45">
        <v>63</v>
      </c>
      <c r="AY138" s="45">
        <v>2.2999999999999998</v>
      </c>
      <c r="AZ138" s="59">
        <v>1</v>
      </c>
      <c r="BA138" s="45">
        <v>19.8</v>
      </c>
      <c r="BB138" s="35">
        <v>0.7</v>
      </c>
      <c r="BC138" s="45">
        <v>-1</v>
      </c>
      <c r="BD138" s="45">
        <v>-1</v>
      </c>
      <c r="BE138" s="45">
        <v>100</v>
      </c>
      <c r="BF138" s="45">
        <v>-1</v>
      </c>
      <c r="BG138" s="45">
        <v>-1</v>
      </c>
      <c r="BH138" s="45">
        <v>-1</v>
      </c>
      <c r="BI138" s="45">
        <v>-1</v>
      </c>
      <c r="BJ138" s="28">
        <v>2</v>
      </c>
      <c r="BK138" s="45">
        <v>31.6</v>
      </c>
      <c r="BL138" s="43">
        <v>5</v>
      </c>
      <c r="BM138" s="45">
        <v>4</v>
      </c>
      <c r="BN138" s="45">
        <v>31.6</v>
      </c>
      <c r="BO138" s="43">
        <v>5</v>
      </c>
    </row>
    <row r="139" spans="1:67" s="50" customFormat="1" ht="15" customHeight="1" x14ac:dyDescent="0.25">
      <c r="A139" s="50">
        <v>138</v>
      </c>
      <c r="B139" s="52" t="s">
        <v>260</v>
      </c>
      <c r="C139" s="72">
        <v>924122</v>
      </c>
      <c r="D139" s="45" t="s">
        <v>5</v>
      </c>
      <c r="E139" s="78" t="s">
        <v>409</v>
      </c>
      <c r="F139" s="39">
        <v>58.5</v>
      </c>
      <c r="G139" s="36">
        <v>58.5</v>
      </c>
      <c r="H139" s="36">
        <v>204.74999999999997</v>
      </c>
      <c r="I139" s="43">
        <v>71.3</v>
      </c>
      <c r="J139" s="36">
        <v>25.164705882352941</v>
      </c>
      <c r="K139" s="36">
        <v>10</v>
      </c>
      <c r="L139" s="36">
        <v>183412</v>
      </c>
      <c r="M139" s="36" t="s">
        <v>398</v>
      </c>
      <c r="N139" s="36">
        <v>100</v>
      </c>
      <c r="O139" s="36">
        <v>15.356249999999999</v>
      </c>
      <c r="P139" s="36">
        <v>351</v>
      </c>
      <c r="Q139" s="36">
        <v>40.892647058823528</v>
      </c>
      <c r="R139" s="36">
        <v>9.4367647058823536</v>
      </c>
      <c r="S139" s="36">
        <v>3.330622837370242</v>
      </c>
      <c r="T139" s="36">
        <v>183412</v>
      </c>
      <c r="U139" s="36" t="s">
        <v>398</v>
      </c>
      <c r="V139" s="36">
        <v>100</v>
      </c>
      <c r="W139" s="36">
        <v>1</v>
      </c>
      <c r="X139" s="102">
        <v>2</v>
      </c>
      <c r="Y139" s="81">
        <v>-1</v>
      </c>
      <c r="Z139" s="10">
        <v>-1</v>
      </c>
      <c r="AA139" s="10">
        <v>-1</v>
      </c>
      <c r="AB139" s="10">
        <v>-1</v>
      </c>
      <c r="AC139" s="10">
        <v>-1</v>
      </c>
      <c r="AD139" s="10">
        <v>-1</v>
      </c>
      <c r="AE139" s="42">
        <v>41.5</v>
      </c>
      <c r="AF139" s="43">
        <v>1.3</v>
      </c>
      <c r="AG139" s="45">
        <v>80</v>
      </c>
      <c r="AH139" s="35">
        <v>0.19366666666666668</v>
      </c>
      <c r="AI139" s="50">
        <v>40529</v>
      </c>
      <c r="AJ139" s="50" t="s">
        <v>356</v>
      </c>
      <c r="AK139" s="50">
        <v>100</v>
      </c>
      <c r="AL139" s="34">
        <v>33.637499999999996</v>
      </c>
      <c r="AM139" s="43">
        <v>1</v>
      </c>
      <c r="AN139" s="35">
        <v>0.43874999999999997</v>
      </c>
      <c r="AO139" s="35">
        <v>1.1992499999999997</v>
      </c>
      <c r="AP139" s="35">
        <v>2.4569999999999999</v>
      </c>
      <c r="AQ139" s="83">
        <v>7.7</v>
      </c>
      <c r="AR139" s="46">
        <v>183412</v>
      </c>
      <c r="AS139" s="50" t="s">
        <v>398</v>
      </c>
      <c r="AT139" s="50">
        <v>100</v>
      </c>
      <c r="AU139" s="44">
        <v>-1</v>
      </c>
      <c r="AV139" s="48">
        <v>-1</v>
      </c>
      <c r="AW139" s="45">
        <v>1</v>
      </c>
      <c r="AX139" s="45">
        <v>63</v>
      </c>
      <c r="AY139" s="45">
        <v>2.2999999999999998</v>
      </c>
      <c r="AZ139" s="45">
        <v>1</v>
      </c>
      <c r="BA139" s="45">
        <v>58.5</v>
      </c>
      <c r="BB139" s="35">
        <v>0.7</v>
      </c>
      <c r="BC139" s="45">
        <v>-1</v>
      </c>
      <c r="BD139" s="45">
        <v>-1</v>
      </c>
      <c r="BE139" s="45">
        <v>100</v>
      </c>
      <c r="BF139" s="45">
        <v>-1</v>
      </c>
      <c r="BG139" s="45">
        <v>-1</v>
      </c>
      <c r="BH139" s="45">
        <v>-1</v>
      </c>
      <c r="BI139" s="45">
        <v>-1</v>
      </c>
      <c r="BJ139" s="28">
        <v>2</v>
      </c>
      <c r="BK139" s="45">
        <v>100</v>
      </c>
      <c r="BL139" s="43">
        <v>5</v>
      </c>
      <c r="BM139" s="45">
        <v>4</v>
      </c>
      <c r="BN139" s="45">
        <v>100</v>
      </c>
      <c r="BO139" s="43">
        <v>5</v>
      </c>
    </row>
    <row r="140" spans="1:67" s="50" customFormat="1" ht="15" customHeight="1" x14ac:dyDescent="0.25">
      <c r="A140" s="50">
        <v>139</v>
      </c>
      <c r="B140" s="36">
        <v>4123</v>
      </c>
      <c r="C140" s="71">
        <v>4123</v>
      </c>
      <c r="D140" s="45" t="s">
        <v>5</v>
      </c>
      <c r="E140" s="32" t="s">
        <v>403</v>
      </c>
      <c r="F140" s="39">
        <v>8</v>
      </c>
      <c r="G140" s="36">
        <v>8</v>
      </c>
      <c r="H140" s="36">
        <v>1</v>
      </c>
      <c r="I140" s="43">
        <v>43</v>
      </c>
      <c r="J140" s="36">
        <v>27</v>
      </c>
      <c r="K140" s="36">
        <v>16</v>
      </c>
      <c r="L140" s="36">
        <v>27189</v>
      </c>
      <c r="M140" s="36" t="s">
        <v>401</v>
      </c>
      <c r="N140" s="36">
        <v>100</v>
      </c>
      <c r="O140" s="36">
        <v>4</v>
      </c>
      <c r="P140" s="36">
        <v>10</v>
      </c>
      <c r="Q140" s="36">
        <v>21</v>
      </c>
      <c r="R140" s="36">
        <v>10</v>
      </c>
      <c r="S140" s="36">
        <v>6</v>
      </c>
      <c r="T140" s="45">
        <v>27189</v>
      </c>
      <c r="U140" s="36" t="s">
        <v>401</v>
      </c>
      <c r="V140" s="36">
        <v>100</v>
      </c>
      <c r="W140" s="36">
        <v>1</v>
      </c>
      <c r="X140" s="102">
        <v>4</v>
      </c>
      <c r="Y140" s="29">
        <v>43.771428569999998</v>
      </c>
      <c r="Z140" s="47">
        <v>1</v>
      </c>
      <c r="AA140" s="47">
        <v>90</v>
      </c>
      <c r="AB140" s="50">
        <v>28675</v>
      </c>
      <c r="AC140" s="50" t="s">
        <v>375</v>
      </c>
      <c r="AD140" s="50">
        <v>100</v>
      </c>
      <c r="AE140" s="42">
        <v>33</v>
      </c>
      <c r="AF140" s="43">
        <v>0.5</v>
      </c>
      <c r="AG140" s="45">
        <v>80</v>
      </c>
      <c r="AH140" s="35">
        <v>0.27</v>
      </c>
      <c r="AI140" s="50">
        <v>39369</v>
      </c>
      <c r="AJ140" s="50" t="s">
        <v>391</v>
      </c>
      <c r="AK140" s="50">
        <v>100</v>
      </c>
      <c r="AL140" s="34">
        <v>7.9</v>
      </c>
      <c r="AM140" s="43">
        <v>3</v>
      </c>
      <c r="AN140" s="35">
        <v>0.1</v>
      </c>
      <c r="AO140" s="35">
        <v>0.3</v>
      </c>
      <c r="AP140" s="35">
        <v>0.4</v>
      </c>
      <c r="AQ140" s="83">
        <v>0.4</v>
      </c>
      <c r="AR140" s="46">
        <v>27189</v>
      </c>
      <c r="AS140" s="50" t="s">
        <v>401</v>
      </c>
      <c r="AT140" s="50">
        <v>100</v>
      </c>
      <c r="AU140" s="44">
        <v>-1</v>
      </c>
      <c r="AV140" s="48">
        <v>-1</v>
      </c>
      <c r="AW140" s="48">
        <v>-1</v>
      </c>
      <c r="AX140" s="48">
        <v>-1</v>
      </c>
      <c r="AY140" s="48">
        <v>-1</v>
      </c>
      <c r="AZ140" s="59">
        <v>1</v>
      </c>
      <c r="BA140" s="45">
        <v>10</v>
      </c>
      <c r="BB140" s="35">
        <v>1.8</v>
      </c>
      <c r="BC140" s="45">
        <v>-1</v>
      </c>
      <c r="BD140" s="45">
        <v>-1</v>
      </c>
      <c r="BE140" s="45">
        <v>-1</v>
      </c>
      <c r="BF140" s="45">
        <v>-1</v>
      </c>
      <c r="BG140" s="45">
        <v>100</v>
      </c>
      <c r="BH140" s="45">
        <v>-1</v>
      </c>
      <c r="BI140" s="45">
        <v>-1</v>
      </c>
      <c r="BJ140" s="28">
        <v>1</v>
      </c>
      <c r="BK140" s="45">
        <v>9.6999999999999993</v>
      </c>
      <c r="BL140" s="43">
        <v>2</v>
      </c>
      <c r="BM140" s="45">
        <v>3</v>
      </c>
      <c r="BN140" s="45">
        <v>9.6999999999999993</v>
      </c>
      <c r="BO140" s="43">
        <v>2</v>
      </c>
    </row>
    <row r="141" spans="1:67" s="50" customFormat="1" ht="15" customHeight="1" x14ac:dyDescent="0.25">
      <c r="A141" s="50">
        <v>140</v>
      </c>
      <c r="B141" s="36">
        <v>4130</v>
      </c>
      <c r="C141" s="46">
        <v>4130</v>
      </c>
      <c r="D141" s="45" t="s">
        <v>5</v>
      </c>
      <c r="E141" s="14" t="s">
        <v>10</v>
      </c>
      <c r="F141" s="39">
        <v>-3</v>
      </c>
      <c r="G141" s="45">
        <v>-3</v>
      </c>
      <c r="H141" s="45">
        <v>-3</v>
      </c>
      <c r="I141" s="36">
        <v>-3</v>
      </c>
      <c r="J141" s="45">
        <v>-3</v>
      </c>
      <c r="K141" s="45">
        <v>-3</v>
      </c>
      <c r="L141" s="45">
        <v>-3</v>
      </c>
      <c r="M141" s="45">
        <v>-3</v>
      </c>
      <c r="N141" s="45">
        <v>-3</v>
      </c>
      <c r="O141" s="45">
        <v>-3</v>
      </c>
      <c r="P141" s="45">
        <v>-3</v>
      </c>
      <c r="Q141" s="45">
        <v>-3</v>
      </c>
      <c r="R141" s="45">
        <v>-3</v>
      </c>
      <c r="S141" s="45">
        <v>-3</v>
      </c>
      <c r="T141" s="45">
        <v>-3</v>
      </c>
      <c r="U141" s="45">
        <v>-3</v>
      </c>
      <c r="V141" s="45">
        <v>-3</v>
      </c>
      <c r="W141" s="45">
        <v>-3</v>
      </c>
      <c r="X141" s="103">
        <v>-3</v>
      </c>
      <c r="Y141" s="29">
        <v>60</v>
      </c>
      <c r="Z141" s="47">
        <v>4</v>
      </c>
      <c r="AA141" s="47">
        <v>90</v>
      </c>
      <c r="AB141" s="50">
        <v>23571</v>
      </c>
      <c r="AC141" s="50" t="s">
        <v>161</v>
      </c>
      <c r="AD141" s="50">
        <v>100</v>
      </c>
      <c r="AE141" s="42">
        <v>-3</v>
      </c>
      <c r="AF141" s="10">
        <v>-3</v>
      </c>
      <c r="AG141" s="10">
        <v>-3</v>
      </c>
      <c r="AH141" s="10">
        <v>-3</v>
      </c>
      <c r="AI141" s="10">
        <v>-3</v>
      </c>
      <c r="AJ141" s="10">
        <v>-3</v>
      </c>
      <c r="AK141" s="10">
        <v>-3</v>
      </c>
      <c r="AL141" s="34">
        <v>5</v>
      </c>
      <c r="AM141" s="43">
        <v>0.75</v>
      </c>
      <c r="AN141" s="35">
        <v>0.2</v>
      </c>
      <c r="AO141" s="35">
        <v>0.7</v>
      </c>
      <c r="AP141" s="35">
        <v>1.35</v>
      </c>
      <c r="AQ141" s="83">
        <v>0</v>
      </c>
      <c r="AR141" s="46">
        <v>23571</v>
      </c>
      <c r="AS141" s="50" t="s">
        <v>161</v>
      </c>
      <c r="AT141" s="50">
        <v>100</v>
      </c>
      <c r="AU141" s="44">
        <v>2.5</v>
      </c>
      <c r="AV141" s="45">
        <v>0.25</v>
      </c>
      <c r="AW141" s="45">
        <v>1</v>
      </c>
      <c r="AX141" s="45">
        <v>15</v>
      </c>
      <c r="AY141" s="45">
        <v>1</v>
      </c>
      <c r="AZ141" s="45">
        <v>1</v>
      </c>
      <c r="BA141" s="45">
        <v>70</v>
      </c>
      <c r="BB141" s="35">
        <v>1.25</v>
      </c>
      <c r="BC141" s="45">
        <v>-1</v>
      </c>
      <c r="BD141" s="45">
        <v>-1</v>
      </c>
      <c r="BE141" s="45">
        <v>-1</v>
      </c>
      <c r="BF141" s="45">
        <v>-1</v>
      </c>
      <c r="BG141" s="45">
        <v>100</v>
      </c>
      <c r="BH141" s="45">
        <v>-1</v>
      </c>
      <c r="BI141" s="45">
        <v>-1</v>
      </c>
      <c r="BJ141" s="28">
        <v>1</v>
      </c>
      <c r="BK141" s="36">
        <v>70</v>
      </c>
      <c r="BL141" s="43">
        <v>0.5</v>
      </c>
      <c r="BM141" s="45">
        <v>3</v>
      </c>
      <c r="BN141" s="45">
        <v>55</v>
      </c>
      <c r="BO141" s="43">
        <v>1.25</v>
      </c>
    </row>
    <row r="142" spans="1:67" s="50" customFormat="1" ht="15" customHeight="1" x14ac:dyDescent="0.25">
      <c r="A142" s="50">
        <v>141</v>
      </c>
      <c r="B142" s="36">
        <v>4133</v>
      </c>
      <c r="C142" s="71">
        <v>4133</v>
      </c>
      <c r="D142" s="45" t="s">
        <v>5</v>
      </c>
      <c r="E142" s="31" t="s">
        <v>405</v>
      </c>
      <c r="F142" s="39">
        <v>-3</v>
      </c>
      <c r="G142" s="45">
        <v>-3</v>
      </c>
      <c r="H142" s="45">
        <v>-3</v>
      </c>
      <c r="I142" s="36">
        <v>-3</v>
      </c>
      <c r="J142" s="45">
        <v>-3</v>
      </c>
      <c r="K142" s="45">
        <v>-3</v>
      </c>
      <c r="L142" s="45">
        <v>-3</v>
      </c>
      <c r="M142" s="45">
        <v>-3</v>
      </c>
      <c r="N142" s="45">
        <v>-3</v>
      </c>
      <c r="O142" s="45">
        <v>-3</v>
      </c>
      <c r="P142" s="45">
        <v>-3</v>
      </c>
      <c r="Q142" s="45">
        <v>-3</v>
      </c>
      <c r="R142" s="45">
        <v>-3</v>
      </c>
      <c r="S142" s="45">
        <v>-3</v>
      </c>
      <c r="T142" s="45">
        <v>-3</v>
      </c>
      <c r="U142" s="45">
        <v>-3</v>
      </c>
      <c r="V142" s="45">
        <v>-3</v>
      </c>
      <c r="W142" s="45">
        <v>-3</v>
      </c>
      <c r="X142" s="103">
        <v>-3</v>
      </c>
      <c r="Y142" s="29">
        <v>78.13</v>
      </c>
      <c r="Z142" s="47">
        <v>5</v>
      </c>
      <c r="AA142" s="47">
        <v>80</v>
      </c>
      <c r="AB142" s="50">
        <v>26417</v>
      </c>
      <c r="AC142" s="50" t="s">
        <v>147</v>
      </c>
      <c r="AD142" s="50">
        <v>100</v>
      </c>
      <c r="AE142" s="42">
        <v>-3</v>
      </c>
      <c r="AF142" s="10">
        <v>-3</v>
      </c>
      <c r="AG142" s="10">
        <v>-3</v>
      </c>
      <c r="AH142" s="10">
        <v>-3</v>
      </c>
      <c r="AI142" s="10">
        <v>-3</v>
      </c>
      <c r="AJ142" s="10">
        <v>-3</v>
      </c>
      <c r="AK142" s="10">
        <v>-3</v>
      </c>
      <c r="AL142" s="34">
        <v>25.616512037037037</v>
      </c>
      <c r="AM142" s="43">
        <v>1.5</v>
      </c>
      <c r="AN142" s="35">
        <v>0.45720518518518533</v>
      </c>
      <c r="AO142" s="35">
        <v>0.82036499999999979</v>
      </c>
      <c r="AP142" s="35">
        <v>0.35447870370370371</v>
      </c>
      <c r="AQ142" s="83">
        <v>7.8919191919191917E-2</v>
      </c>
      <c r="AR142" s="50">
        <v>26417</v>
      </c>
      <c r="AS142" s="50" t="s">
        <v>147</v>
      </c>
      <c r="AT142" s="50">
        <v>100</v>
      </c>
      <c r="AU142" s="44">
        <v>-1</v>
      </c>
      <c r="AV142" s="48">
        <v>-1</v>
      </c>
      <c r="AW142" s="48">
        <v>-1</v>
      </c>
      <c r="AX142" s="48">
        <v>-1</v>
      </c>
      <c r="AY142" s="48">
        <v>-1</v>
      </c>
      <c r="AZ142" s="59">
        <v>1</v>
      </c>
      <c r="BA142" s="45">
        <v>100</v>
      </c>
      <c r="BB142" s="35">
        <v>0.75</v>
      </c>
      <c r="BC142" s="45">
        <v>-1</v>
      </c>
      <c r="BD142" s="45">
        <v>-1</v>
      </c>
      <c r="BE142" s="45">
        <v>-1</v>
      </c>
      <c r="BF142" s="45">
        <v>-1</v>
      </c>
      <c r="BG142" s="45">
        <v>100</v>
      </c>
      <c r="BH142" s="45">
        <v>-1</v>
      </c>
      <c r="BI142" s="45">
        <v>-1</v>
      </c>
      <c r="BJ142" s="28">
        <v>-1</v>
      </c>
      <c r="BK142" s="48">
        <v>-1</v>
      </c>
      <c r="BL142" s="48">
        <v>-1</v>
      </c>
      <c r="BM142" s="48">
        <v>-1</v>
      </c>
      <c r="BN142" s="48">
        <v>-1</v>
      </c>
      <c r="BO142" s="48">
        <v>-1</v>
      </c>
    </row>
    <row r="143" spans="1:67" s="50" customFormat="1" ht="15" customHeight="1" x14ac:dyDescent="0.25">
      <c r="A143" s="50">
        <v>142</v>
      </c>
      <c r="B143" s="36">
        <v>4140</v>
      </c>
      <c r="C143" s="46">
        <v>4140</v>
      </c>
      <c r="D143" s="45" t="s">
        <v>5</v>
      </c>
      <c r="E143" s="15" t="s">
        <v>14</v>
      </c>
      <c r="F143" s="39">
        <v>-3</v>
      </c>
      <c r="G143" s="45">
        <v>-3</v>
      </c>
      <c r="H143" s="45">
        <v>-3</v>
      </c>
      <c r="I143" s="36">
        <v>-3</v>
      </c>
      <c r="J143" s="45">
        <v>-3</v>
      </c>
      <c r="K143" s="45">
        <v>-3</v>
      </c>
      <c r="L143" s="45">
        <v>-3</v>
      </c>
      <c r="M143" s="45">
        <v>-3</v>
      </c>
      <c r="N143" s="45">
        <v>-3</v>
      </c>
      <c r="O143" s="45">
        <v>-3</v>
      </c>
      <c r="P143" s="45">
        <v>-3</v>
      </c>
      <c r="Q143" s="45">
        <v>-3</v>
      </c>
      <c r="R143" s="45">
        <v>-3</v>
      </c>
      <c r="S143" s="45">
        <v>-3</v>
      </c>
      <c r="T143" s="45">
        <v>-3</v>
      </c>
      <c r="U143" s="45">
        <v>-3</v>
      </c>
      <c r="V143" s="45">
        <v>-3</v>
      </c>
      <c r="W143" s="45">
        <v>-3</v>
      </c>
      <c r="X143" s="103">
        <v>-3</v>
      </c>
      <c r="Y143" s="81">
        <v>-3</v>
      </c>
      <c r="Z143" s="10">
        <v>-3</v>
      </c>
      <c r="AA143" s="48">
        <v>-3</v>
      </c>
      <c r="AB143" s="10">
        <v>-3</v>
      </c>
      <c r="AC143" s="10">
        <v>-3</v>
      </c>
      <c r="AD143" s="10">
        <v>-3</v>
      </c>
      <c r="AE143" s="42">
        <v>80</v>
      </c>
      <c r="AF143" s="43">
        <v>5</v>
      </c>
      <c r="AG143" s="45">
        <v>70</v>
      </c>
      <c r="AH143" s="35">
        <v>3</v>
      </c>
      <c r="AI143" s="50">
        <v>40450</v>
      </c>
      <c r="AJ143" s="50" t="s">
        <v>148</v>
      </c>
      <c r="AK143" s="50">
        <v>100</v>
      </c>
      <c r="AL143" s="34">
        <v>-3</v>
      </c>
      <c r="AM143" s="48">
        <v>-3</v>
      </c>
      <c r="AN143" s="48">
        <v>-3</v>
      </c>
      <c r="AO143" s="48">
        <v>-3</v>
      </c>
      <c r="AP143" s="48">
        <v>-3</v>
      </c>
      <c r="AQ143" s="48">
        <v>-3</v>
      </c>
      <c r="AR143" s="48">
        <v>-3</v>
      </c>
      <c r="AS143" s="10">
        <v>-3</v>
      </c>
      <c r="AT143" s="10">
        <v>-3</v>
      </c>
      <c r="AU143" s="44">
        <v>-1</v>
      </c>
      <c r="AV143" s="48">
        <v>-1</v>
      </c>
      <c r="AW143" s="45">
        <v>2</v>
      </c>
      <c r="AX143" s="45">
        <v>20</v>
      </c>
      <c r="AY143" s="45">
        <v>1.1499999999999999</v>
      </c>
      <c r="AZ143" s="45">
        <v>1</v>
      </c>
      <c r="BA143" s="45">
        <v>90</v>
      </c>
      <c r="BB143" s="35">
        <v>2.25</v>
      </c>
      <c r="BC143" s="45">
        <v>-1</v>
      </c>
      <c r="BD143" s="45">
        <v>-1</v>
      </c>
      <c r="BE143" s="45">
        <v>-1</v>
      </c>
      <c r="BF143" s="45">
        <v>-1</v>
      </c>
      <c r="BG143" s="45">
        <v>-1</v>
      </c>
      <c r="BH143" s="45">
        <v>-1</v>
      </c>
      <c r="BI143" s="45">
        <v>100</v>
      </c>
      <c r="BJ143" s="28">
        <v>1</v>
      </c>
      <c r="BK143" s="45">
        <v>30</v>
      </c>
      <c r="BL143" s="43">
        <v>0.5</v>
      </c>
      <c r="BM143" s="45">
        <v>-1</v>
      </c>
      <c r="BN143" s="45">
        <v>-1</v>
      </c>
      <c r="BO143" s="43">
        <v>-1</v>
      </c>
    </row>
    <row r="144" spans="1:67" s="50" customFormat="1" ht="15" customHeight="1" x14ac:dyDescent="0.25">
      <c r="A144" s="50">
        <v>143</v>
      </c>
      <c r="B144" s="36">
        <v>4150</v>
      </c>
      <c r="C144" s="46">
        <v>4150</v>
      </c>
      <c r="D144" s="45" t="s">
        <v>5</v>
      </c>
      <c r="E144" s="18" t="s">
        <v>15</v>
      </c>
      <c r="F144" s="39">
        <v>-3</v>
      </c>
      <c r="G144" s="45">
        <v>-3</v>
      </c>
      <c r="H144" s="45">
        <v>-3</v>
      </c>
      <c r="I144" s="36">
        <v>-3</v>
      </c>
      <c r="J144" s="45">
        <v>-3</v>
      </c>
      <c r="K144" s="45">
        <v>-3</v>
      </c>
      <c r="L144" s="45">
        <v>-3</v>
      </c>
      <c r="M144" s="45">
        <v>-3</v>
      </c>
      <c r="N144" s="45">
        <v>-3</v>
      </c>
      <c r="O144" s="45">
        <v>-3</v>
      </c>
      <c r="P144" s="45">
        <v>-3</v>
      </c>
      <c r="Q144" s="45">
        <v>-3</v>
      </c>
      <c r="R144" s="45">
        <v>-3</v>
      </c>
      <c r="S144" s="45">
        <v>-3</v>
      </c>
      <c r="T144" s="45">
        <v>-3</v>
      </c>
      <c r="U144" s="45">
        <v>-3</v>
      </c>
      <c r="V144" s="45">
        <v>-3</v>
      </c>
      <c r="W144" s="45">
        <v>-3</v>
      </c>
      <c r="X144" s="103">
        <v>-3</v>
      </c>
      <c r="Y144" s="29">
        <v>7</v>
      </c>
      <c r="Z144" s="47">
        <v>4</v>
      </c>
      <c r="AA144" s="47">
        <v>90</v>
      </c>
      <c r="AB144" s="50">
        <v>23571</v>
      </c>
      <c r="AC144" s="50" t="s">
        <v>161</v>
      </c>
      <c r="AD144" s="50">
        <v>100</v>
      </c>
      <c r="AE144" s="42">
        <v>8</v>
      </c>
      <c r="AF144" s="43">
        <v>5</v>
      </c>
      <c r="AG144" s="45">
        <v>70</v>
      </c>
      <c r="AH144" s="35">
        <v>0.46875</v>
      </c>
      <c r="AI144" s="50">
        <v>40450</v>
      </c>
      <c r="AJ144" s="50" t="s">
        <v>148</v>
      </c>
      <c r="AK144" s="50">
        <v>100</v>
      </c>
      <c r="AL144" s="34">
        <v>1.0416666666666667</v>
      </c>
      <c r="AM144" s="43">
        <v>0.75</v>
      </c>
      <c r="AN144" s="35">
        <v>4.1666666666666664E-2</v>
      </c>
      <c r="AO144" s="35">
        <v>0.14583333333333334</v>
      </c>
      <c r="AP144" s="35">
        <v>0.28125</v>
      </c>
      <c r="AQ144" s="83">
        <v>0</v>
      </c>
      <c r="AR144" s="46">
        <v>23571</v>
      </c>
      <c r="AS144" s="50" t="s">
        <v>161</v>
      </c>
      <c r="AT144" s="50">
        <v>100</v>
      </c>
      <c r="AU144" s="44">
        <v>-1</v>
      </c>
      <c r="AV144" s="48">
        <v>-1</v>
      </c>
      <c r="AW144" s="45">
        <v>2</v>
      </c>
      <c r="AX144" s="45">
        <v>17.5</v>
      </c>
      <c r="AY144" s="45">
        <v>1.075</v>
      </c>
      <c r="AZ144" s="59">
        <v>1</v>
      </c>
      <c r="BA144" s="45">
        <v>20</v>
      </c>
      <c r="BB144" s="35">
        <v>1.75</v>
      </c>
      <c r="BC144" s="45">
        <v>-1</v>
      </c>
      <c r="BD144" s="45">
        <v>-1</v>
      </c>
      <c r="BE144" s="45">
        <v>-1</v>
      </c>
      <c r="BF144" s="45">
        <v>-1</v>
      </c>
      <c r="BG144" s="45">
        <v>50</v>
      </c>
      <c r="BH144" s="45">
        <v>-1</v>
      </c>
      <c r="BI144" s="45">
        <v>50</v>
      </c>
      <c r="BJ144" s="28">
        <v>1</v>
      </c>
      <c r="BK144" s="45">
        <v>50</v>
      </c>
      <c r="BL144" s="43">
        <v>0.5</v>
      </c>
      <c r="BM144" s="45">
        <v>3</v>
      </c>
      <c r="BN144" s="45">
        <v>27.5</v>
      </c>
      <c r="BO144" s="43">
        <v>0.625</v>
      </c>
    </row>
    <row r="145" spans="1:67" s="50" customFormat="1" ht="15" customHeight="1" x14ac:dyDescent="0.25">
      <c r="A145" s="50">
        <v>144</v>
      </c>
      <c r="B145" s="36">
        <v>4180</v>
      </c>
      <c r="C145" s="46">
        <v>4180</v>
      </c>
      <c r="D145" s="45" t="s">
        <v>5</v>
      </c>
      <c r="E145" s="16" t="s">
        <v>13</v>
      </c>
      <c r="F145" s="39">
        <v>-3</v>
      </c>
      <c r="G145" s="45">
        <v>-3</v>
      </c>
      <c r="H145" s="45">
        <v>-3</v>
      </c>
      <c r="I145" s="36">
        <v>-3</v>
      </c>
      <c r="J145" s="45">
        <v>-3</v>
      </c>
      <c r="K145" s="45">
        <v>-3</v>
      </c>
      <c r="L145" s="45">
        <v>-3</v>
      </c>
      <c r="M145" s="45">
        <v>-3</v>
      </c>
      <c r="N145" s="45">
        <v>-3</v>
      </c>
      <c r="O145" s="45">
        <v>-3</v>
      </c>
      <c r="P145" s="45">
        <v>-3</v>
      </c>
      <c r="Q145" s="45">
        <v>-3</v>
      </c>
      <c r="R145" s="45">
        <v>-3</v>
      </c>
      <c r="S145" s="45">
        <v>-3</v>
      </c>
      <c r="T145" s="45">
        <v>-3</v>
      </c>
      <c r="U145" s="45">
        <v>-3</v>
      </c>
      <c r="V145" s="45">
        <v>-3</v>
      </c>
      <c r="W145" s="45">
        <v>-3</v>
      </c>
      <c r="X145" s="103">
        <v>-3</v>
      </c>
      <c r="Y145" s="29">
        <v>18.345727999999998</v>
      </c>
      <c r="Z145" s="47">
        <v>3</v>
      </c>
      <c r="AA145" s="47">
        <v>85</v>
      </c>
      <c r="AB145" s="50">
        <v>565123</v>
      </c>
      <c r="AC145" s="50" t="s">
        <v>392</v>
      </c>
      <c r="AD145" s="50">
        <v>100</v>
      </c>
      <c r="AE145" s="42">
        <v>39</v>
      </c>
      <c r="AF145" s="43">
        <v>3</v>
      </c>
      <c r="AG145" s="45">
        <v>65</v>
      </c>
      <c r="AH145" s="35">
        <v>0.59623616000000002</v>
      </c>
      <c r="AI145" s="45">
        <v>39369</v>
      </c>
      <c r="AJ145" s="50" t="s">
        <v>391</v>
      </c>
      <c r="AK145" s="50">
        <v>100</v>
      </c>
      <c r="AL145" s="34">
        <v>-1</v>
      </c>
      <c r="AM145" s="48">
        <v>-1</v>
      </c>
      <c r="AN145" s="48">
        <v>-1</v>
      </c>
      <c r="AO145" s="48">
        <v>-1</v>
      </c>
      <c r="AP145" s="48">
        <v>-1</v>
      </c>
      <c r="AQ145" s="48">
        <v>-1</v>
      </c>
      <c r="AR145" s="48">
        <v>-1</v>
      </c>
      <c r="AS145" s="48">
        <v>-1</v>
      </c>
      <c r="AT145" s="48">
        <v>-1</v>
      </c>
      <c r="AU145" s="44">
        <v>-1</v>
      </c>
      <c r="AV145" s="48">
        <v>-1</v>
      </c>
      <c r="AW145" s="45">
        <v>2</v>
      </c>
      <c r="AX145" s="45">
        <v>20</v>
      </c>
      <c r="AY145" s="45">
        <v>0.5</v>
      </c>
      <c r="AZ145" s="45">
        <v>1</v>
      </c>
      <c r="BA145" s="45">
        <v>57</v>
      </c>
      <c r="BB145" s="35">
        <v>1</v>
      </c>
      <c r="BC145" s="45">
        <v>-1</v>
      </c>
      <c r="BD145" s="45">
        <v>-1</v>
      </c>
      <c r="BE145" s="45">
        <v>-1</v>
      </c>
      <c r="BF145" s="45">
        <v>25</v>
      </c>
      <c r="BG145" s="45">
        <v>-1</v>
      </c>
      <c r="BH145" s="45">
        <v>-1</v>
      </c>
      <c r="BI145" s="45">
        <v>75</v>
      </c>
      <c r="BJ145" s="28">
        <v>2</v>
      </c>
      <c r="BK145" s="45">
        <v>75</v>
      </c>
      <c r="BL145" s="43">
        <v>1</v>
      </c>
      <c r="BM145" s="45">
        <v>4</v>
      </c>
      <c r="BN145" s="45">
        <v>75</v>
      </c>
      <c r="BO145" s="43">
        <v>2</v>
      </c>
    </row>
    <row r="146" spans="1:67" s="50" customFormat="1" ht="15" customHeight="1" x14ac:dyDescent="0.25">
      <c r="A146" s="50">
        <v>145</v>
      </c>
      <c r="B146" s="36">
        <v>5015</v>
      </c>
      <c r="C146" s="46">
        <v>5010</v>
      </c>
      <c r="D146" s="22" t="s">
        <v>202</v>
      </c>
      <c r="E146" s="25" t="s">
        <v>410</v>
      </c>
      <c r="F146" s="39">
        <v>-3</v>
      </c>
      <c r="G146" s="45">
        <v>-3</v>
      </c>
      <c r="H146" s="45">
        <v>-3</v>
      </c>
      <c r="I146" s="36">
        <v>-3</v>
      </c>
      <c r="J146" s="45">
        <v>-3</v>
      </c>
      <c r="K146" s="45">
        <v>-3</v>
      </c>
      <c r="L146" s="45">
        <v>-3</v>
      </c>
      <c r="M146" s="45">
        <v>-3</v>
      </c>
      <c r="N146" s="45">
        <v>-3</v>
      </c>
      <c r="O146" s="45">
        <v>-3</v>
      </c>
      <c r="P146" s="45">
        <v>-3</v>
      </c>
      <c r="Q146" s="45">
        <v>-3</v>
      </c>
      <c r="R146" s="45">
        <v>-3</v>
      </c>
      <c r="S146" s="45">
        <v>-3</v>
      </c>
      <c r="T146" s="45">
        <v>-3</v>
      </c>
      <c r="U146" s="45">
        <v>-3</v>
      </c>
      <c r="V146" s="45">
        <v>-3</v>
      </c>
      <c r="W146" s="45">
        <v>-3</v>
      </c>
      <c r="X146" s="103">
        <v>-3</v>
      </c>
      <c r="Y146" s="81">
        <v>-3</v>
      </c>
      <c r="Z146" s="10">
        <v>-3</v>
      </c>
      <c r="AA146" s="48">
        <v>-3</v>
      </c>
      <c r="AB146" s="10">
        <v>-3</v>
      </c>
      <c r="AC146" s="10">
        <v>-3</v>
      </c>
      <c r="AD146" s="10">
        <v>-3</v>
      </c>
      <c r="AE146" s="42">
        <v>100</v>
      </c>
      <c r="AF146" s="43">
        <v>0.5</v>
      </c>
      <c r="AG146" s="36">
        <v>0</v>
      </c>
      <c r="AH146" s="35">
        <v>0.17</v>
      </c>
      <c r="AI146" s="50">
        <v>42236</v>
      </c>
      <c r="AJ146" s="50" t="s">
        <v>207</v>
      </c>
      <c r="AK146" s="50">
        <v>100</v>
      </c>
      <c r="AL146" s="34">
        <v>-3</v>
      </c>
      <c r="AM146" s="48">
        <v>-3</v>
      </c>
      <c r="AN146" s="48">
        <v>-3</v>
      </c>
      <c r="AO146" s="48">
        <v>-3</v>
      </c>
      <c r="AP146" s="48">
        <v>-3</v>
      </c>
      <c r="AQ146" s="48">
        <v>-3</v>
      </c>
      <c r="AR146" s="48">
        <v>-3</v>
      </c>
      <c r="AS146" s="48">
        <v>-3</v>
      </c>
      <c r="AT146" s="48">
        <v>-3</v>
      </c>
      <c r="AU146" s="44">
        <v>-1</v>
      </c>
      <c r="AV146" s="48">
        <v>-1</v>
      </c>
      <c r="AW146" s="48">
        <v>-1</v>
      </c>
      <c r="AX146" s="48">
        <v>-1</v>
      </c>
      <c r="AY146" s="48">
        <v>-1</v>
      </c>
      <c r="AZ146" s="45">
        <v>2</v>
      </c>
      <c r="BA146" s="45">
        <v>65</v>
      </c>
      <c r="BB146" s="35">
        <v>0.5</v>
      </c>
      <c r="BC146" s="53">
        <v>-1</v>
      </c>
      <c r="BD146" s="53">
        <v>-1</v>
      </c>
      <c r="BE146" s="53">
        <v>-1</v>
      </c>
      <c r="BF146" s="53">
        <v>-1</v>
      </c>
      <c r="BG146" s="53">
        <v>-1</v>
      </c>
      <c r="BH146" s="53">
        <v>-1</v>
      </c>
      <c r="BI146" s="45">
        <v>100</v>
      </c>
      <c r="BJ146" s="28">
        <v>-1</v>
      </c>
      <c r="BK146" s="48">
        <v>-1</v>
      </c>
      <c r="BL146" s="48">
        <v>-1</v>
      </c>
      <c r="BM146" s="48">
        <v>-1</v>
      </c>
      <c r="BN146" s="48">
        <v>-1</v>
      </c>
      <c r="BO146" s="48">
        <v>-1</v>
      </c>
    </row>
    <row r="147" spans="1:67" s="50" customFormat="1" ht="15" customHeight="1" x14ac:dyDescent="0.25">
      <c r="A147" s="50">
        <v>146</v>
      </c>
      <c r="B147" s="36">
        <v>5012</v>
      </c>
      <c r="C147" s="46">
        <v>5012</v>
      </c>
      <c r="D147" s="22" t="s">
        <v>202</v>
      </c>
      <c r="E147" s="25" t="s">
        <v>412</v>
      </c>
      <c r="F147" s="39">
        <v>-3</v>
      </c>
      <c r="G147" s="45">
        <v>-3</v>
      </c>
      <c r="H147" s="45">
        <v>-3</v>
      </c>
      <c r="I147" s="36">
        <v>-3</v>
      </c>
      <c r="J147" s="45">
        <v>-3</v>
      </c>
      <c r="K147" s="45">
        <v>-3</v>
      </c>
      <c r="L147" s="45">
        <v>-3</v>
      </c>
      <c r="M147" s="45">
        <v>-3</v>
      </c>
      <c r="N147" s="45">
        <v>-3</v>
      </c>
      <c r="O147" s="45">
        <v>-3</v>
      </c>
      <c r="P147" s="45">
        <v>-3</v>
      </c>
      <c r="Q147" s="45">
        <v>-3</v>
      </c>
      <c r="R147" s="45">
        <v>-3</v>
      </c>
      <c r="S147" s="45">
        <v>-3</v>
      </c>
      <c r="T147" s="45">
        <v>-3</v>
      </c>
      <c r="U147" s="45">
        <v>-3</v>
      </c>
      <c r="V147" s="45">
        <v>-3</v>
      </c>
      <c r="W147" s="45">
        <v>-3</v>
      </c>
      <c r="X147" s="103">
        <v>-3</v>
      </c>
      <c r="Y147" s="81">
        <v>-3</v>
      </c>
      <c r="Z147" s="10">
        <v>-3</v>
      </c>
      <c r="AA147" s="48">
        <v>-3</v>
      </c>
      <c r="AB147" s="10">
        <v>-3</v>
      </c>
      <c r="AC147" s="10">
        <v>-3</v>
      </c>
      <c r="AD147" s="10">
        <v>-3</v>
      </c>
      <c r="AE147" s="42">
        <v>100</v>
      </c>
      <c r="AF147" s="66">
        <v>0.5</v>
      </c>
      <c r="AG147" s="62">
        <v>0</v>
      </c>
      <c r="AH147" s="63">
        <v>0.48</v>
      </c>
      <c r="AI147" s="50">
        <v>42269</v>
      </c>
      <c r="AJ147" s="50" t="s">
        <v>206</v>
      </c>
      <c r="AK147" s="50">
        <v>100</v>
      </c>
      <c r="AL147" s="34">
        <v>-3</v>
      </c>
      <c r="AM147" s="48">
        <v>-3</v>
      </c>
      <c r="AN147" s="48">
        <v>-3</v>
      </c>
      <c r="AO147" s="48">
        <v>-3</v>
      </c>
      <c r="AP147" s="48">
        <v>-3</v>
      </c>
      <c r="AQ147" s="48">
        <v>-3</v>
      </c>
      <c r="AR147" s="48">
        <v>-3</v>
      </c>
      <c r="AS147" s="48">
        <v>-3</v>
      </c>
      <c r="AT147" s="48">
        <v>-3</v>
      </c>
      <c r="AU147" s="44">
        <v>-1</v>
      </c>
      <c r="AV147" s="48">
        <v>-1</v>
      </c>
      <c r="AW147" s="48">
        <v>-1</v>
      </c>
      <c r="AX147" s="48">
        <v>-1</v>
      </c>
      <c r="AY147" s="48">
        <v>-1</v>
      </c>
      <c r="AZ147" s="45">
        <v>2</v>
      </c>
      <c r="BA147" s="45">
        <v>65</v>
      </c>
      <c r="BB147" s="35">
        <v>0.5</v>
      </c>
      <c r="BC147" s="53">
        <v>-1</v>
      </c>
      <c r="BD147" s="53">
        <v>-1</v>
      </c>
      <c r="BE147" s="53">
        <v>-1</v>
      </c>
      <c r="BF147" s="53">
        <v>-1</v>
      </c>
      <c r="BG147" s="53">
        <v>-1</v>
      </c>
      <c r="BH147" s="53">
        <v>-1</v>
      </c>
      <c r="BI147" s="45">
        <v>100</v>
      </c>
      <c r="BJ147" s="28">
        <v>-1</v>
      </c>
      <c r="BK147" s="48">
        <v>-1</v>
      </c>
      <c r="BL147" s="48">
        <v>-1</v>
      </c>
      <c r="BM147" s="48">
        <v>-1</v>
      </c>
      <c r="BN147" s="48">
        <v>-1</v>
      </c>
      <c r="BO147" s="48">
        <v>-1</v>
      </c>
    </row>
    <row r="148" spans="1:67" s="50" customFormat="1" ht="15" customHeight="1" x14ac:dyDescent="0.25">
      <c r="A148" s="50">
        <v>147</v>
      </c>
      <c r="B148" s="36">
        <v>5020</v>
      </c>
      <c r="C148" s="36">
        <v>5020</v>
      </c>
      <c r="D148" s="22" t="s">
        <v>202</v>
      </c>
      <c r="E148" s="38" t="s">
        <v>427</v>
      </c>
      <c r="F148" s="39">
        <v>10.1409</v>
      </c>
      <c r="G148" s="36">
        <v>10.1409</v>
      </c>
      <c r="H148" s="36">
        <v>8.1052998292682936</v>
      </c>
      <c r="I148" s="36">
        <v>50.493766404199469</v>
      </c>
      <c r="J148" s="36">
        <v>25.432249451748042</v>
      </c>
      <c r="K148" s="36">
        <v>11.863439977491799</v>
      </c>
      <c r="L148" s="55" t="s">
        <v>397</v>
      </c>
      <c r="M148" s="36" t="s">
        <v>396</v>
      </c>
      <c r="N148" s="36" t="s">
        <v>156</v>
      </c>
      <c r="O148" s="36">
        <v>5.5651280487804877</v>
      </c>
      <c r="P148" s="36">
        <v>22.260512195121951</v>
      </c>
      <c r="Q148" s="36">
        <v>32.031287939227859</v>
      </c>
      <c r="R148" s="36">
        <v>13.52432157434065</v>
      </c>
      <c r="S148" s="36">
        <v>7.2337325262756238</v>
      </c>
      <c r="T148" s="36" t="s">
        <v>397</v>
      </c>
      <c r="U148" s="36" t="s">
        <v>396</v>
      </c>
      <c r="V148" s="36" t="s">
        <v>156</v>
      </c>
      <c r="W148" s="36">
        <v>-1</v>
      </c>
      <c r="X148" s="102">
        <v>-1</v>
      </c>
      <c r="Y148" s="29">
        <v>29.859099999999998</v>
      </c>
      <c r="Z148" s="47">
        <v>6.4</v>
      </c>
      <c r="AA148" s="47">
        <v>85</v>
      </c>
      <c r="AB148" s="50">
        <v>23700</v>
      </c>
      <c r="AC148" s="50" t="s">
        <v>393</v>
      </c>
      <c r="AD148" s="50">
        <v>100</v>
      </c>
      <c r="AE148" s="42">
        <v>60</v>
      </c>
      <c r="AF148" s="43">
        <v>0.5</v>
      </c>
      <c r="AG148" s="45">
        <v>0</v>
      </c>
      <c r="AH148" s="35">
        <v>0.10200000000000001</v>
      </c>
      <c r="AI148" s="50">
        <v>42236</v>
      </c>
      <c r="AJ148" s="50" t="s">
        <v>207</v>
      </c>
      <c r="AK148" s="50">
        <v>100</v>
      </c>
      <c r="AL148" s="34">
        <v>3.8337548780487807</v>
      </c>
      <c r="AM148" s="43">
        <v>0.30051691463414637</v>
      </c>
      <c r="AN148" s="35">
        <v>7.9148487804878057E-2</v>
      </c>
      <c r="AO148" s="35">
        <v>0.13974654878048781</v>
      </c>
      <c r="AP148" s="35">
        <v>0.20652808536585365</v>
      </c>
      <c r="AQ148" s="83">
        <v>0.27583247999264454</v>
      </c>
      <c r="AR148" s="46" t="s">
        <v>397</v>
      </c>
      <c r="AS148" s="50" t="s">
        <v>396</v>
      </c>
      <c r="AT148" s="50" t="s">
        <v>156</v>
      </c>
      <c r="AU148" s="44">
        <v>1.7</v>
      </c>
      <c r="AV148" s="45">
        <v>0.2</v>
      </c>
      <c r="AW148" s="45">
        <v>2</v>
      </c>
      <c r="AX148" s="45">
        <v>2.5</v>
      </c>
      <c r="AY148" s="45">
        <v>0.6</v>
      </c>
      <c r="AZ148" s="45">
        <v>2</v>
      </c>
      <c r="BA148" s="45">
        <v>50</v>
      </c>
      <c r="BB148" s="35">
        <v>1.5</v>
      </c>
      <c r="BC148" s="53">
        <v>20</v>
      </c>
      <c r="BD148" s="53">
        <v>-1</v>
      </c>
      <c r="BE148" s="53">
        <v>-1</v>
      </c>
      <c r="BF148" s="53">
        <v>20</v>
      </c>
      <c r="BG148" s="53">
        <v>-1</v>
      </c>
      <c r="BH148" s="53">
        <v>-1</v>
      </c>
      <c r="BI148" s="45">
        <v>60</v>
      </c>
      <c r="BJ148" s="28">
        <v>1</v>
      </c>
      <c r="BK148" s="53">
        <v>12</v>
      </c>
      <c r="BL148" s="54">
        <v>0.7</v>
      </c>
      <c r="BM148" s="45">
        <v>3</v>
      </c>
      <c r="BN148" s="53">
        <v>10</v>
      </c>
      <c r="BO148" s="54">
        <v>0.7</v>
      </c>
    </row>
    <row r="149" spans="1:67" s="50" customFormat="1" ht="15" customHeight="1" x14ac:dyDescent="0.25">
      <c r="A149" s="50">
        <v>148</v>
      </c>
      <c r="B149" s="36">
        <v>5022</v>
      </c>
      <c r="C149" s="46">
        <v>5022</v>
      </c>
      <c r="D149" s="22" t="s">
        <v>202</v>
      </c>
      <c r="E149" s="38" t="s">
        <v>428</v>
      </c>
      <c r="F149" s="39">
        <v>18.609300000000001</v>
      </c>
      <c r="G149" s="36">
        <v>18.609300000000001</v>
      </c>
      <c r="H149" s="36">
        <v>14.873823439024394</v>
      </c>
      <c r="I149" s="36">
        <v>69.741469816272968</v>
      </c>
      <c r="J149" s="36">
        <v>35.12676086194071</v>
      </c>
      <c r="K149" s="36">
        <v>16.38566104347089</v>
      </c>
      <c r="L149" s="55" t="s">
        <v>397</v>
      </c>
      <c r="M149" s="36" t="s">
        <v>396</v>
      </c>
      <c r="N149" s="36" t="s">
        <v>156</v>
      </c>
      <c r="O149" s="36">
        <v>10.212420731707319</v>
      </c>
      <c r="P149" s="36">
        <v>40.849682926829274</v>
      </c>
      <c r="Q149" s="36">
        <v>44.241284817371394</v>
      </c>
      <c r="R149" s="36">
        <v>18.679653589556811</v>
      </c>
      <c r="S149" s="36">
        <v>9.9911568212563733</v>
      </c>
      <c r="T149" s="55" t="s">
        <v>397</v>
      </c>
      <c r="U149" s="36" t="s">
        <v>396</v>
      </c>
      <c r="V149" s="36" t="s">
        <v>156</v>
      </c>
      <c r="W149" s="36">
        <v>-1</v>
      </c>
      <c r="X149" s="102">
        <v>-1</v>
      </c>
      <c r="Y149" s="29">
        <v>21.390699999999995</v>
      </c>
      <c r="Z149" s="47">
        <v>6.4</v>
      </c>
      <c r="AA149" s="47">
        <v>85</v>
      </c>
      <c r="AB149" s="50">
        <v>23700</v>
      </c>
      <c r="AC149" s="50" t="s">
        <v>393</v>
      </c>
      <c r="AD149" s="50">
        <v>100</v>
      </c>
      <c r="AE149" s="42">
        <v>60</v>
      </c>
      <c r="AF149" s="43">
        <v>0.5</v>
      </c>
      <c r="AG149" s="45">
        <v>0</v>
      </c>
      <c r="AH149" s="35">
        <v>0.28799999999999998</v>
      </c>
      <c r="AI149" s="50">
        <v>42269</v>
      </c>
      <c r="AJ149" s="50" t="s">
        <v>206</v>
      </c>
      <c r="AK149" s="50">
        <v>100</v>
      </c>
      <c r="AL149" s="34">
        <v>7.0352231707317081</v>
      </c>
      <c r="AM149" s="43">
        <v>0.55147071951219517</v>
      </c>
      <c r="AN149" s="35">
        <v>0.14524331707317076</v>
      </c>
      <c r="AO149" s="35">
        <v>0.25644523170731709</v>
      </c>
      <c r="AP149" s="35">
        <v>0.37899428048780487</v>
      </c>
      <c r="AQ149" s="83">
        <v>0.50617295998650214</v>
      </c>
      <c r="AR149" s="46" t="s">
        <v>397</v>
      </c>
      <c r="AS149" s="50" t="s">
        <v>396</v>
      </c>
      <c r="AT149" s="50" t="s">
        <v>156</v>
      </c>
      <c r="AU149" s="44">
        <v>1.7</v>
      </c>
      <c r="AV149" s="45">
        <v>0.2</v>
      </c>
      <c r="AW149" s="45">
        <v>2</v>
      </c>
      <c r="AX149" s="45">
        <v>2.5</v>
      </c>
      <c r="AY149" s="45">
        <v>0.6</v>
      </c>
      <c r="AZ149" s="45">
        <v>2</v>
      </c>
      <c r="BA149" s="45">
        <v>60</v>
      </c>
      <c r="BB149" s="35">
        <v>1.5</v>
      </c>
      <c r="BC149" s="53">
        <v>20</v>
      </c>
      <c r="BD149" s="53">
        <v>-1</v>
      </c>
      <c r="BE149" s="53">
        <v>-1</v>
      </c>
      <c r="BF149" s="53">
        <v>20</v>
      </c>
      <c r="BG149" s="53">
        <v>-1</v>
      </c>
      <c r="BH149" s="53">
        <v>-1</v>
      </c>
      <c r="BI149" s="45">
        <v>60</v>
      </c>
      <c r="BJ149" s="28">
        <v>1</v>
      </c>
      <c r="BK149" s="53">
        <v>22</v>
      </c>
      <c r="BL149" s="54">
        <v>0.7</v>
      </c>
      <c r="BM149" s="45">
        <v>3</v>
      </c>
      <c r="BN149" s="53">
        <v>19</v>
      </c>
      <c r="BO149" s="54">
        <v>0.7</v>
      </c>
    </row>
    <row r="150" spans="1:67" s="50" customFormat="1" ht="15" customHeight="1" x14ac:dyDescent="0.25">
      <c r="A150" s="50">
        <v>149</v>
      </c>
      <c r="B150" s="36">
        <v>5030</v>
      </c>
      <c r="C150" s="36">
        <v>5030</v>
      </c>
      <c r="D150" s="22" t="s">
        <v>202</v>
      </c>
      <c r="E150" s="39" t="s">
        <v>461</v>
      </c>
      <c r="F150" s="39">
        <v>7.7796700000000003</v>
      </c>
      <c r="G150" s="36">
        <v>7.7796700000000003</v>
      </c>
      <c r="H150" s="36">
        <v>6.2180435585365865</v>
      </c>
      <c r="I150" s="36">
        <v>48.219160104986877</v>
      </c>
      <c r="J150" s="36">
        <v>24.286596058752565</v>
      </c>
      <c r="K150" s="36">
        <v>11.329024400584288</v>
      </c>
      <c r="L150" s="36" t="s">
        <v>397</v>
      </c>
      <c r="M150" s="36" t="s">
        <v>396</v>
      </c>
      <c r="N150" s="36" t="s">
        <v>156</v>
      </c>
      <c r="O150" s="36">
        <v>4.2693310975609764</v>
      </c>
      <c r="P150" s="36">
        <v>17.077324390243906</v>
      </c>
      <c r="Q150" s="36">
        <v>30.58836588157758</v>
      </c>
      <c r="R150" s="36">
        <v>12.915087816666087</v>
      </c>
      <c r="S150" s="36">
        <v>6.9078726282562695</v>
      </c>
      <c r="T150" s="36" t="s">
        <v>397</v>
      </c>
      <c r="U150" s="36" t="s">
        <v>396</v>
      </c>
      <c r="V150" s="36" t="s">
        <v>156</v>
      </c>
      <c r="W150" s="36">
        <v>-1</v>
      </c>
      <c r="X150" s="102">
        <v>-1</v>
      </c>
      <c r="Y150" s="29">
        <v>62.220330000000004</v>
      </c>
      <c r="Z150" s="47">
        <v>6.4</v>
      </c>
      <c r="AA150" s="47">
        <v>85</v>
      </c>
      <c r="AB150" s="50">
        <v>23700</v>
      </c>
      <c r="AC150" s="50" t="s">
        <v>393</v>
      </c>
      <c r="AD150" s="50">
        <v>100</v>
      </c>
      <c r="AE150" s="42">
        <v>30</v>
      </c>
      <c r="AF150" s="43">
        <v>0.5</v>
      </c>
      <c r="AG150" s="45">
        <v>0</v>
      </c>
      <c r="AH150" s="35">
        <v>5.1000000000000004E-2</v>
      </c>
      <c r="AI150" s="50">
        <v>42236</v>
      </c>
      <c r="AJ150" s="50" t="s">
        <v>207</v>
      </c>
      <c r="AK150" s="50">
        <v>100</v>
      </c>
      <c r="AL150" s="34">
        <v>2.9410947560975611</v>
      </c>
      <c r="AM150" s="43">
        <v>0.2305438792682927</v>
      </c>
      <c r="AN150" s="35">
        <v>6.0719375609756099E-2</v>
      </c>
      <c r="AO150" s="35">
        <v>0.1072076475609756</v>
      </c>
      <c r="AP150" s="35">
        <v>0.15843962073170734</v>
      </c>
      <c r="AQ150" s="83">
        <v>0.21160702399435716</v>
      </c>
      <c r="AR150" s="46" t="s">
        <v>397</v>
      </c>
      <c r="AS150" s="50" t="s">
        <v>396</v>
      </c>
      <c r="AT150" s="50" t="s">
        <v>156</v>
      </c>
      <c r="AU150" s="44">
        <v>1.7</v>
      </c>
      <c r="AV150" s="45">
        <v>0.2</v>
      </c>
      <c r="AW150" s="45">
        <v>2</v>
      </c>
      <c r="AX150" s="45">
        <v>2.5</v>
      </c>
      <c r="AY150" s="45">
        <v>0.6</v>
      </c>
      <c r="AZ150" s="45">
        <v>1</v>
      </c>
      <c r="BA150" s="45">
        <v>28</v>
      </c>
      <c r="BB150" s="35">
        <v>1.5</v>
      </c>
      <c r="BC150" s="53">
        <v>35</v>
      </c>
      <c r="BD150" s="53">
        <v>-1</v>
      </c>
      <c r="BE150" s="53">
        <v>-1</v>
      </c>
      <c r="BF150" s="53">
        <v>35</v>
      </c>
      <c r="BG150" s="53">
        <v>-1</v>
      </c>
      <c r="BH150" s="53">
        <v>-1</v>
      </c>
      <c r="BI150" s="45">
        <v>30</v>
      </c>
      <c r="BJ150" s="28">
        <v>1</v>
      </c>
      <c r="BK150" s="53">
        <v>9</v>
      </c>
      <c r="BL150" s="54">
        <v>0.7</v>
      </c>
      <c r="BM150" s="45">
        <v>3</v>
      </c>
      <c r="BN150" s="53">
        <v>8</v>
      </c>
      <c r="BO150" s="54">
        <v>0.7</v>
      </c>
    </row>
    <row r="151" spans="1:67" s="50" customFormat="1" ht="15" customHeight="1" x14ac:dyDescent="0.25">
      <c r="A151" s="50">
        <v>150</v>
      </c>
      <c r="B151" s="36">
        <v>5032</v>
      </c>
      <c r="C151" s="46">
        <v>5032</v>
      </c>
      <c r="D151" s="22" t="s">
        <v>202</v>
      </c>
      <c r="E151" s="39" t="s">
        <v>462</v>
      </c>
      <c r="F151" s="39">
        <v>22.135100000000001</v>
      </c>
      <c r="G151" s="36">
        <v>22.135100000000001</v>
      </c>
      <c r="H151" s="36">
        <v>17.691883585365854</v>
      </c>
      <c r="I151" s="36">
        <v>80.543307086614178</v>
      </c>
      <c r="J151" s="36">
        <v>40.567333818955447</v>
      </c>
      <c r="K151" s="36">
        <v>18.923537641495255</v>
      </c>
      <c r="L151" s="55" t="s">
        <v>397</v>
      </c>
      <c r="M151" s="36" t="s">
        <v>396</v>
      </c>
      <c r="N151" s="36" t="s">
        <v>156</v>
      </c>
      <c r="O151" s="36">
        <v>12.147310975609757</v>
      </c>
      <c r="P151" s="36">
        <v>48.58924390243903</v>
      </c>
      <c r="Q151" s="36">
        <v>51.093551632037183</v>
      </c>
      <c r="R151" s="36">
        <v>21.572832911304587</v>
      </c>
      <c r="S151" s="36">
        <v>11.538627076901729</v>
      </c>
      <c r="T151" s="55" t="s">
        <v>397</v>
      </c>
      <c r="U151" s="36" t="s">
        <v>396</v>
      </c>
      <c r="V151" s="36" t="s">
        <v>156</v>
      </c>
      <c r="W151" s="36">
        <v>-1</v>
      </c>
      <c r="X151" s="102">
        <v>-1</v>
      </c>
      <c r="Y151" s="29">
        <v>47.864900000000006</v>
      </c>
      <c r="Z151" s="47">
        <v>6.4</v>
      </c>
      <c r="AA151" s="47">
        <v>85</v>
      </c>
      <c r="AB151" s="50">
        <v>23700</v>
      </c>
      <c r="AC151" s="50" t="s">
        <v>393</v>
      </c>
      <c r="AD151" s="50">
        <v>100</v>
      </c>
      <c r="AE151" s="42">
        <v>30</v>
      </c>
      <c r="AF151" s="43">
        <v>0.5</v>
      </c>
      <c r="AG151" s="45">
        <v>0</v>
      </c>
      <c r="AH151" s="35">
        <v>0.14399999999999999</v>
      </c>
      <c r="AI151" s="50">
        <v>42269</v>
      </c>
      <c r="AJ151" s="50" t="s">
        <v>206</v>
      </c>
      <c r="AK151" s="50">
        <v>100</v>
      </c>
      <c r="AL151" s="34">
        <v>8.3681475609756113</v>
      </c>
      <c r="AM151" s="43">
        <v>0.65595479268292689</v>
      </c>
      <c r="AN151" s="35">
        <v>0.172761756097561</v>
      </c>
      <c r="AO151" s="35">
        <v>0.3050324756097561</v>
      </c>
      <c r="AP151" s="35">
        <v>0.45080020731707321</v>
      </c>
      <c r="AQ151" s="83">
        <v>0.60207471998394479</v>
      </c>
      <c r="AR151" s="46" t="s">
        <v>397</v>
      </c>
      <c r="AS151" s="50" t="s">
        <v>396</v>
      </c>
      <c r="AT151" s="50" t="s">
        <v>156</v>
      </c>
      <c r="AU151" s="44">
        <v>1.7</v>
      </c>
      <c r="AV151" s="45">
        <v>0.2</v>
      </c>
      <c r="AW151" s="45">
        <v>2</v>
      </c>
      <c r="AX151" s="45">
        <v>2.5</v>
      </c>
      <c r="AY151" s="45">
        <v>0.6</v>
      </c>
      <c r="AZ151" s="45">
        <v>1</v>
      </c>
      <c r="BA151" s="45">
        <v>44</v>
      </c>
      <c r="BB151" s="35">
        <v>1.5</v>
      </c>
      <c r="BC151" s="53">
        <v>35</v>
      </c>
      <c r="BD151" s="53">
        <v>-1</v>
      </c>
      <c r="BE151" s="53">
        <v>-1</v>
      </c>
      <c r="BF151" s="53">
        <v>35</v>
      </c>
      <c r="BG151" s="53">
        <v>-1</v>
      </c>
      <c r="BH151" s="53">
        <v>-1</v>
      </c>
      <c r="BI151" s="45">
        <v>30</v>
      </c>
      <c r="BJ151" s="28">
        <v>1</v>
      </c>
      <c r="BK151" s="53">
        <v>26</v>
      </c>
      <c r="BL151" s="54">
        <v>0.7</v>
      </c>
      <c r="BM151" s="45">
        <v>3</v>
      </c>
      <c r="BN151" s="53">
        <v>22</v>
      </c>
      <c r="BO151" s="54">
        <v>0.7</v>
      </c>
    </row>
    <row r="152" spans="1:67" s="50" customFormat="1" ht="15" customHeight="1" x14ac:dyDescent="0.25">
      <c r="A152" s="50">
        <v>151</v>
      </c>
      <c r="B152" s="36">
        <v>5033</v>
      </c>
      <c r="C152" s="46">
        <v>5033</v>
      </c>
      <c r="D152" s="22" t="s">
        <v>202</v>
      </c>
      <c r="E152" s="39" t="s">
        <v>463</v>
      </c>
      <c r="F152" s="39">
        <v>13.8172</v>
      </c>
      <c r="G152" s="36">
        <v>13.8172</v>
      </c>
      <c r="H152" s="36">
        <v>11.043649853658538</v>
      </c>
      <c r="I152" s="36">
        <v>48.205708661417319</v>
      </c>
      <c r="J152" s="36">
        <v>24.279820955750573</v>
      </c>
      <c r="K152" s="36">
        <v>11.325864002682483</v>
      </c>
      <c r="L152" s="55" t="s">
        <v>397</v>
      </c>
      <c r="M152" s="36" t="s">
        <v>396</v>
      </c>
      <c r="N152" s="36" t="s">
        <v>156</v>
      </c>
      <c r="O152" s="36">
        <v>7.5826097560975612</v>
      </c>
      <c r="P152" s="36">
        <v>30.330439024390248</v>
      </c>
      <c r="Q152" s="36">
        <v>30.579832807242703</v>
      </c>
      <c r="R152" s="36">
        <v>12.91148496305803</v>
      </c>
      <c r="S152" s="36">
        <v>6.9059455756356432</v>
      </c>
      <c r="T152" s="55" t="s">
        <v>397</v>
      </c>
      <c r="U152" s="36" t="s">
        <v>396</v>
      </c>
      <c r="V152" s="36" t="s">
        <v>156</v>
      </c>
      <c r="W152" s="36">
        <v>-1</v>
      </c>
      <c r="X152" s="102">
        <v>-1</v>
      </c>
      <c r="Y152" s="29">
        <v>56.1828</v>
      </c>
      <c r="Z152" s="47">
        <v>6.4</v>
      </c>
      <c r="AA152" s="47">
        <v>85</v>
      </c>
      <c r="AB152" s="50">
        <v>23700</v>
      </c>
      <c r="AC152" s="50" t="s">
        <v>393</v>
      </c>
      <c r="AD152" s="50">
        <v>100</v>
      </c>
      <c r="AE152" s="42">
        <v>30</v>
      </c>
      <c r="AF152" s="43">
        <v>0.5</v>
      </c>
      <c r="AG152" s="45">
        <v>0</v>
      </c>
      <c r="AH152" s="35">
        <v>5.1000000000000004E-2</v>
      </c>
      <c r="AI152" s="50">
        <v>26716</v>
      </c>
      <c r="AJ152" s="50" t="s">
        <v>208</v>
      </c>
      <c r="AK152" s="50">
        <v>100</v>
      </c>
      <c r="AL152" s="34">
        <v>5.2235756097560975</v>
      </c>
      <c r="AM152" s="43">
        <v>0.40946092682926832</v>
      </c>
      <c r="AN152" s="35">
        <v>0.10784156097560976</v>
      </c>
      <c r="AO152" s="35">
        <v>0.19040775609756097</v>
      </c>
      <c r="AP152" s="35">
        <v>0.28139907317073171</v>
      </c>
      <c r="AQ152" s="83">
        <v>0.37582783998997799</v>
      </c>
      <c r="AR152" s="46" t="s">
        <v>397</v>
      </c>
      <c r="AS152" s="50" t="s">
        <v>396</v>
      </c>
      <c r="AT152" s="50" t="s">
        <v>156</v>
      </c>
      <c r="AU152" s="44">
        <v>1.7</v>
      </c>
      <c r="AV152" s="45">
        <v>0.2</v>
      </c>
      <c r="AW152" s="45">
        <v>2</v>
      </c>
      <c r="AX152" s="45">
        <v>2.5</v>
      </c>
      <c r="AY152" s="45">
        <v>0.6</v>
      </c>
      <c r="AZ152" s="45">
        <v>1</v>
      </c>
      <c r="BA152" s="45">
        <v>35</v>
      </c>
      <c r="BB152" s="35">
        <v>1.5</v>
      </c>
      <c r="BC152" s="53">
        <v>35</v>
      </c>
      <c r="BD152" s="53">
        <v>-1</v>
      </c>
      <c r="BE152" s="53">
        <v>-1</v>
      </c>
      <c r="BF152" s="53">
        <v>35</v>
      </c>
      <c r="BG152" s="53">
        <v>-1</v>
      </c>
      <c r="BH152" s="53">
        <v>-1</v>
      </c>
      <c r="BI152" s="45">
        <v>30</v>
      </c>
      <c r="BJ152" s="28">
        <v>1</v>
      </c>
      <c r="BK152" s="53">
        <v>16</v>
      </c>
      <c r="BL152" s="54">
        <v>0.7</v>
      </c>
      <c r="BM152" s="45">
        <v>3</v>
      </c>
      <c r="BN152" s="53">
        <v>14</v>
      </c>
      <c r="BO152" s="54">
        <v>0.7</v>
      </c>
    </row>
    <row r="153" spans="1:67" s="50" customFormat="1" ht="15" customHeight="1" x14ac:dyDescent="0.25">
      <c r="A153" s="50">
        <v>152</v>
      </c>
      <c r="B153" s="36">
        <v>5035</v>
      </c>
      <c r="C153" s="46">
        <v>5035</v>
      </c>
      <c r="D153" s="22" t="s">
        <v>202</v>
      </c>
      <c r="E153" s="33" t="s">
        <v>470</v>
      </c>
      <c r="F153" s="39">
        <v>7.6307099999999997</v>
      </c>
      <c r="G153" s="36">
        <v>7.6307099999999997</v>
      </c>
      <c r="H153" s="36">
        <v>6.0989845536585365</v>
      </c>
      <c r="I153" s="36">
        <v>38.909448818897637</v>
      </c>
      <c r="J153" s="36">
        <v>19.597563795714962</v>
      </c>
      <c r="K153" s="36">
        <v>9.1417207210332201</v>
      </c>
      <c r="L153" s="55" t="s">
        <v>397</v>
      </c>
      <c r="M153" s="36" t="s">
        <v>396</v>
      </c>
      <c r="N153" s="36" t="s">
        <v>156</v>
      </c>
      <c r="O153" s="36">
        <v>4.1875847560975608</v>
      </c>
      <c r="P153" s="36">
        <v>16.750339024390243</v>
      </c>
      <c r="Q153" s="36">
        <v>24.682645946789691</v>
      </c>
      <c r="R153" s="36">
        <v>10.421561621977869</v>
      </c>
      <c r="S153" s="36">
        <v>5.5741642096500046</v>
      </c>
      <c r="T153" s="55" t="s">
        <v>397</v>
      </c>
      <c r="U153" s="36" t="s">
        <v>396</v>
      </c>
      <c r="V153" s="36" t="s">
        <v>156</v>
      </c>
      <c r="W153" s="36">
        <v>-1</v>
      </c>
      <c r="X153" s="102">
        <v>-1</v>
      </c>
      <c r="Y153" s="29">
        <v>62.369290000000007</v>
      </c>
      <c r="Z153" s="47">
        <v>6.4</v>
      </c>
      <c r="AA153" s="47">
        <v>85</v>
      </c>
      <c r="AB153" s="50">
        <v>23700</v>
      </c>
      <c r="AC153" s="50" t="s">
        <v>393</v>
      </c>
      <c r="AD153" s="50">
        <v>100</v>
      </c>
      <c r="AE153" s="42">
        <v>30</v>
      </c>
      <c r="AF153" s="43">
        <v>0.5</v>
      </c>
      <c r="AG153" s="45">
        <v>0</v>
      </c>
      <c r="AH153" s="35">
        <v>0.20699999999999999</v>
      </c>
      <c r="AI153" s="50">
        <v>21711</v>
      </c>
      <c r="AJ153" s="50" t="s">
        <v>425</v>
      </c>
      <c r="AK153" s="50">
        <v>100</v>
      </c>
      <c r="AL153" s="34">
        <v>2.8847806097560973</v>
      </c>
      <c r="AM153" s="43">
        <v>0.22612957682926829</v>
      </c>
      <c r="AN153" s="35">
        <v>5.955676097560976E-2</v>
      </c>
      <c r="AO153" s="35">
        <v>0.10515490609756097</v>
      </c>
      <c r="AP153" s="35">
        <v>0.15540592317073171</v>
      </c>
      <c r="AQ153" s="83">
        <v>0.2075553119944652</v>
      </c>
      <c r="AR153" s="46" t="s">
        <v>397</v>
      </c>
      <c r="AS153" s="50" t="s">
        <v>396</v>
      </c>
      <c r="AT153" s="50" t="s">
        <v>156</v>
      </c>
      <c r="AU153" s="44">
        <v>1.7</v>
      </c>
      <c r="AV153" s="45">
        <v>0.2</v>
      </c>
      <c r="AW153" s="45">
        <v>2</v>
      </c>
      <c r="AX153" s="45">
        <v>2.5</v>
      </c>
      <c r="AY153" s="45">
        <v>0.6</v>
      </c>
      <c r="AZ153" s="45">
        <v>1</v>
      </c>
      <c r="BA153" s="45">
        <v>28</v>
      </c>
      <c r="BB153" s="35">
        <v>1.5</v>
      </c>
      <c r="BC153" s="53">
        <v>35</v>
      </c>
      <c r="BD153" s="53">
        <v>-1</v>
      </c>
      <c r="BE153" s="53">
        <v>-1</v>
      </c>
      <c r="BF153" s="53">
        <v>35</v>
      </c>
      <c r="BG153" s="53">
        <v>-1</v>
      </c>
      <c r="BH153" s="53">
        <v>-1</v>
      </c>
      <c r="BI153" s="45">
        <v>30</v>
      </c>
      <c r="BJ153" s="28">
        <v>1</v>
      </c>
      <c r="BK153" s="53">
        <v>9</v>
      </c>
      <c r="BL153" s="54">
        <v>0.7</v>
      </c>
      <c r="BM153" s="45">
        <v>3</v>
      </c>
      <c r="BN153" s="53">
        <v>8</v>
      </c>
      <c r="BO153" s="54">
        <v>0.7</v>
      </c>
    </row>
    <row r="154" spans="1:67" s="50" customFormat="1" ht="15" customHeight="1" x14ac:dyDescent="0.25">
      <c r="A154" s="50">
        <v>153</v>
      </c>
      <c r="B154" s="36">
        <v>5040</v>
      </c>
      <c r="C154" s="46">
        <v>5040</v>
      </c>
      <c r="D154" s="22" t="s">
        <v>202</v>
      </c>
      <c r="E154" s="6" t="s">
        <v>17</v>
      </c>
      <c r="F154" s="39">
        <v>52.93</v>
      </c>
      <c r="G154" s="56">
        <v>52.93</v>
      </c>
      <c r="H154" s="67">
        <v>41.248896551724137</v>
      </c>
      <c r="I154" s="36">
        <v>102.2</v>
      </c>
      <c r="J154" s="67">
        <v>60.642988019732208</v>
      </c>
      <c r="K154" s="67">
        <v>20</v>
      </c>
      <c r="L154" s="36">
        <v>19464</v>
      </c>
      <c r="M154" s="36" t="s">
        <v>155</v>
      </c>
      <c r="N154" s="36">
        <v>100</v>
      </c>
      <c r="O154" s="43">
        <v>30.140233542319748</v>
      </c>
      <c r="P154" s="36">
        <v>62.405963322884006</v>
      </c>
      <c r="Q154" s="43">
        <v>65.490105708245252</v>
      </c>
      <c r="R154" s="43">
        <v>37.131226215644823</v>
      </c>
      <c r="S154" s="43">
        <v>12.689653276955605</v>
      </c>
      <c r="T154" s="36">
        <v>19464</v>
      </c>
      <c r="U154" s="36" t="s">
        <v>155</v>
      </c>
      <c r="V154" s="36">
        <v>100</v>
      </c>
      <c r="W154" s="36">
        <v>1</v>
      </c>
      <c r="X154" s="102">
        <v>2</v>
      </c>
      <c r="Y154" s="29">
        <v>23.41696443298969</v>
      </c>
      <c r="Z154" s="45">
        <v>6.5</v>
      </c>
      <c r="AA154" s="47">
        <v>85</v>
      </c>
      <c r="AB154" s="50">
        <v>23700</v>
      </c>
      <c r="AC154" s="50" t="s">
        <v>393</v>
      </c>
      <c r="AD154" s="50">
        <v>100</v>
      </c>
      <c r="AE154" s="42">
        <v>18</v>
      </c>
      <c r="AF154" s="43">
        <v>1.7</v>
      </c>
      <c r="AG154" s="45">
        <v>75</v>
      </c>
      <c r="AH154" s="64">
        <v>0.17</v>
      </c>
      <c r="AI154" s="50">
        <v>39369</v>
      </c>
      <c r="AJ154" s="50" t="s">
        <v>391</v>
      </c>
      <c r="AK154" s="50">
        <v>100</v>
      </c>
      <c r="AL154" s="34">
        <v>11</v>
      </c>
      <c r="AM154" s="43">
        <v>0.8</v>
      </c>
      <c r="AN154" s="35">
        <v>0.28539059561128527</v>
      </c>
      <c r="AO154" s="35">
        <v>0.47288557993730396</v>
      </c>
      <c r="AP154" s="35">
        <v>0.91590470219435749</v>
      </c>
      <c r="AQ154" s="84">
        <v>1.1017404388714735</v>
      </c>
      <c r="AR154" s="46">
        <v>19464</v>
      </c>
      <c r="AS154" s="50" t="s">
        <v>155</v>
      </c>
      <c r="AT154" s="50">
        <v>100</v>
      </c>
      <c r="AU154" s="44">
        <v>-1</v>
      </c>
      <c r="AV154" s="48">
        <v>-1</v>
      </c>
      <c r="AW154" s="48">
        <v>-1</v>
      </c>
      <c r="AX154" s="48">
        <v>-1</v>
      </c>
      <c r="AY154" s="48">
        <v>-1</v>
      </c>
      <c r="AZ154" s="45">
        <v>1</v>
      </c>
      <c r="BA154" s="43">
        <v>57</v>
      </c>
      <c r="BB154" s="45">
        <v>1.2</v>
      </c>
      <c r="BC154" s="45">
        <v>-1</v>
      </c>
      <c r="BD154" s="45">
        <v>-1</v>
      </c>
      <c r="BE154" s="45">
        <v>-1</v>
      </c>
      <c r="BF154" s="45">
        <v>-1</v>
      </c>
      <c r="BG154" s="45">
        <v>100</v>
      </c>
      <c r="BH154" s="45">
        <v>-1</v>
      </c>
      <c r="BI154" s="45">
        <v>-1</v>
      </c>
      <c r="BJ154" s="28">
        <v>1</v>
      </c>
      <c r="BK154" s="56">
        <v>47.64485959412638</v>
      </c>
      <c r="BL154" s="45">
        <v>0.6</v>
      </c>
      <c r="BM154" s="45">
        <v>3</v>
      </c>
      <c r="BN154" s="56">
        <v>38.10855205411648</v>
      </c>
      <c r="BO154" s="45">
        <v>0.3</v>
      </c>
    </row>
    <row r="155" spans="1:67" s="50" customFormat="1" ht="15" customHeight="1" x14ac:dyDescent="0.25">
      <c r="A155" s="50">
        <v>154</v>
      </c>
      <c r="B155" s="52" t="s">
        <v>261</v>
      </c>
      <c r="C155" s="68">
        <v>915061</v>
      </c>
      <c r="D155" s="22" t="s">
        <v>202</v>
      </c>
      <c r="E155" s="11" t="s">
        <v>16</v>
      </c>
      <c r="F155" s="39">
        <v>23</v>
      </c>
      <c r="G155" s="56">
        <v>23</v>
      </c>
      <c r="H155" s="67">
        <v>17.924137931034483</v>
      </c>
      <c r="I155" s="36">
        <v>62.172572178477687</v>
      </c>
      <c r="J155" s="67">
        <v>36.891688353966323</v>
      </c>
      <c r="K155" s="67">
        <v>14.458737715925043</v>
      </c>
      <c r="L155" s="36">
        <v>19478</v>
      </c>
      <c r="M155" s="36" t="s">
        <v>352</v>
      </c>
      <c r="N155" s="36">
        <v>100</v>
      </c>
      <c r="O155" s="43">
        <v>13.097021943573669</v>
      </c>
      <c r="P155" s="36">
        <v>27.117648902821319</v>
      </c>
      <c r="Q155" s="43">
        <v>39.840394560880732</v>
      </c>
      <c r="R155" s="43">
        <v>22.588491604379261</v>
      </c>
      <c r="S155" s="43">
        <v>7.7196515096025262</v>
      </c>
      <c r="T155" s="36">
        <v>19478</v>
      </c>
      <c r="U155" s="36" t="s">
        <v>352</v>
      </c>
      <c r="V155" s="36">
        <v>100</v>
      </c>
      <c r="W155" s="36">
        <v>1</v>
      </c>
      <c r="X155" s="102">
        <v>2</v>
      </c>
      <c r="Y155" s="29">
        <v>36.376109278350512</v>
      </c>
      <c r="Z155" s="45">
        <v>6.5</v>
      </c>
      <c r="AA155" s="47">
        <v>85</v>
      </c>
      <c r="AB155" s="50">
        <v>23571</v>
      </c>
      <c r="AC155" s="50" t="s">
        <v>161</v>
      </c>
      <c r="AD155" s="50">
        <v>100</v>
      </c>
      <c r="AE155" s="42">
        <v>28</v>
      </c>
      <c r="AF155" s="43">
        <v>1.7</v>
      </c>
      <c r="AG155" s="45">
        <v>75</v>
      </c>
      <c r="AH155" s="64">
        <v>0.27</v>
      </c>
      <c r="AI155" s="50">
        <v>39369</v>
      </c>
      <c r="AJ155" s="50" t="s">
        <v>391</v>
      </c>
      <c r="AK155" s="50">
        <v>100</v>
      </c>
      <c r="AL155" s="34">
        <v>5</v>
      </c>
      <c r="AM155" s="43">
        <v>0.8</v>
      </c>
      <c r="AN155" s="35">
        <v>0.12401253918495299</v>
      </c>
      <c r="AO155" s="35">
        <v>0.20548589341692786</v>
      </c>
      <c r="AP155" s="35">
        <v>0.3979937304075235</v>
      </c>
      <c r="AQ155" s="84">
        <v>0.47874608150470227</v>
      </c>
      <c r="AR155" s="46">
        <v>19478</v>
      </c>
      <c r="AS155" s="50" t="s">
        <v>352</v>
      </c>
      <c r="AT155" s="50">
        <v>100</v>
      </c>
      <c r="AU155" s="44">
        <v>-1</v>
      </c>
      <c r="AV155" s="48">
        <v>-1</v>
      </c>
      <c r="AW155" s="48">
        <v>-1</v>
      </c>
      <c r="AX155" s="48">
        <v>-1</v>
      </c>
      <c r="AY155" s="48">
        <v>-1</v>
      </c>
      <c r="AZ155" s="45">
        <v>1</v>
      </c>
      <c r="BA155" s="43">
        <v>25</v>
      </c>
      <c r="BB155" s="45">
        <v>1.2</v>
      </c>
      <c r="BC155" s="45">
        <v>-1</v>
      </c>
      <c r="BD155" s="45">
        <v>-1</v>
      </c>
      <c r="BE155" s="45">
        <v>-1</v>
      </c>
      <c r="BF155" s="45">
        <v>100</v>
      </c>
      <c r="BG155" s="45">
        <v>-1</v>
      </c>
      <c r="BH155" s="45">
        <v>-1</v>
      </c>
      <c r="BI155" s="45">
        <v>-1</v>
      </c>
      <c r="BJ155" s="28">
        <v>1</v>
      </c>
      <c r="BK155" s="56">
        <v>20.703415278006929</v>
      </c>
      <c r="BL155" s="45">
        <v>0.6</v>
      </c>
      <c r="BM155" s="45">
        <v>3</v>
      </c>
      <c r="BN155" s="56">
        <v>16.559544629599078</v>
      </c>
      <c r="BO155" s="45">
        <v>0.3</v>
      </c>
    </row>
    <row r="156" spans="1:67" s="50" customFormat="1" ht="15" customHeight="1" x14ac:dyDescent="0.25">
      <c r="A156" s="50">
        <v>155</v>
      </c>
      <c r="B156" s="52" t="s">
        <v>262</v>
      </c>
      <c r="C156" s="68">
        <v>925061</v>
      </c>
      <c r="D156" s="22" t="s">
        <v>202</v>
      </c>
      <c r="E156" s="11" t="s">
        <v>16</v>
      </c>
      <c r="F156" s="39">
        <v>55.9</v>
      </c>
      <c r="G156" s="56">
        <v>55.9</v>
      </c>
      <c r="H156" s="67">
        <v>43.563448275862072</v>
      </c>
      <c r="I156" s="36">
        <v>72.568897637795274</v>
      </c>
      <c r="J156" s="67">
        <v>43.060614384089938</v>
      </c>
      <c r="K156" s="67">
        <v>16.876487822743087</v>
      </c>
      <c r="L156" s="36">
        <v>19478</v>
      </c>
      <c r="M156" s="36" t="s">
        <v>352</v>
      </c>
      <c r="N156" s="36">
        <v>100</v>
      </c>
      <c r="O156" s="43">
        <v>31.831457680250782</v>
      </c>
      <c r="P156" s="36">
        <v>65.907677115987454</v>
      </c>
      <c r="Q156" s="43">
        <v>46.50239508248572</v>
      </c>
      <c r="R156" s="43">
        <v>26.365676657621815</v>
      </c>
      <c r="S156" s="43">
        <v>9.0105102711791059</v>
      </c>
      <c r="T156" s="36">
        <v>19478</v>
      </c>
      <c r="U156" s="36" t="s">
        <v>352</v>
      </c>
      <c r="V156" s="36">
        <v>100</v>
      </c>
      <c r="W156" s="36">
        <v>1</v>
      </c>
      <c r="X156" s="102">
        <v>2</v>
      </c>
      <c r="Y156" s="29">
        <v>24.473871134020616</v>
      </c>
      <c r="Z156" s="45">
        <v>6.5</v>
      </c>
      <c r="AA156" s="47">
        <v>85</v>
      </c>
      <c r="AB156" s="50">
        <v>23571</v>
      </c>
      <c r="AC156" s="50" t="s">
        <v>161</v>
      </c>
      <c r="AD156" s="50">
        <v>100</v>
      </c>
      <c r="AE156" s="42">
        <v>19</v>
      </c>
      <c r="AF156" s="43">
        <v>1.7</v>
      </c>
      <c r="AG156" s="45">
        <v>75</v>
      </c>
      <c r="AH156" s="64">
        <v>0.18</v>
      </c>
      <c r="AI156" s="50">
        <v>39369</v>
      </c>
      <c r="AJ156" s="50" t="s">
        <v>391</v>
      </c>
      <c r="AK156" s="50">
        <v>100</v>
      </c>
      <c r="AL156" s="34">
        <v>12</v>
      </c>
      <c r="AM156" s="43">
        <v>0.8</v>
      </c>
      <c r="AN156" s="35">
        <v>0.30140438871473352</v>
      </c>
      <c r="AO156" s="35">
        <v>0.49942006269592459</v>
      </c>
      <c r="AP156" s="35">
        <v>0.96729780564263323</v>
      </c>
      <c r="AQ156" s="84">
        <v>1.1635611285266458</v>
      </c>
      <c r="AR156" s="46">
        <v>19478</v>
      </c>
      <c r="AS156" s="50" t="s">
        <v>352</v>
      </c>
      <c r="AT156" s="50">
        <v>100</v>
      </c>
      <c r="AU156" s="44">
        <v>-1</v>
      </c>
      <c r="AV156" s="48">
        <v>-1</v>
      </c>
      <c r="AW156" s="48">
        <v>-1</v>
      </c>
      <c r="AX156" s="48">
        <v>-1</v>
      </c>
      <c r="AY156" s="48">
        <v>-1</v>
      </c>
      <c r="AZ156" s="45">
        <v>1</v>
      </c>
      <c r="BA156" s="43">
        <v>61</v>
      </c>
      <c r="BB156" s="45">
        <v>1.2</v>
      </c>
      <c r="BC156" s="45">
        <v>-1</v>
      </c>
      <c r="BD156" s="45">
        <v>-1</v>
      </c>
      <c r="BE156" s="45">
        <v>-1</v>
      </c>
      <c r="BF156" s="45">
        <v>100</v>
      </c>
      <c r="BG156" s="45">
        <v>-1</v>
      </c>
      <c r="BH156" s="45">
        <v>-1</v>
      </c>
      <c r="BI156" s="45">
        <v>-1</v>
      </c>
      <c r="BJ156" s="28">
        <v>1</v>
      </c>
      <c r="BK156" s="56">
        <v>50.318300610460319</v>
      </c>
      <c r="BL156" s="45">
        <v>0.6</v>
      </c>
      <c r="BM156" s="45">
        <v>3</v>
      </c>
      <c r="BN156" s="56">
        <v>40.246893251938623</v>
      </c>
      <c r="BO156" s="45">
        <v>0.3</v>
      </c>
    </row>
    <row r="157" spans="1:67" s="50" customFormat="1" ht="15" customHeight="1" x14ac:dyDescent="0.25">
      <c r="A157" s="50">
        <v>156</v>
      </c>
      <c r="B157" s="52" t="s">
        <v>263</v>
      </c>
      <c r="C157" s="68">
        <v>935061</v>
      </c>
      <c r="D157" s="22" t="s">
        <v>202</v>
      </c>
      <c r="E157" s="11" t="s">
        <v>16</v>
      </c>
      <c r="F157" s="39">
        <v>73.5</v>
      </c>
      <c r="G157" s="56">
        <v>73.5</v>
      </c>
      <c r="H157" s="67">
        <v>57.279310344827586</v>
      </c>
      <c r="I157" s="36">
        <v>80.108595800524938</v>
      </c>
      <c r="J157" s="67">
        <v>47.534487430614512</v>
      </c>
      <c r="K157" s="67">
        <v>18.629906000122077</v>
      </c>
      <c r="L157" s="36">
        <v>19478</v>
      </c>
      <c r="M157" s="36" t="s">
        <v>352</v>
      </c>
      <c r="N157" s="36">
        <v>100</v>
      </c>
      <c r="O157" s="43">
        <v>41.853526645768028</v>
      </c>
      <c r="P157" s="36">
        <v>86.658573667711593</v>
      </c>
      <c r="Q157" s="43">
        <v>51.333859169427285</v>
      </c>
      <c r="R157" s="43">
        <v>29.104994055645268</v>
      </c>
      <c r="S157" s="43">
        <v>9.9466761762469975</v>
      </c>
      <c r="T157" s="36">
        <v>19478</v>
      </c>
      <c r="U157" s="36" t="s">
        <v>352</v>
      </c>
      <c r="V157" s="36">
        <v>100</v>
      </c>
      <c r="W157" s="36">
        <v>1</v>
      </c>
      <c r="X157" s="102">
        <v>2</v>
      </c>
      <c r="Y157" s="29">
        <v>14.88917525773196</v>
      </c>
      <c r="Z157" s="45">
        <v>6.5</v>
      </c>
      <c r="AA157" s="47">
        <v>85</v>
      </c>
      <c r="AB157" s="50">
        <v>23571</v>
      </c>
      <c r="AC157" s="50" t="s">
        <v>161</v>
      </c>
      <c r="AD157" s="50">
        <v>100</v>
      </c>
      <c r="AE157" s="42">
        <v>12</v>
      </c>
      <c r="AF157" s="43">
        <v>1.7</v>
      </c>
      <c r="AG157" s="45">
        <v>75</v>
      </c>
      <c r="AH157" s="64">
        <v>0.11</v>
      </c>
      <c r="AI157" s="50">
        <v>39369</v>
      </c>
      <c r="AJ157" s="50" t="s">
        <v>391</v>
      </c>
      <c r="AK157" s="50">
        <v>100</v>
      </c>
      <c r="AL157" s="34">
        <v>15</v>
      </c>
      <c r="AM157" s="43">
        <v>0.8</v>
      </c>
      <c r="AN157" s="35">
        <v>0.39630094043887149</v>
      </c>
      <c r="AO157" s="35">
        <v>0.65666144200626941</v>
      </c>
      <c r="AP157" s="35">
        <v>1.2718495297805643</v>
      </c>
      <c r="AQ157" s="84">
        <v>1.529905956112853</v>
      </c>
      <c r="AR157" s="46">
        <v>19478</v>
      </c>
      <c r="AS157" s="50" t="s">
        <v>352</v>
      </c>
      <c r="AT157" s="50">
        <v>100</v>
      </c>
      <c r="AU157" s="44">
        <v>-1</v>
      </c>
      <c r="AV157" s="48">
        <v>-1</v>
      </c>
      <c r="AW157" s="48">
        <v>-1</v>
      </c>
      <c r="AX157" s="48">
        <v>-1</v>
      </c>
      <c r="AY157" s="48">
        <v>-1</v>
      </c>
      <c r="AZ157" s="45">
        <v>1</v>
      </c>
      <c r="BA157" s="43">
        <v>80</v>
      </c>
      <c r="BB157" s="45">
        <v>1.2</v>
      </c>
      <c r="BC157" s="45">
        <v>-1</v>
      </c>
      <c r="BD157" s="45">
        <v>-1</v>
      </c>
      <c r="BE157" s="45">
        <v>-1</v>
      </c>
      <c r="BF157" s="45">
        <v>100</v>
      </c>
      <c r="BG157" s="45">
        <v>-1</v>
      </c>
      <c r="BH157" s="45">
        <v>-1</v>
      </c>
      <c r="BI157" s="45">
        <v>-1</v>
      </c>
      <c r="BJ157" s="28">
        <v>1</v>
      </c>
      <c r="BK157" s="56">
        <v>66.160914040587357</v>
      </c>
      <c r="BL157" s="45">
        <v>0.6</v>
      </c>
      <c r="BM157" s="45">
        <v>3</v>
      </c>
      <c r="BN157" s="56">
        <v>52.91854479458835</v>
      </c>
      <c r="BO157" s="45">
        <v>0.3</v>
      </c>
    </row>
    <row r="158" spans="1:67" s="50" customFormat="1" ht="15" customHeight="1" x14ac:dyDescent="0.25">
      <c r="A158" s="50">
        <v>157</v>
      </c>
      <c r="B158" s="52" t="s">
        <v>264</v>
      </c>
      <c r="C158" s="68">
        <v>915091</v>
      </c>
      <c r="D158" s="22" t="s">
        <v>202</v>
      </c>
      <c r="E158" s="24" t="s">
        <v>353</v>
      </c>
      <c r="F158" s="39">
        <v>23</v>
      </c>
      <c r="G158" s="36">
        <v>23</v>
      </c>
      <c r="H158" s="36">
        <v>31.065972222222225</v>
      </c>
      <c r="I158" s="36">
        <v>67</v>
      </c>
      <c r="J158" s="36">
        <v>26.841363031110031</v>
      </c>
      <c r="K158" s="36">
        <v>12</v>
      </c>
      <c r="L158" s="55" t="s">
        <v>387</v>
      </c>
      <c r="M158" s="36" t="s">
        <v>386</v>
      </c>
      <c r="N158" s="36" t="s">
        <v>156</v>
      </c>
      <c r="O158" s="36">
        <v>12.988235294117647</v>
      </c>
      <c r="P158" s="36">
        <v>72.878431372549016</v>
      </c>
      <c r="Q158" s="36">
        <v>36.038793195525393</v>
      </c>
      <c r="R158" s="36">
        <v>15.571964653189687</v>
      </c>
      <c r="S158" s="36">
        <v>8.2726062220070204</v>
      </c>
      <c r="T158" s="36" t="s">
        <v>387</v>
      </c>
      <c r="U158" s="36" t="s">
        <v>386</v>
      </c>
      <c r="V158" s="36" t="s">
        <v>156</v>
      </c>
      <c r="W158" s="36">
        <v>1</v>
      </c>
      <c r="X158" s="102">
        <v>2</v>
      </c>
      <c r="Y158" s="29">
        <v>32</v>
      </c>
      <c r="Z158" s="45">
        <v>4</v>
      </c>
      <c r="AA158" s="47">
        <v>85</v>
      </c>
      <c r="AB158" s="50">
        <v>23571</v>
      </c>
      <c r="AC158" s="50" t="s">
        <v>161</v>
      </c>
      <c r="AD158" s="50">
        <v>100</v>
      </c>
      <c r="AE158" s="42">
        <v>25</v>
      </c>
      <c r="AF158" s="42">
        <v>1.2</v>
      </c>
      <c r="AG158" s="42">
        <v>80</v>
      </c>
      <c r="AH158" s="42">
        <v>0.22</v>
      </c>
      <c r="AI158" s="20" t="s">
        <v>395</v>
      </c>
      <c r="AJ158" s="50" t="s">
        <v>394</v>
      </c>
      <c r="AK158" s="50" t="s">
        <v>156</v>
      </c>
      <c r="AL158" s="82">
        <v>17.042361111111113</v>
      </c>
      <c r="AM158" s="43">
        <v>2.8</v>
      </c>
      <c r="AN158" s="43">
        <v>0.15732638888888889</v>
      </c>
      <c r="AO158" s="43">
        <v>0.42965277777777772</v>
      </c>
      <c r="AP158" s="43">
        <v>0.68760416666666668</v>
      </c>
      <c r="AQ158" s="86">
        <v>1.3260837968817458</v>
      </c>
      <c r="AR158" s="46" t="s">
        <v>387</v>
      </c>
      <c r="AS158" s="50" t="s">
        <v>386</v>
      </c>
      <c r="AT158" s="50" t="s">
        <v>156</v>
      </c>
      <c r="AU158" s="44">
        <v>3</v>
      </c>
      <c r="AV158" s="45">
        <v>0.2</v>
      </c>
      <c r="AW158" s="45">
        <v>2</v>
      </c>
      <c r="AX158" s="45">
        <v>13</v>
      </c>
      <c r="AY158" s="45">
        <v>0.6</v>
      </c>
      <c r="AZ158" s="45">
        <v>1</v>
      </c>
      <c r="BA158" s="43">
        <v>27</v>
      </c>
      <c r="BB158" s="45">
        <v>0.8</v>
      </c>
      <c r="BC158" s="45">
        <v>50</v>
      </c>
      <c r="BD158" s="45">
        <v>-1</v>
      </c>
      <c r="BE158" s="45">
        <v>50</v>
      </c>
      <c r="BF158" s="45">
        <v>-1</v>
      </c>
      <c r="BG158" s="45">
        <v>-1</v>
      </c>
      <c r="BH158" s="45">
        <v>-1</v>
      </c>
      <c r="BI158" s="45">
        <v>-1</v>
      </c>
      <c r="BJ158" s="28">
        <v>1</v>
      </c>
      <c r="BK158" s="43">
        <v>29</v>
      </c>
      <c r="BL158" s="45">
        <v>0.7</v>
      </c>
      <c r="BM158" s="45">
        <v>3</v>
      </c>
      <c r="BN158" s="45">
        <v>28</v>
      </c>
      <c r="BO158" s="45">
        <v>0.8</v>
      </c>
    </row>
    <row r="159" spans="1:67" s="50" customFormat="1" ht="15" customHeight="1" x14ac:dyDescent="0.25">
      <c r="A159" s="50">
        <v>158</v>
      </c>
      <c r="B159" s="52" t="s">
        <v>265</v>
      </c>
      <c r="C159" s="68">
        <v>925091</v>
      </c>
      <c r="D159" s="22" t="s">
        <v>202</v>
      </c>
      <c r="E159" s="24" t="s">
        <v>353</v>
      </c>
      <c r="F159" s="39">
        <v>58</v>
      </c>
      <c r="G159" s="36">
        <v>58</v>
      </c>
      <c r="H159" s="36">
        <v>78.340277777777786</v>
      </c>
      <c r="I159" s="36">
        <v>77</v>
      </c>
      <c r="J159" s="36">
        <v>30.847536617842874</v>
      </c>
      <c r="K159" s="36">
        <v>12</v>
      </c>
      <c r="L159" s="36" t="s">
        <v>387</v>
      </c>
      <c r="M159" s="36" t="s">
        <v>386</v>
      </c>
      <c r="N159" s="36" t="s">
        <v>156</v>
      </c>
      <c r="O159" s="36">
        <v>32.752941176470593</v>
      </c>
      <c r="P159" s="36">
        <v>183.78039215686277</v>
      </c>
      <c r="Q159" s="36">
        <v>41.417717553066502</v>
      </c>
      <c r="R159" s="36">
        <v>17.896138482023968</v>
      </c>
      <c r="S159" s="36">
        <v>9</v>
      </c>
      <c r="T159" s="36" t="s">
        <v>387</v>
      </c>
      <c r="U159" s="36" t="s">
        <v>386</v>
      </c>
      <c r="V159" s="36" t="s">
        <v>156</v>
      </c>
      <c r="W159" s="36">
        <v>1</v>
      </c>
      <c r="X159" s="102">
        <v>2</v>
      </c>
      <c r="Y159" s="29">
        <v>21</v>
      </c>
      <c r="Z159" s="45">
        <v>4</v>
      </c>
      <c r="AA159" s="47">
        <v>85</v>
      </c>
      <c r="AB159" s="50">
        <v>23571</v>
      </c>
      <c r="AC159" s="50" t="s">
        <v>161</v>
      </c>
      <c r="AD159" s="50">
        <v>100</v>
      </c>
      <c r="AE159" s="42">
        <v>16</v>
      </c>
      <c r="AF159" s="42">
        <v>1.2</v>
      </c>
      <c r="AG159" s="42">
        <v>80</v>
      </c>
      <c r="AH159" s="42">
        <v>0.15</v>
      </c>
      <c r="AI159" s="50" t="s">
        <v>395</v>
      </c>
      <c r="AJ159" s="50" t="s">
        <v>394</v>
      </c>
      <c r="AK159" s="50" t="s">
        <v>156</v>
      </c>
      <c r="AL159" s="82">
        <v>42.976388888888891</v>
      </c>
      <c r="AM159" s="43">
        <v>2.8</v>
      </c>
      <c r="AN159" s="43">
        <v>0.39673611111111112</v>
      </c>
      <c r="AO159" s="43">
        <v>1.0834722222222222</v>
      </c>
      <c r="AP159" s="43">
        <v>1.7339583333333335</v>
      </c>
      <c r="AQ159" s="86">
        <v>3.3440374008322284</v>
      </c>
      <c r="AR159" s="46" t="s">
        <v>387</v>
      </c>
      <c r="AS159" s="50" t="s">
        <v>386</v>
      </c>
      <c r="AT159" s="50" t="s">
        <v>156</v>
      </c>
      <c r="AU159" s="44">
        <v>3</v>
      </c>
      <c r="AV159" s="45">
        <v>0.2</v>
      </c>
      <c r="AW159" s="45">
        <v>2</v>
      </c>
      <c r="AX159" s="45">
        <v>13</v>
      </c>
      <c r="AY159" s="45">
        <v>0.6</v>
      </c>
      <c r="AZ159" s="45">
        <v>1</v>
      </c>
      <c r="BA159" s="43">
        <v>67</v>
      </c>
      <c r="BB159" s="45">
        <v>0.8</v>
      </c>
      <c r="BC159" s="45">
        <v>50</v>
      </c>
      <c r="BD159" s="45">
        <v>-1</v>
      </c>
      <c r="BE159" s="45">
        <v>50</v>
      </c>
      <c r="BF159" s="45">
        <v>-1</v>
      </c>
      <c r="BG159" s="45">
        <v>-1</v>
      </c>
      <c r="BH159" s="45">
        <v>-1</v>
      </c>
      <c r="BI159" s="45">
        <v>-1</v>
      </c>
      <c r="BJ159" s="28">
        <v>1</v>
      </c>
      <c r="BK159" s="43">
        <v>73</v>
      </c>
      <c r="BL159" s="45">
        <v>0.7</v>
      </c>
      <c r="BM159" s="45">
        <v>3</v>
      </c>
      <c r="BN159" s="45">
        <v>70</v>
      </c>
      <c r="BO159" s="45">
        <v>0.8</v>
      </c>
    </row>
    <row r="160" spans="1:67" s="50" customFormat="1" ht="15" customHeight="1" x14ac:dyDescent="0.25">
      <c r="A160" s="50">
        <v>159</v>
      </c>
      <c r="B160" s="52" t="s">
        <v>266</v>
      </c>
      <c r="C160" s="68">
        <v>935091</v>
      </c>
      <c r="D160" s="22" t="s">
        <v>202</v>
      </c>
      <c r="E160" s="24" t="s">
        <v>353</v>
      </c>
      <c r="F160" s="39">
        <v>74</v>
      </c>
      <c r="G160" s="36">
        <v>74</v>
      </c>
      <c r="H160" s="36">
        <v>99.9513888888889</v>
      </c>
      <c r="I160" s="36">
        <v>94</v>
      </c>
      <c r="J160" s="36">
        <v>37.658031715288701</v>
      </c>
      <c r="K160" s="36">
        <v>12</v>
      </c>
      <c r="L160" s="36" t="s">
        <v>387</v>
      </c>
      <c r="M160" s="36" t="s">
        <v>386</v>
      </c>
      <c r="N160" s="36" t="s">
        <v>156</v>
      </c>
      <c r="O160" s="36">
        <v>41.788235294117648</v>
      </c>
      <c r="P160" s="36">
        <v>234.47843137254901</v>
      </c>
      <c r="Q160" s="36">
        <v>50.561888960886378</v>
      </c>
      <c r="R160" s="36">
        <v>21.847233991042245</v>
      </c>
      <c r="S160" s="36">
        <v>7</v>
      </c>
      <c r="T160" s="36" t="s">
        <v>387</v>
      </c>
      <c r="U160" s="36" t="s">
        <v>386</v>
      </c>
      <c r="V160" s="36" t="s">
        <v>156</v>
      </c>
      <c r="W160" s="36">
        <v>1</v>
      </c>
      <c r="X160" s="102">
        <v>2</v>
      </c>
      <c r="Y160" s="29">
        <v>15</v>
      </c>
      <c r="Z160" s="45">
        <v>4</v>
      </c>
      <c r="AA160" s="47">
        <v>85</v>
      </c>
      <c r="AB160" s="50">
        <v>23571</v>
      </c>
      <c r="AC160" s="50" t="s">
        <v>161</v>
      </c>
      <c r="AD160" s="50">
        <v>100</v>
      </c>
      <c r="AE160" s="42">
        <v>11</v>
      </c>
      <c r="AF160" s="42">
        <v>1.2</v>
      </c>
      <c r="AG160" s="42">
        <v>80</v>
      </c>
      <c r="AH160" s="42">
        <v>0.1</v>
      </c>
      <c r="AI160" s="50" t="s">
        <v>395</v>
      </c>
      <c r="AJ160" s="50" t="s">
        <v>394</v>
      </c>
      <c r="AK160" s="50" t="s">
        <v>156</v>
      </c>
      <c r="AL160" s="82">
        <v>54.831944444444453</v>
      </c>
      <c r="AM160" s="43">
        <v>2.8</v>
      </c>
      <c r="AN160" s="43">
        <v>0.50618055555555552</v>
      </c>
      <c r="AO160" s="43">
        <v>1.3823611111111107</v>
      </c>
      <c r="AP160" s="43">
        <v>2.2122916666666668</v>
      </c>
      <c r="AQ160" s="86">
        <v>4.2665304769238777</v>
      </c>
      <c r="AR160" s="46" t="s">
        <v>387</v>
      </c>
      <c r="AS160" s="50" t="s">
        <v>386</v>
      </c>
      <c r="AT160" s="50" t="s">
        <v>156</v>
      </c>
      <c r="AU160" s="44">
        <v>3</v>
      </c>
      <c r="AV160" s="45">
        <v>0.2</v>
      </c>
      <c r="AW160" s="45">
        <v>2</v>
      </c>
      <c r="AX160" s="45">
        <v>13</v>
      </c>
      <c r="AY160" s="45">
        <v>0.6</v>
      </c>
      <c r="AZ160" s="45">
        <v>1</v>
      </c>
      <c r="BA160" s="43">
        <v>86</v>
      </c>
      <c r="BB160" s="45">
        <v>0.8</v>
      </c>
      <c r="BC160" s="45">
        <v>50</v>
      </c>
      <c r="BD160" s="45">
        <v>-1</v>
      </c>
      <c r="BE160" s="45">
        <v>50</v>
      </c>
      <c r="BF160" s="45">
        <v>-1</v>
      </c>
      <c r="BG160" s="45">
        <v>-1</v>
      </c>
      <c r="BH160" s="45">
        <v>-1</v>
      </c>
      <c r="BI160" s="45">
        <v>-1</v>
      </c>
      <c r="BJ160" s="28">
        <v>1</v>
      </c>
      <c r="BK160" s="43">
        <v>93</v>
      </c>
      <c r="BL160" s="45">
        <v>0.7</v>
      </c>
      <c r="BM160" s="45">
        <v>3</v>
      </c>
      <c r="BN160" s="45">
        <v>90</v>
      </c>
      <c r="BO160" s="45">
        <v>0.8</v>
      </c>
    </row>
    <row r="161" spans="1:67" s="50" customFormat="1" ht="15" customHeight="1" x14ac:dyDescent="0.25">
      <c r="A161" s="50">
        <v>160</v>
      </c>
      <c r="B161" s="52" t="s">
        <v>267</v>
      </c>
      <c r="C161" s="72">
        <v>915092</v>
      </c>
      <c r="D161" s="22" t="s">
        <v>202</v>
      </c>
      <c r="E161" s="76" t="s">
        <v>354</v>
      </c>
      <c r="F161" s="39">
        <v>25.3</v>
      </c>
      <c r="G161" s="36">
        <v>25.3</v>
      </c>
      <c r="H161" s="36">
        <v>88.55</v>
      </c>
      <c r="I161" s="43">
        <v>56.6</v>
      </c>
      <c r="J161" s="36">
        <v>19.976470588235294</v>
      </c>
      <c r="K161" s="36">
        <v>8.6564705882352939</v>
      </c>
      <c r="L161" s="36">
        <v>183412</v>
      </c>
      <c r="M161" s="36" t="s">
        <v>398</v>
      </c>
      <c r="N161" s="36">
        <v>100</v>
      </c>
      <c r="O161" s="36">
        <v>6.6412499999999994</v>
      </c>
      <c r="P161" s="36">
        <v>151.79999999999998</v>
      </c>
      <c r="Q161" s="36">
        <v>32.461764705882352</v>
      </c>
      <c r="R161" s="36">
        <v>7.4911764705882353</v>
      </c>
      <c r="S161" s="36">
        <v>2.6439446366782007</v>
      </c>
      <c r="T161" s="36">
        <v>183412</v>
      </c>
      <c r="U161" s="36" t="s">
        <v>398</v>
      </c>
      <c r="V161" s="36">
        <v>100</v>
      </c>
      <c r="W161" s="36">
        <v>1</v>
      </c>
      <c r="X161" s="102">
        <v>2</v>
      </c>
      <c r="Y161" s="29">
        <v>41.078571428571429</v>
      </c>
      <c r="Z161" s="47">
        <v>7.6</v>
      </c>
      <c r="AA161" s="47">
        <v>90</v>
      </c>
      <c r="AB161" s="50">
        <v>22476</v>
      </c>
      <c r="AC161" s="50" t="s">
        <v>157</v>
      </c>
      <c r="AD161" s="50">
        <v>100</v>
      </c>
      <c r="AE161" s="42">
        <v>16</v>
      </c>
      <c r="AF161" s="43">
        <v>1.3</v>
      </c>
      <c r="AG161" s="45">
        <v>80</v>
      </c>
      <c r="AH161" s="35">
        <v>0.45</v>
      </c>
      <c r="AI161" s="50">
        <v>40529</v>
      </c>
      <c r="AJ161" s="50" t="s">
        <v>356</v>
      </c>
      <c r="AK161" s="50">
        <v>100</v>
      </c>
      <c r="AL161" s="34">
        <v>14.547499999999999</v>
      </c>
      <c r="AM161" s="43">
        <v>1</v>
      </c>
      <c r="AN161" s="35">
        <v>0.18975</v>
      </c>
      <c r="AO161" s="35">
        <v>0.51864999999999983</v>
      </c>
      <c r="AP161" s="35">
        <v>1.0626</v>
      </c>
      <c r="AQ161" s="83">
        <v>3.3</v>
      </c>
      <c r="AR161" s="46">
        <v>183412</v>
      </c>
      <c r="AS161" s="50" t="s">
        <v>398</v>
      </c>
      <c r="AT161" s="50">
        <v>100</v>
      </c>
      <c r="AU161" s="44">
        <v>-1</v>
      </c>
      <c r="AV161" s="48">
        <v>-1</v>
      </c>
      <c r="AW161" s="45">
        <v>1</v>
      </c>
      <c r="AX161" s="45">
        <v>63</v>
      </c>
      <c r="AY161" s="45">
        <v>2.2999999999999998</v>
      </c>
      <c r="AZ161" s="45">
        <v>1</v>
      </c>
      <c r="BA161" s="45">
        <v>25.3</v>
      </c>
      <c r="BB161" s="35">
        <v>0.7</v>
      </c>
      <c r="BC161" s="45">
        <v>-1</v>
      </c>
      <c r="BD161" s="45">
        <v>-1</v>
      </c>
      <c r="BE161" s="45">
        <v>100</v>
      </c>
      <c r="BF161" s="45">
        <v>-1</v>
      </c>
      <c r="BG161" s="45">
        <v>-1</v>
      </c>
      <c r="BH161" s="45">
        <v>-1</v>
      </c>
      <c r="BI161" s="45">
        <v>-1</v>
      </c>
      <c r="BJ161" s="28">
        <v>2</v>
      </c>
      <c r="BK161" s="45">
        <v>31.625</v>
      </c>
      <c r="BL161" s="43">
        <v>5</v>
      </c>
      <c r="BM161" s="45">
        <v>4</v>
      </c>
      <c r="BN161" s="45">
        <v>31.625</v>
      </c>
      <c r="BO161" s="43">
        <v>5</v>
      </c>
    </row>
    <row r="162" spans="1:67" s="50" customFormat="1" ht="15" customHeight="1" x14ac:dyDescent="0.25">
      <c r="A162" s="50">
        <v>161</v>
      </c>
      <c r="B162" s="52" t="s">
        <v>268</v>
      </c>
      <c r="C162" s="72">
        <v>925092</v>
      </c>
      <c r="D162" s="22" t="s">
        <v>202</v>
      </c>
      <c r="E162" s="76" t="s">
        <v>354</v>
      </c>
      <c r="F162" s="39">
        <v>55</v>
      </c>
      <c r="G162" s="36">
        <v>55</v>
      </c>
      <c r="H162" s="36">
        <v>192.5</v>
      </c>
      <c r="I162" s="43">
        <v>63.1</v>
      </c>
      <c r="J162" s="36">
        <v>22.27058823529412</v>
      </c>
      <c r="K162" s="36">
        <v>9</v>
      </c>
      <c r="L162" s="36">
        <v>183412</v>
      </c>
      <c r="M162" s="36" t="s">
        <v>398</v>
      </c>
      <c r="N162" s="36">
        <v>100</v>
      </c>
      <c r="O162" s="36">
        <v>14.437499999999998</v>
      </c>
      <c r="P162" s="36">
        <v>330</v>
      </c>
      <c r="Q162" s="36">
        <v>36.189705882352939</v>
      </c>
      <c r="R162" s="36">
        <v>8.3514705882352942</v>
      </c>
      <c r="S162" s="36">
        <v>2.9475778546712808</v>
      </c>
      <c r="T162" s="36">
        <v>183412</v>
      </c>
      <c r="U162" s="36" t="s">
        <v>398</v>
      </c>
      <c r="V162" s="36">
        <v>100</v>
      </c>
      <c r="W162" s="36">
        <v>1</v>
      </c>
      <c r="X162" s="102">
        <v>2</v>
      </c>
      <c r="Y162" s="29">
        <v>30.25</v>
      </c>
      <c r="Z162" s="47">
        <v>7.6</v>
      </c>
      <c r="AA162" s="47">
        <v>90</v>
      </c>
      <c r="AB162" s="50">
        <v>22476</v>
      </c>
      <c r="AC162" s="50" t="s">
        <v>157</v>
      </c>
      <c r="AD162" s="50">
        <v>100</v>
      </c>
      <c r="AE162" s="42">
        <v>12</v>
      </c>
      <c r="AF162" s="43">
        <v>1.3</v>
      </c>
      <c r="AG162" s="45">
        <v>80</v>
      </c>
      <c r="AH162" s="35">
        <v>0.33</v>
      </c>
      <c r="AI162" s="50">
        <v>40529</v>
      </c>
      <c r="AJ162" s="50" t="s">
        <v>356</v>
      </c>
      <c r="AK162" s="50">
        <v>100</v>
      </c>
      <c r="AL162" s="34">
        <v>31.625</v>
      </c>
      <c r="AM162" s="43">
        <v>1</v>
      </c>
      <c r="AN162" s="35">
        <v>0.41249999999999998</v>
      </c>
      <c r="AO162" s="35">
        <v>1.1274999999999997</v>
      </c>
      <c r="AP162" s="35">
        <v>2.31</v>
      </c>
      <c r="AQ162" s="83">
        <v>7.3</v>
      </c>
      <c r="AR162" s="46">
        <v>183412</v>
      </c>
      <c r="AS162" s="50" t="s">
        <v>398</v>
      </c>
      <c r="AT162" s="50">
        <v>100</v>
      </c>
      <c r="AU162" s="44">
        <v>-1</v>
      </c>
      <c r="AV162" s="48">
        <v>-1</v>
      </c>
      <c r="AW162" s="45">
        <v>1</v>
      </c>
      <c r="AX162" s="45">
        <v>63</v>
      </c>
      <c r="AY162" s="45">
        <v>2.2999999999999998</v>
      </c>
      <c r="AZ162" s="45">
        <v>1</v>
      </c>
      <c r="BA162" s="45">
        <v>55</v>
      </c>
      <c r="BB162" s="35">
        <v>0.7</v>
      </c>
      <c r="BC162" s="45">
        <v>-1</v>
      </c>
      <c r="BD162" s="45">
        <v>-1</v>
      </c>
      <c r="BE162" s="45">
        <v>100</v>
      </c>
      <c r="BF162" s="45">
        <v>-1</v>
      </c>
      <c r="BG162" s="45">
        <v>-1</v>
      </c>
      <c r="BH162" s="45">
        <v>-1</v>
      </c>
      <c r="BI162" s="45">
        <v>-1</v>
      </c>
      <c r="BJ162" s="28">
        <v>2</v>
      </c>
      <c r="BK162" s="45">
        <v>100</v>
      </c>
      <c r="BL162" s="43">
        <v>5</v>
      </c>
      <c r="BM162" s="45">
        <v>4</v>
      </c>
      <c r="BN162" s="45">
        <v>68.749999999999986</v>
      </c>
      <c r="BO162" s="43">
        <v>5</v>
      </c>
    </row>
    <row r="163" spans="1:67" s="50" customFormat="1" x14ac:dyDescent="0.25">
      <c r="A163" s="50">
        <v>162</v>
      </c>
      <c r="B163" s="52" t="s">
        <v>269</v>
      </c>
      <c r="C163" s="68">
        <v>915100</v>
      </c>
      <c r="D163" s="22" t="s">
        <v>202</v>
      </c>
      <c r="E163" s="17" t="s">
        <v>134</v>
      </c>
      <c r="F163" s="39">
        <v>24</v>
      </c>
      <c r="G163" s="36">
        <v>24</v>
      </c>
      <c r="H163" s="36">
        <v>19.182439024390245</v>
      </c>
      <c r="I163" s="36">
        <v>66</v>
      </c>
      <c r="J163" s="36">
        <v>33.242290748898675</v>
      </c>
      <c r="K163" s="36">
        <v>15.506607929515418</v>
      </c>
      <c r="L163" s="55" t="s">
        <v>397</v>
      </c>
      <c r="M163" s="36" t="s">
        <v>396</v>
      </c>
      <c r="N163" s="55" t="s">
        <v>156</v>
      </c>
      <c r="O163" s="36">
        <v>13.170731707317074</v>
      </c>
      <c r="P163" s="36">
        <v>52.682926829268297</v>
      </c>
      <c r="Q163" s="36">
        <v>41.867841409691628</v>
      </c>
      <c r="R163" s="36">
        <v>17.677533039647574</v>
      </c>
      <c r="S163" s="36">
        <v>9.4551541850220246</v>
      </c>
      <c r="T163" s="36" t="s">
        <v>397</v>
      </c>
      <c r="U163" s="36" t="s">
        <v>396</v>
      </c>
      <c r="V163" s="36" t="s">
        <v>156</v>
      </c>
      <c r="W163" s="36">
        <v>-1</v>
      </c>
      <c r="X163" s="102">
        <v>-1</v>
      </c>
      <c r="Y163" s="29">
        <v>38.333577008106111</v>
      </c>
      <c r="Z163" s="47">
        <v>6.4</v>
      </c>
      <c r="AA163" s="47">
        <v>85</v>
      </c>
      <c r="AB163" s="50">
        <v>23700</v>
      </c>
      <c r="AC163" s="50" t="s">
        <v>393</v>
      </c>
      <c r="AD163" s="50">
        <v>100</v>
      </c>
      <c r="AE163" s="42">
        <v>18</v>
      </c>
      <c r="AF163" s="43">
        <v>1.5</v>
      </c>
      <c r="AG163" s="45">
        <v>80</v>
      </c>
      <c r="AH163" s="35">
        <v>0.14997229182019159</v>
      </c>
      <c r="AI163" s="50" t="s">
        <v>395</v>
      </c>
      <c r="AJ163" s="50" t="s">
        <v>394</v>
      </c>
      <c r="AK163" s="50" t="s">
        <v>156</v>
      </c>
      <c r="AL163" s="34">
        <v>9.073170731707318</v>
      </c>
      <c r="AM163" s="43">
        <v>2.2000000000000002</v>
      </c>
      <c r="AN163" s="35">
        <v>0.18731707317073173</v>
      </c>
      <c r="AO163" s="35">
        <v>0.33073170731707319</v>
      </c>
      <c r="AP163" s="35">
        <v>0.48878048780487804</v>
      </c>
      <c r="AQ163" s="83">
        <v>0.7</v>
      </c>
      <c r="AR163" s="46" t="s">
        <v>397</v>
      </c>
      <c r="AS163" s="50" t="s">
        <v>396</v>
      </c>
      <c r="AT163" s="50" t="s">
        <v>156</v>
      </c>
      <c r="AU163" s="44">
        <v>1.7</v>
      </c>
      <c r="AV163" s="45">
        <v>0.2</v>
      </c>
      <c r="AW163" s="45">
        <v>2</v>
      </c>
      <c r="AX163" s="45">
        <v>2.5</v>
      </c>
      <c r="AY163" s="45">
        <v>0.6</v>
      </c>
      <c r="AZ163" s="45">
        <v>1</v>
      </c>
      <c r="BA163" s="45">
        <v>27</v>
      </c>
      <c r="BB163" s="35">
        <v>1.5</v>
      </c>
      <c r="BC163" s="45">
        <v>50</v>
      </c>
      <c r="BD163" s="45">
        <v>-1</v>
      </c>
      <c r="BE163" s="45">
        <v>-1</v>
      </c>
      <c r="BF163" s="45">
        <v>50</v>
      </c>
      <c r="BG163" s="45">
        <v>-1</v>
      </c>
      <c r="BH163" s="45">
        <v>-1</v>
      </c>
      <c r="BI163" s="45">
        <v>-1</v>
      </c>
      <c r="BJ163" s="28">
        <v>1</v>
      </c>
      <c r="BK163" s="45">
        <v>28</v>
      </c>
      <c r="BL163" s="43">
        <v>0.7</v>
      </c>
      <c r="BM163" s="45">
        <v>3</v>
      </c>
      <c r="BN163" s="45">
        <v>24</v>
      </c>
      <c r="BO163" s="43">
        <v>0.7</v>
      </c>
    </row>
    <row r="164" spans="1:67" s="50" customFormat="1" x14ac:dyDescent="0.25">
      <c r="A164" s="50">
        <v>163</v>
      </c>
      <c r="B164" s="52" t="s">
        <v>270</v>
      </c>
      <c r="C164" s="68">
        <v>925100</v>
      </c>
      <c r="D164" s="22" t="s">
        <v>202</v>
      </c>
      <c r="E164" s="17" t="s">
        <v>134</v>
      </c>
      <c r="F164" s="39">
        <v>58</v>
      </c>
      <c r="G164" s="36">
        <v>58</v>
      </c>
      <c r="H164" s="36">
        <v>46.357560975609765</v>
      </c>
      <c r="I164" s="36">
        <v>77</v>
      </c>
      <c r="J164" s="36">
        <v>38.782672540381789</v>
      </c>
      <c r="K164" s="36">
        <v>18.091042584434657</v>
      </c>
      <c r="L164" s="55" t="s">
        <v>397</v>
      </c>
      <c r="M164" s="36" t="s">
        <v>396</v>
      </c>
      <c r="N164" s="55" t="s">
        <v>156</v>
      </c>
      <c r="O164" s="36">
        <v>31.829268292682929</v>
      </c>
      <c r="P164" s="36">
        <v>127.31707317073172</v>
      </c>
      <c r="Q164" s="36">
        <v>48.845814977973568</v>
      </c>
      <c r="R164" s="36">
        <v>20.623788546255504</v>
      </c>
      <c r="S164" s="36">
        <v>11.031013215859028</v>
      </c>
      <c r="T164" s="36" t="s">
        <v>397</v>
      </c>
      <c r="U164" s="36" t="s">
        <v>396</v>
      </c>
      <c r="V164" s="36" t="s">
        <v>156</v>
      </c>
      <c r="W164" s="36">
        <v>-1</v>
      </c>
      <c r="X164" s="102">
        <v>-1</v>
      </c>
      <c r="Y164" s="29">
        <v>26.492745762711863</v>
      </c>
      <c r="Z164" s="47">
        <v>6.4</v>
      </c>
      <c r="AA164" s="47">
        <v>85</v>
      </c>
      <c r="AB164" s="50">
        <v>23700</v>
      </c>
      <c r="AC164" s="50" t="s">
        <v>393</v>
      </c>
      <c r="AD164" s="50">
        <v>100</v>
      </c>
      <c r="AE164" s="42">
        <v>12</v>
      </c>
      <c r="AF164" s="43">
        <v>1.5</v>
      </c>
      <c r="AG164" s="45">
        <v>80</v>
      </c>
      <c r="AH164" s="35">
        <v>0.10364745762711867</v>
      </c>
      <c r="AI164" s="50" t="s">
        <v>395</v>
      </c>
      <c r="AJ164" s="50" t="s">
        <v>394</v>
      </c>
      <c r="AK164" s="50" t="s">
        <v>156</v>
      </c>
      <c r="AL164" s="34">
        <v>21.926829268292682</v>
      </c>
      <c r="AM164" s="43">
        <v>2.2000000000000002</v>
      </c>
      <c r="AN164" s="35">
        <v>0.45268292682926831</v>
      </c>
      <c r="AO164" s="35">
        <v>0.79926829268292676</v>
      </c>
      <c r="AP164" s="35">
        <v>1.1812195121951221</v>
      </c>
      <c r="AQ164" s="83">
        <v>1.6</v>
      </c>
      <c r="AR164" s="46" t="s">
        <v>397</v>
      </c>
      <c r="AS164" s="50" t="s">
        <v>396</v>
      </c>
      <c r="AT164" s="50" t="s">
        <v>156</v>
      </c>
      <c r="AU164" s="44">
        <v>1.7</v>
      </c>
      <c r="AV164" s="45">
        <v>0.2</v>
      </c>
      <c r="AW164" s="45">
        <v>2</v>
      </c>
      <c r="AX164" s="45">
        <v>2.5</v>
      </c>
      <c r="AY164" s="45">
        <v>0.6</v>
      </c>
      <c r="AZ164" s="45">
        <v>1</v>
      </c>
      <c r="BA164" s="45">
        <v>66</v>
      </c>
      <c r="BB164" s="35">
        <v>1.5</v>
      </c>
      <c r="BC164" s="45">
        <v>50</v>
      </c>
      <c r="BD164" s="45">
        <v>-1</v>
      </c>
      <c r="BE164" s="45">
        <v>-1</v>
      </c>
      <c r="BF164" s="45">
        <v>50</v>
      </c>
      <c r="BG164" s="45">
        <v>-1</v>
      </c>
      <c r="BH164" s="45">
        <v>-1</v>
      </c>
      <c r="BI164" s="45">
        <v>-1</v>
      </c>
      <c r="BJ164" s="28">
        <v>1</v>
      </c>
      <c r="BK164" s="45">
        <v>67</v>
      </c>
      <c r="BL164" s="43">
        <v>0.7</v>
      </c>
      <c r="BM164" s="45">
        <v>3</v>
      </c>
      <c r="BN164" s="45">
        <v>58</v>
      </c>
      <c r="BO164" s="43">
        <v>0.7</v>
      </c>
    </row>
    <row r="165" spans="1:67" s="50" customFormat="1" x14ac:dyDescent="0.25">
      <c r="A165" s="50">
        <v>164</v>
      </c>
      <c r="B165" s="52" t="s">
        <v>271</v>
      </c>
      <c r="C165" s="68">
        <v>935100</v>
      </c>
      <c r="D165" s="22" t="s">
        <v>202</v>
      </c>
      <c r="E165" s="17" t="s">
        <v>134</v>
      </c>
      <c r="F165" s="39">
        <v>74</v>
      </c>
      <c r="G165" s="36">
        <v>74</v>
      </c>
      <c r="H165" s="36">
        <v>59.145853658536588</v>
      </c>
      <c r="I165" s="36">
        <v>90</v>
      </c>
      <c r="J165" s="36">
        <v>45.330396475770925</v>
      </c>
      <c r="K165" s="36">
        <v>21.145374449339208</v>
      </c>
      <c r="L165" s="55" t="s">
        <v>397</v>
      </c>
      <c r="M165" s="36" t="s">
        <v>396</v>
      </c>
      <c r="N165" s="55" t="s">
        <v>156</v>
      </c>
      <c r="O165" s="36">
        <v>40.609756097560975</v>
      </c>
      <c r="P165" s="36">
        <v>162.4390243902439</v>
      </c>
      <c r="Q165" s="36">
        <v>57.092511013215862</v>
      </c>
      <c r="R165" s="36">
        <v>24.105726872246695</v>
      </c>
      <c r="S165" s="36">
        <v>12.89339207048458</v>
      </c>
      <c r="T165" s="36" t="s">
        <v>397</v>
      </c>
      <c r="U165" s="36" t="s">
        <v>396</v>
      </c>
      <c r="V165" s="36" t="s">
        <v>156</v>
      </c>
      <c r="W165" s="36">
        <v>-1</v>
      </c>
      <c r="X165" s="102">
        <v>-1</v>
      </c>
      <c r="Y165" s="29">
        <v>17.826381724392039</v>
      </c>
      <c r="Z165" s="47">
        <v>6.4</v>
      </c>
      <c r="AA165" s="47">
        <v>85</v>
      </c>
      <c r="AB165" s="50">
        <v>23700</v>
      </c>
      <c r="AC165" s="50" t="s">
        <v>393</v>
      </c>
      <c r="AD165" s="50">
        <v>100</v>
      </c>
      <c r="AE165" s="42">
        <v>8</v>
      </c>
      <c r="AF165" s="43">
        <v>1.5</v>
      </c>
      <c r="AG165" s="45">
        <v>80</v>
      </c>
      <c r="AH165" s="35">
        <v>6.9742078113485637E-2</v>
      </c>
      <c r="AI165" s="50" t="s">
        <v>395</v>
      </c>
      <c r="AJ165" s="50" t="s">
        <v>394</v>
      </c>
      <c r="AK165" s="50" t="s">
        <v>156</v>
      </c>
      <c r="AL165" s="34">
        <v>27.975609756097562</v>
      </c>
      <c r="AM165" s="43">
        <v>2.2000000000000002</v>
      </c>
      <c r="AN165" s="35">
        <v>0.57756097560975617</v>
      </c>
      <c r="AO165" s="35">
        <v>1.0197560975609756</v>
      </c>
      <c r="AP165" s="35">
        <v>1.5070731707317075</v>
      </c>
      <c r="AQ165" s="83">
        <v>2</v>
      </c>
      <c r="AR165" s="46" t="s">
        <v>397</v>
      </c>
      <c r="AS165" s="50" t="s">
        <v>396</v>
      </c>
      <c r="AT165" s="50" t="s">
        <v>156</v>
      </c>
      <c r="AU165" s="44">
        <v>1.7</v>
      </c>
      <c r="AV165" s="45">
        <v>0.2</v>
      </c>
      <c r="AW165" s="45">
        <v>2</v>
      </c>
      <c r="AX165" s="45">
        <v>2.5</v>
      </c>
      <c r="AY165" s="45">
        <v>0.6</v>
      </c>
      <c r="AZ165" s="45">
        <v>1</v>
      </c>
      <c r="BA165" s="45">
        <v>84</v>
      </c>
      <c r="BB165" s="35">
        <v>1.5</v>
      </c>
      <c r="BC165" s="45">
        <v>50</v>
      </c>
      <c r="BD165" s="45">
        <v>-1</v>
      </c>
      <c r="BE165" s="45">
        <v>-1</v>
      </c>
      <c r="BF165" s="45">
        <v>50</v>
      </c>
      <c r="BG165" s="45">
        <v>-1</v>
      </c>
      <c r="BH165" s="45">
        <v>-1</v>
      </c>
      <c r="BI165" s="45">
        <v>-1</v>
      </c>
      <c r="BJ165" s="28">
        <v>1</v>
      </c>
      <c r="BK165" s="45">
        <v>86</v>
      </c>
      <c r="BL165" s="43">
        <v>0.7</v>
      </c>
      <c r="BM165" s="45">
        <v>3</v>
      </c>
      <c r="BN165" s="45">
        <v>74</v>
      </c>
      <c r="BO165" s="43">
        <v>0.7</v>
      </c>
    </row>
    <row r="166" spans="1:67" s="50" customFormat="1" ht="15" customHeight="1" x14ac:dyDescent="0.25">
      <c r="A166" s="50">
        <v>165</v>
      </c>
      <c r="B166" s="52" t="s">
        <v>272</v>
      </c>
      <c r="C166" s="68">
        <v>915110</v>
      </c>
      <c r="D166" s="22" t="s">
        <v>202</v>
      </c>
      <c r="E166" s="12" t="s">
        <v>9</v>
      </c>
      <c r="F166" s="39">
        <v>14</v>
      </c>
      <c r="G166" s="36">
        <v>14</v>
      </c>
      <c r="H166" s="36">
        <v>11.189756097560977</v>
      </c>
      <c r="I166" s="36">
        <v>53</v>
      </c>
      <c r="J166" s="36">
        <v>26.694566813509542</v>
      </c>
      <c r="K166" s="36">
        <v>12.452276064610867</v>
      </c>
      <c r="L166" s="36" t="s">
        <v>397</v>
      </c>
      <c r="M166" s="36" t="s">
        <v>396</v>
      </c>
      <c r="N166" s="36" t="s">
        <v>156</v>
      </c>
      <c r="O166" s="36">
        <v>7.6829268292682933</v>
      </c>
      <c r="P166" s="36">
        <v>30.731707317073173</v>
      </c>
      <c r="Q166" s="36">
        <v>33.621145374449341</v>
      </c>
      <c r="R166" s="36">
        <v>14.195594713656385</v>
      </c>
      <c r="S166" s="36">
        <v>7.5927753303964742</v>
      </c>
      <c r="T166" s="36" t="s">
        <v>397</v>
      </c>
      <c r="U166" s="36" t="s">
        <v>396</v>
      </c>
      <c r="V166" s="36" t="s">
        <v>156</v>
      </c>
      <c r="W166" s="36">
        <v>-1</v>
      </c>
      <c r="X166" s="102">
        <v>-1</v>
      </c>
      <c r="Y166" s="29">
        <v>44.87366508474576</v>
      </c>
      <c r="Z166" s="47">
        <v>6.4</v>
      </c>
      <c r="AA166" s="47">
        <v>85</v>
      </c>
      <c r="AB166" s="50">
        <v>23700</v>
      </c>
      <c r="AC166" s="50" t="s">
        <v>393</v>
      </c>
      <c r="AD166" s="50">
        <v>100</v>
      </c>
      <c r="AE166" s="42">
        <v>21</v>
      </c>
      <c r="AF166" s="43">
        <v>1.5</v>
      </c>
      <c r="AG166" s="45">
        <v>80</v>
      </c>
      <c r="AH166" s="35">
        <v>0.17555905084745765</v>
      </c>
      <c r="AI166" s="50" t="s">
        <v>395</v>
      </c>
      <c r="AJ166" s="50" t="s">
        <v>394</v>
      </c>
      <c r="AK166" s="50" t="s">
        <v>156</v>
      </c>
      <c r="AL166" s="34">
        <v>5.2926829268292677</v>
      </c>
      <c r="AM166" s="43">
        <v>2.2000000000000002</v>
      </c>
      <c r="AN166" s="35">
        <v>0.10926829268292684</v>
      </c>
      <c r="AO166" s="35">
        <v>0.19292682926829266</v>
      </c>
      <c r="AP166" s="35">
        <v>0.28512195121951223</v>
      </c>
      <c r="AQ166" s="83">
        <v>0.4</v>
      </c>
      <c r="AR166" s="46" t="s">
        <v>397</v>
      </c>
      <c r="AS166" s="50" t="s">
        <v>396</v>
      </c>
      <c r="AT166" s="50" t="s">
        <v>156</v>
      </c>
      <c r="AU166" s="44">
        <v>1.7</v>
      </c>
      <c r="AV166" s="45">
        <v>0.2</v>
      </c>
      <c r="AW166" s="45">
        <v>2</v>
      </c>
      <c r="AX166" s="45">
        <v>2.5</v>
      </c>
      <c r="AY166" s="45">
        <v>0.6</v>
      </c>
      <c r="AZ166" s="45">
        <v>1</v>
      </c>
      <c r="BA166" s="45">
        <v>16</v>
      </c>
      <c r="BB166" s="35">
        <v>1.5</v>
      </c>
      <c r="BC166" s="45">
        <v>50</v>
      </c>
      <c r="BD166" s="45">
        <v>-1</v>
      </c>
      <c r="BE166" s="45">
        <v>-1</v>
      </c>
      <c r="BF166" s="45">
        <v>50</v>
      </c>
      <c r="BG166" s="45">
        <v>-1</v>
      </c>
      <c r="BH166" s="45">
        <v>-1</v>
      </c>
      <c r="BI166" s="45">
        <v>-1</v>
      </c>
      <c r="BJ166" s="28">
        <v>1</v>
      </c>
      <c r="BK166" s="45">
        <v>16</v>
      </c>
      <c r="BL166" s="43">
        <v>0.7</v>
      </c>
      <c r="BM166" s="45">
        <v>3</v>
      </c>
      <c r="BN166" s="45">
        <v>14</v>
      </c>
      <c r="BO166" s="43">
        <v>0.7</v>
      </c>
    </row>
    <row r="167" spans="1:67" s="50" customFormat="1" ht="15" customHeight="1" x14ac:dyDescent="0.25">
      <c r="A167" s="50">
        <v>166</v>
      </c>
      <c r="B167" s="52" t="s">
        <v>273</v>
      </c>
      <c r="C167" s="68">
        <v>925110</v>
      </c>
      <c r="D167" s="22" t="s">
        <v>202</v>
      </c>
      <c r="E167" s="12" t="s">
        <v>9</v>
      </c>
      <c r="F167" s="39">
        <v>55</v>
      </c>
      <c r="G167" s="36">
        <v>55</v>
      </c>
      <c r="H167" s="36">
        <v>43.959756097560977</v>
      </c>
      <c r="I167" s="36">
        <v>65</v>
      </c>
      <c r="J167" s="36">
        <v>32.738619676945667</v>
      </c>
      <c r="K167" s="36">
        <v>15.271659324522762</v>
      </c>
      <c r="L167" s="36" t="s">
        <v>397</v>
      </c>
      <c r="M167" s="36" t="s">
        <v>396</v>
      </c>
      <c r="N167" s="36" t="s">
        <v>156</v>
      </c>
      <c r="O167" s="36">
        <v>30.182926829268293</v>
      </c>
      <c r="P167" s="36">
        <v>120.73170731707319</v>
      </c>
      <c r="Q167" s="36">
        <v>41.233480176211451</v>
      </c>
      <c r="R167" s="36">
        <v>17.409691629955947</v>
      </c>
      <c r="S167" s="36">
        <v>9.3118942731277521</v>
      </c>
      <c r="T167" s="36" t="s">
        <v>397</v>
      </c>
      <c r="U167" s="36" t="s">
        <v>396</v>
      </c>
      <c r="V167" s="36" t="s">
        <v>156</v>
      </c>
      <c r="W167" s="36">
        <v>-1</v>
      </c>
      <c r="X167" s="102">
        <v>-1</v>
      </c>
      <c r="Y167" s="29">
        <v>30.853352984524683</v>
      </c>
      <c r="Z167" s="47">
        <v>6.4</v>
      </c>
      <c r="AA167" s="47">
        <v>85</v>
      </c>
      <c r="AB167" s="50">
        <v>23700</v>
      </c>
      <c r="AC167" s="50" t="s">
        <v>393</v>
      </c>
      <c r="AD167" s="50">
        <v>100</v>
      </c>
      <c r="AE167" s="42">
        <v>14</v>
      </c>
      <c r="AF167" s="43">
        <v>1.5</v>
      </c>
      <c r="AG167" s="45">
        <v>80</v>
      </c>
      <c r="AH167" s="35">
        <v>0.12070744288872513</v>
      </c>
      <c r="AI167" s="50" t="s">
        <v>395</v>
      </c>
      <c r="AJ167" s="50" t="s">
        <v>394</v>
      </c>
      <c r="AK167" s="50" t="s">
        <v>156</v>
      </c>
      <c r="AL167" s="34">
        <v>20.792682926829269</v>
      </c>
      <c r="AM167" s="43">
        <v>2.2000000000000002</v>
      </c>
      <c r="AN167" s="35">
        <v>0.42926829268292682</v>
      </c>
      <c r="AO167" s="35">
        <v>0.75792682926829258</v>
      </c>
      <c r="AP167" s="35">
        <v>1.1201219512195122</v>
      </c>
      <c r="AQ167" s="83">
        <v>1.5</v>
      </c>
      <c r="AR167" s="46" t="s">
        <v>397</v>
      </c>
      <c r="AS167" s="50" t="s">
        <v>396</v>
      </c>
      <c r="AT167" s="50" t="s">
        <v>156</v>
      </c>
      <c r="AU167" s="44">
        <v>1.7</v>
      </c>
      <c r="AV167" s="45">
        <v>0.2</v>
      </c>
      <c r="AW167" s="45">
        <v>2</v>
      </c>
      <c r="AX167" s="45">
        <v>2.5</v>
      </c>
      <c r="AY167" s="45">
        <v>0.6</v>
      </c>
      <c r="AZ167" s="45">
        <v>1</v>
      </c>
      <c r="BA167" s="45">
        <v>62</v>
      </c>
      <c r="BB167" s="35">
        <v>1.5</v>
      </c>
      <c r="BC167" s="45">
        <v>50</v>
      </c>
      <c r="BD167" s="45">
        <v>-1</v>
      </c>
      <c r="BE167" s="45">
        <v>-1</v>
      </c>
      <c r="BF167" s="45">
        <v>50</v>
      </c>
      <c r="BG167" s="45">
        <v>-1</v>
      </c>
      <c r="BH167" s="45">
        <v>-1</v>
      </c>
      <c r="BI167" s="45">
        <v>-1</v>
      </c>
      <c r="BJ167" s="28">
        <v>1</v>
      </c>
      <c r="BK167" s="45">
        <v>64</v>
      </c>
      <c r="BL167" s="43">
        <v>0.7</v>
      </c>
      <c r="BM167" s="45">
        <v>3</v>
      </c>
      <c r="BN167" s="45">
        <v>55</v>
      </c>
      <c r="BO167" s="43">
        <v>0.7</v>
      </c>
    </row>
    <row r="168" spans="1:67" s="50" customFormat="1" ht="15" customHeight="1" x14ac:dyDescent="0.25">
      <c r="A168" s="50">
        <v>167</v>
      </c>
      <c r="B168" s="36">
        <v>5112</v>
      </c>
      <c r="C168" s="70">
        <v>5112</v>
      </c>
      <c r="D168" s="22" t="s">
        <v>202</v>
      </c>
      <c r="E168" s="30" t="s">
        <v>407</v>
      </c>
      <c r="F168" s="39">
        <v>27</v>
      </c>
      <c r="G168" s="36">
        <v>27</v>
      </c>
      <c r="H168" s="36">
        <v>94.5</v>
      </c>
      <c r="I168" s="43">
        <v>53.8</v>
      </c>
      <c r="J168" s="36">
        <v>18.988235294117647</v>
      </c>
      <c r="K168" s="36">
        <v>8.2282352941176455</v>
      </c>
      <c r="L168" s="36">
        <v>183412</v>
      </c>
      <c r="M168" s="36" t="s">
        <v>398</v>
      </c>
      <c r="N168" s="36">
        <v>100</v>
      </c>
      <c r="O168" s="36">
        <v>7.0874999999999995</v>
      </c>
      <c r="P168" s="36">
        <v>162</v>
      </c>
      <c r="Q168" s="36">
        <v>30.855882352941176</v>
      </c>
      <c r="R168" s="36">
        <v>7.1205882352941181</v>
      </c>
      <c r="S168" s="36">
        <v>2.5131487889273356</v>
      </c>
      <c r="T168" s="36">
        <v>183412</v>
      </c>
      <c r="U168" s="36" t="s">
        <v>398</v>
      </c>
      <c r="V168" s="36">
        <v>100</v>
      </c>
      <c r="W168" s="36">
        <v>1</v>
      </c>
      <c r="X168" s="102">
        <v>2</v>
      </c>
      <c r="Y168" s="29">
        <v>35.930000000000007</v>
      </c>
      <c r="Z168" s="47">
        <v>7.6</v>
      </c>
      <c r="AA168" s="47">
        <v>90</v>
      </c>
      <c r="AB168" s="50">
        <v>22476</v>
      </c>
      <c r="AC168" s="50" t="s">
        <v>157</v>
      </c>
      <c r="AD168" s="50">
        <v>100</v>
      </c>
      <c r="AE168" s="42">
        <v>30</v>
      </c>
      <c r="AF168" s="43">
        <v>1.3</v>
      </c>
      <c r="AG168" s="45">
        <v>80</v>
      </c>
      <c r="AH168" s="35">
        <v>0.44</v>
      </c>
      <c r="AI168" s="50">
        <v>40529</v>
      </c>
      <c r="AJ168" s="50" t="s">
        <v>356</v>
      </c>
      <c r="AK168" s="50">
        <v>100</v>
      </c>
      <c r="AL168" s="34">
        <v>15.524999999999999</v>
      </c>
      <c r="AM168" s="43">
        <v>1</v>
      </c>
      <c r="AN168" s="35">
        <v>0.20249999999999999</v>
      </c>
      <c r="AO168" s="35">
        <v>0.55349999999999988</v>
      </c>
      <c r="AP168" s="35">
        <v>1.1340000000000001</v>
      </c>
      <c r="AQ168" s="83">
        <v>3.6</v>
      </c>
      <c r="AR168" s="46">
        <v>183412</v>
      </c>
      <c r="AS168" s="50" t="s">
        <v>398</v>
      </c>
      <c r="AT168" s="50">
        <v>100</v>
      </c>
      <c r="AU168" s="44">
        <v>-1</v>
      </c>
      <c r="AV168" s="48">
        <v>-1</v>
      </c>
      <c r="AW168" s="45">
        <v>1</v>
      </c>
      <c r="AX168" s="45">
        <v>63</v>
      </c>
      <c r="AY168" s="45">
        <v>2.2999999999999998</v>
      </c>
      <c r="AZ168" s="45">
        <v>1</v>
      </c>
      <c r="BA168" s="45">
        <v>27</v>
      </c>
      <c r="BB168" s="35">
        <v>0.7</v>
      </c>
      <c r="BC168" s="45">
        <v>-1</v>
      </c>
      <c r="BD168" s="45">
        <v>-1</v>
      </c>
      <c r="BE168" s="45">
        <v>100</v>
      </c>
      <c r="BF168" s="45">
        <v>-1</v>
      </c>
      <c r="BG168" s="45">
        <v>-1</v>
      </c>
      <c r="BH168" s="45">
        <v>-1</v>
      </c>
      <c r="BI168" s="45">
        <v>-1</v>
      </c>
      <c r="BJ168" s="28">
        <v>2</v>
      </c>
      <c r="BK168" s="45">
        <v>33.75</v>
      </c>
      <c r="BL168" s="43">
        <v>5</v>
      </c>
      <c r="BM168" s="45">
        <v>4</v>
      </c>
      <c r="BN168" s="45">
        <v>33.75</v>
      </c>
      <c r="BO168" s="43">
        <v>5</v>
      </c>
    </row>
    <row r="169" spans="1:67" s="50" customFormat="1" ht="15" customHeight="1" x14ac:dyDescent="0.25">
      <c r="A169" s="50">
        <v>168</v>
      </c>
      <c r="B169" s="36">
        <v>5120</v>
      </c>
      <c r="C169" s="46">
        <v>5120</v>
      </c>
      <c r="D169" s="22" t="s">
        <v>202</v>
      </c>
      <c r="E169" s="13" t="s">
        <v>8</v>
      </c>
      <c r="F169" s="39">
        <v>27</v>
      </c>
      <c r="G169" s="36">
        <v>27</v>
      </c>
      <c r="H169" s="36">
        <v>21.580243902439026</v>
      </c>
      <c r="I169" s="36">
        <v>61</v>
      </c>
      <c r="J169" s="36">
        <v>30.723935389133626</v>
      </c>
      <c r="K169" s="36">
        <v>14.33186490455213</v>
      </c>
      <c r="L169" s="36" t="s">
        <v>397</v>
      </c>
      <c r="M169" s="36" t="s">
        <v>396</v>
      </c>
      <c r="N169" s="36" t="s">
        <v>156</v>
      </c>
      <c r="O169" s="36">
        <v>14.817073170731708</v>
      </c>
      <c r="P169" s="36">
        <v>59.268292682926841</v>
      </c>
      <c r="Q169" s="36">
        <v>38.696035242290748</v>
      </c>
      <c r="R169" s="36">
        <v>16.338325991189425</v>
      </c>
      <c r="S169" s="36">
        <v>8.7388546255506601</v>
      </c>
      <c r="T169" s="36" t="s">
        <v>397</v>
      </c>
      <c r="U169" s="36" t="s">
        <v>396</v>
      </c>
      <c r="V169" s="36" t="s">
        <v>156</v>
      </c>
      <c r="W169" s="36">
        <v>-1</v>
      </c>
      <c r="X169" s="102">
        <v>-1</v>
      </c>
      <c r="Y169" s="81">
        <v>-1</v>
      </c>
      <c r="Z169" s="10">
        <v>-1</v>
      </c>
      <c r="AA169" s="10">
        <v>-1</v>
      </c>
      <c r="AB169" s="10">
        <v>-1</v>
      </c>
      <c r="AC169" s="10">
        <v>-1</v>
      </c>
      <c r="AD169" s="10">
        <v>-1</v>
      </c>
      <c r="AE169" s="42">
        <v>56</v>
      </c>
      <c r="AF169" s="43">
        <v>1.5</v>
      </c>
      <c r="AG169" s="45">
        <v>80</v>
      </c>
      <c r="AH169" s="35">
        <v>0.48</v>
      </c>
      <c r="AI169" s="50" t="s">
        <v>395</v>
      </c>
      <c r="AJ169" s="50" t="s">
        <v>394</v>
      </c>
      <c r="AK169" s="50" t="s">
        <v>156</v>
      </c>
      <c r="AL169" s="34">
        <v>10.207317073170733</v>
      </c>
      <c r="AM169" s="43">
        <v>2.2000000000000002</v>
      </c>
      <c r="AN169" s="35">
        <v>0.21073170731707319</v>
      </c>
      <c r="AO169" s="35">
        <v>0.37207317073170731</v>
      </c>
      <c r="AP169" s="35">
        <v>0.54987804878048774</v>
      </c>
      <c r="AQ169" s="83">
        <v>0.7</v>
      </c>
      <c r="AR169" s="46" t="s">
        <v>397</v>
      </c>
      <c r="AS169" s="50" t="s">
        <v>396</v>
      </c>
      <c r="AT169" s="50" t="s">
        <v>156</v>
      </c>
      <c r="AU169" s="44">
        <v>1.7</v>
      </c>
      <c r="AV169" s="45">
        <v>0.2</v>
      </c>
      <c r="AW169" s="45">
        <v>2</v>
      </c>
      <c r="AX169" s="45">
        <v>2.5</v>
      </c>
      <c r="AY169" s="45">
        <v>0.6</v>
      </c>
      <c r="AZ169" s="45">
        <v>1</v>
      </c>
      <c r="BA169" s="45">
        <v>31</v>
      </c>
      <c r="BB169" s="35">
        <v>1.5</v>
      </c>
      <c r="BC169" s="45">
        <v>20</v>
      </c>
      <c r="BD169" s="45">
        <v>-1</v>
      </c>
      <c r="BE169" s="45">
        <v>-1</v>
      </c>
      <c r="BF169" s="45">
        <v>20</v>
      </c>
      <c r="BG169" s="45">
        <v>-1</v>
      </c>
      <c r="BH169" s="45">
        <v>-1</v>
      </c>
      <c r="BI169" s="45">
        <v>60</v>
      </c>
      <c r="BJ169" s="28">
        <v>1</v>
      </c>
      <c r="BK169" s="45">
        <v>31</v>
      </c>
      <c r="BL169" s="43">
        <v>0.7</v>
      </c>
      <c r="BM169" s="45">
        <v>3</v>
      </c>
      <c r="BN169" s="45">
        <v>27</v>
      </c>
      <c r="BO169" s="43">
        <v>0.7</v>
      </c>
    </row>
    <row r="170" spans="1:67" s="50" customFormat="1" ht="15" customHeight="1" x14ac:dyDescent="0.25">
      <c r="A170" s="50">
        <v>169</v>
      </c>
      <c r="B170" s="36">
        <v>5122</v>
      </c>
      <c r="C170" s="70">
        <v>5122</v>
      </c>
      <c r="D170" s="22" t="s">
        <v>202</v>
      </c>
      <c r="E170" s="78" t="s">
        <v>409</v>
      </c>
      <c r="F170" s="39">
        <v>27.6</v>
      </c>
      <c r="G170" s="36">
        <v>27.6</v>
      </c>
      <c r="H170" s="36">
        <v>96.600000000000009</v>
      </c>
      <c r="I170" s="43">
        <v>56</v>
      </c>
      <c r="J170" s="36">
        <v>19.764705882352942</v>
      </c>
      <c r="K170" s="36">
        <v>8.5647058823529409</v>
      </c>
      <c r="L170" s="36">
        <v>183412</v>
      </c>
      <c r="M170" s="36" t="s">
        <v>398</v>
      </c>
      <c r="N170" s="36">
        <v>100</v>
      </c>
      <c r="O170" s="36">
        <v>7.2449999999999992</v>
      </c>
      <c r="P170" s="36">
        <v>165.6</v>
      </c>
      <c r="Q170" s="36">
        <v>32.117647058823529</v>
      </c>
      <c r="R170" s="36">
        <v>7.4117647058823533</v>
      </c>
      <c r="S170" s="36">
        <v>2.6159169550173016</v>
      </c>
      <c r="T170" s="36">
        <v>183412</v>
      </c>
      <c r="U170" s="36" t="s">
        <v>398</v>
      </c>
      <c r="V170" s="36">
        <v>100</v>
      </c>
      <c r="W170" s="36">
        <v>1</v>
      </c>
      <c r="X170" s="102">
        <v>2</v>
      </c>
      <c r="Y170" s="29">
        <v>3</v>
      </c>
      <c r="Z170" s="47">
        <v>7.6</v>
      </c>
      <c r="AA170" s="47">
        <v>90</v>
      </c>
      <c r="AB170" s="50">
        <v>22476</v>
      </c>
      <c r="AC170" s="50" t="s">
        <v>157</v>
      </c>
      <c r="AD170" s="50">
        <v>100</v>
      </c>
      <c r="AE170" s="42">
        <v>60</v>
      </c>
      <c r="AF170" s="43">
        <v>1.3</v>
      </c>
      <c r="AG170" s="45">
        <v>80</v>
      </c>
      <c r="AH170" s="35">
        <v>0.88</v>
      </c>
      <c r="AI170" s="50">
        <v>40529</v>
      </c>
      <c r="AJ170" s="50" t="s">
        <v>356</v>
      </c>
      <c r="AK170" s="50">
        <v>100</v>
      </c>
      <c r="AL170" s="34">
        <v>15.870000000000003</v>
      </c>
      <c r="AM170" s="43">
        <v>1</v>
      </c>
      <c r="AN170" s="35">
        <v>0.20699999999999999</v>
      </c>
      <c r="AO170" s="35">
        <v>0.56579999999999997</v>
      </c>
      <c r="AP170" s="35">
        <v>1.1592000000000002</v>
      </c>
      <c r="AQ170" s="83">
        <v>3.6</v>
      </c>
      <c r="AR170" s="46">
        <v>183412</v>
      </c>
      <c r="AS170" s="50" t="s">
        <v>398</v>
      </c>
      <c r="AT170" s="50">
        <v>100</v>
      </c>
      <c r="AU170" s="44">
        <v>-1</v>
      </c>
      <c r="AV170" s="48">
        <v>-1</v>
      </c>
      <c r="AW170" s="45">
        <v>1</v>
      </c>
      <c r="AX170" s="45">
        <v>63</v>
      </c>
      <c r="AY170" s="45">
        <v>2.2999999999999998</v>
      </c>
      <c r="AZ170" s="45">
        <v>1</v>
      </c>
      <c r="BA170" s="45">
        <v>27.6</v>
      </c>
      <c r="BB170" s="35">
        <v>0.7</v>
      </c>
      <c r="BC170" s="45">
        <v>-1</v>
      </c>
      <c r="BD170" s="45">
        <v>-1</v>
      </c>
      <c r="BE170" s="45">
        <v>100</v>
      </c>
      <c r="BF170" s="45">
        <v>-1</v>
      </c>
      <c r="BG170" s="45">
        <v>-1</v>
      </c>
      <c r="BH170" s="45">
        <v>-1</v>
      </c>
      <c r="BI170" s="45">
        <v>-1</v>
      </c>
      <c r="BJ170" s="28">
        <v>2</v>
      </c>
      <c r="BK170" s="45">
        <v>34.5</v>
      </c>
      <c r="BL170" s="43">
        <v>5</v>
      </c>
      <c r="BM170" s="45">
        <v>4</v>
      </c>
      <c r="BN170" s="45">
        <v>34.5</v>
      </c>
      <c r="BO170" s="43">
        <v>5</v>
      </c>
    </row>
    <row r="171" spans="1:67" s="50" customFormat="1" ht="15" customHeight="1" x14ac:dyDescent="0.25">
      <c r="A171" s="50">
        <v>170</v>
      </c>
      <c r="B171" s="36">
        <v>5130</v>
      </c>
      <c r="C171" s="46">
        <v>5130</v>
      </c>
      <c r="D171" s="22" t="s">
        <v>202</v>
      </c>
      <c r="E171" s="14" t="s">
        <v>10</v>
      </c>
      <c r="F171" s="39">
        <v>-3</v>
      </c>
      <c r="G171" s="45">
        <v>-3</v>
      </c>
      <c r="H171" s="45">
        <v>-3</v>
      </c>
      <c r="I171" s="36">
        <v>-3</v>
      </c>
      <c r="J171" s="45">
        <v>-3</v>
      </c>
      <c r="K171" s="45">
        <v>-3</v>
      </c>
      <c r="L171" s="45">
        <v>-3</v>
      </c>
      <c r="M171" s="45">
        <v>-3</v>
      </c>
      <c r="N171" s="45">
        <v>-3</v>
      </c>
      <c r="O171" s="45">
        <v>-3</v>
      </c>
      <c r="P171" s="45">
        <v>-3</v>
      </c>
      <c r="Q171" s="45">
        <v>-3</v>
      </c>
      <c r="R171" s="45">
        <v>-3</v>
      </c>
      <c r="S171" s="45">
        <v>-3</v>
      </c>
      <c r="T171" s="45">
        <v>-3</v>
      </c>
      <c r="U171" s="45">
        <v>-3</v>
      </c>
      <c r="V171" s="45">
        <v>-3</v>
      </c>
      <c r="W171" s="45">
        <v>-3</v>
      </c>
      <c r="X171" s="103">
        <v>-3</v>
      </c>
      <c r="Y171" s="29">
        <v>60</v>
      </c>
      <c r="Z171" s="47">
        <v>3</v>
      </c>
      <c r="AA171" s="47">
        <v>75</v>
      </c>
      <c r="AB171" s="50">
        <v>29051</v>
      </c>
      <c r="AC171" s="50" t="s">
        <v>152</v>
      </c>
      <c r="AD171" s="50">
        <v>100</v>
      </c>
      <c r="AE171" s="42">
        <v>-3</v>
      </c>
      <c r="AF171" s="10">
        <v>-3</v>
      </c>
      <c r="AG171" s="10">
        <v>-3</v>
      </c>
      <c r="AH171" s="10">
        <v>-3</v>
      </c>
      <c r="AI171" s="10">
        <v>-3</v>
      </c>
      <c r="AJ171" s="10">
        <v>-3</v>
      </c>
      <c r="AK171" s="10">
        <v>-3</v>
      </c>
      <c r="AL171" s="34">
        <v>0.9</v>
      </c>
      <c r="AM171" s="43">
        <v>0.1</v>
      </c>
      <c r="AN171" s="35">
        <v>0.1</v>
      </c>
      <c r="AO171" s="35">
        <v>0.3</v>
      </c>
      <c r="AP171" s="35">
        <v>0</v>
      </c>
      <c r="AQ171" s="83">
        <v>0</v>
      </c>
      <c r="AR171" s="46">
        <v>29051</v>
      </c>
      <c r="AS171" s="50" t="s">
        <v>152</v>
      </c>
      <c r="AT171" s="50">
        <v>100</v>
      </c>
      <c r="AU171" s="44">
        <v>-1</v>
      </c>
      <c r="AV171" s="48">
        <v>-1</v>
      </c>
      <c r="AW171" s="48">
        <v>-1</v>
      </c>
      <c r="AX171" s="48">
        <v>-1</v>
      </c>
      <c r="AY171" s="48">
        <v>-1</v>
      </c>
      <c r="AZ171" s="45">
        <v>1</v>
      </c>
      <c r="BA171" s="45">
        <v>58</v>
      </c>
      <c r="BB171" s="35">
        <v>0.86</v>
      </c>
      <c r="BC171" s="45">
        <v>-1</v>
      </c>
      <c r="BD171" s="45">
        <v>-1</v>
      </c>
      <c r="BE171" s="45">
        <v>-1</v>
      </c>
      <c r="BF171" s="45">
        <v>-1</v>
      </c>
      <c r="BG171" s="45">
        <v>100</v>
      </c>
      <c r="BH171" s="45">
        <v>-1</v>
      </c>
      <c r="BI171" s="45">
        <v>-1</v>
      </c>
      <c r="BJ171" s="28">
        <v>-1</v>
      </c>
      <c r="BK171" s="48">
        <v>-1</v>
      </c>
      <c r="BL171" s="48">
        <v>-1</v>
      </c>
      <c r="BM171" s="48">
        <v>-1</v>
      </c>
      <c r="BN171" s="48">
        <v>-1</v>
      </c>
      <c r="BO171" s="48">
        <v>-1</v>
      </c>
    </row>
    <row r="172" spans="1:67" s="50" customFormat="1" ht="15" customHeight="1" x14ac:dyDescent="0.25">
      <c r="A172" s="50">
        <v>171</v>
      </c>
      <c r="B172" s="36">
        <v>5140</v>
      </c>
      <c r="C172" s="46">
        <v>5140</v>
      </c>
      <c r="D172" s="22" t="s">
        <v>202</v>
      </c>
      <c r="E172" s="15" t="s">
        <v>14</v>
      </c>
      <c r="F172" s="39">
        <v>-3</v>
      </c>
      <c r="G172" s="45">
        <v>-3</v>
      </c>
      <c r="H172" s="45">
        <v>-3</v>
      </c>
      <c r="I172" s="36">
        <v>-3</v>
      </c>
      <c r="J172" s="45">
        <v>-3</v>
      </c>
      <c r="K172" s="45">
        <v>-3</v>
      </c>
      <c r="L172" s="45">
        <v>-3</v>
      </c>
      <c r="M172" s="45">
        <v>-3</v>
      </c>
      <c r="N172" s="45">
        <v>-3</v>
      </c>
      <c r="O172" s="45">
        <v>-3</v>
      </c>
      <c r="P172" s="45">
        <v>-3</v>
      </c>
      <c r="Q172" s="45">
        <v>-3</v>
      </c>
      <c r="R172" s="45">
        <v>-3</v>
      </c>
      <c r="S172" s="45">
        <v>-3</v>
      </c>
      <c r="T172" s="45">
        <v>-3</v>
      </c>
      <c r="U172" s="45">
        <v>-3</v>
      </c>
      <c r="V172" s="45">
        <v>-3</v>
      </c>
      <c r="W172" s="45">
        <v>-3</v>
      </c>
      <c r="X172" s="103">
        <v>-3</v>
      </c>
      <c r="Y172" s="81">
        <v>-3</v>
      </c>
      <c r="Z172" s="10">
        <v>-3</v>
      </c>
      <c r="AA172" s="48">
        <v>-3</v>
      </c>
      <c r="AB172" s="10">
        <v>-3</v>
      </c>
      <c r="AC172" s="10">
        <v>-3</v>
      </c>
      <c r="AD172" s="10">
        <v>-3</v>
      </c>
      <c r="AE172" s="42">
        <v>70</v>
      </c>
      <c r="AF172" s="43">
        <v>2</v>
      </c>
      <c r="AG172" s="45">
        <v>80</v>
      </c>
      <c r="AH172" s="35">
        <v>1.3384319209875239</v>
      </c>
      <c r="AI172" s="50">
        <v>39369</v>
      </c>
      <c r="AJ172" s="50" t="s">
        <v>391</v>
      </c>
      <c r="AK172" s="50">
        <v>100</v>
      </c>
      <c r="AL172" s="34">
        <v>-3</v>
      </c>
      <c r="AM172" s="48">
        <v>-3</v>
      </c>
      <c r="AN172" s="48">
        <v>-3</v>
      </c>
      <c r="AO172" s="48">
        <v>-3</v>
      </c>
      <c r="AP172" s="48">
        <v>-3</v>
      </c>
      <c r="AQ172" s="48">
        <v>-3</v>
      </c>
      <c r="AR172" s="48">
        <v>-3</v>
      </c>
      <c r="AS172" s="10">
        <v>-3</v>
      </c>
      <c r="AT172" s="10">
        <v>-3</v>
      </c>
      <c r="AU172" s="44">
        <v>-1</v>
      </c>
      <c r="AV172" s="48">
        <v>-1</v>
      </c>
      <c r="AW172" s="48">
        <v>-1</v>
      </c>
      <c r="AX172" s="48">
        <v>-1</v>
      </c>
      <c r="AY172" s="48">
        <v>-1</v>
      </c>
      <c r="AZ172" s="45">
        <v>1</v>
      </c>
      <c r="BA172" s="45">
        <v>46</v>
      </c>
      <c r="BB172" s="35">
        <v>0.7</v>
      </c>
      <c r="BC172" s="45">
        <v>-1</v>
      </c>
      <c r="BD172" s="45">
        <v>-1</v>
      </c>
      <c r="BE172" s="45">
        <v>-1</v>
      </c>
      <c r="BF172" s="45">
        <v>-1</v>
      </c>
      <c r="BG172" s="45">
        <v>-1</v>
      </c>
      <c r="BH172" s="45">
        <v>-1</v>
      </c>
      <c r="BI172" s="45">
        <v>100</v>
      </c>
      <c r="BJ172" s="28">
        <v>-1</v>
      </c>
      <c r="BK172" s="48">
        <v>-1</v>
      </c>
      <c r="BL172" s="48">
        <v>-1</v>
      </c>
      <c r="BM172" s="48">
        <v>-1</v>
      </c>
      <c r="BN172" s="48">
        <v>-1</v>
      </c>
      <c r="BO172" s="48">
        <v>-1</v>
      </c>
    </row>
    <row r="173" spans="1:67" s="50" customFormat="1" ht="15" customHeight="1" x14ac:dyDescent="0.25">
      <c r="A173" s="50">
        <v>172</v>
      </c>
      <c r="B173" s="36">
        <v>5150</v>
      </c>
      <c r="C173" s="46">
        <v>5150</v>
      </c>
      <c r="D173" s="22" t="s">
        <v>202</v>
      </c>
      <c r="E173" s="18" t="s">
        <v>15</v>
      </c>
      <c r="F173" s="39">
        <v>-3</v>
      </c>
      <c r="G173" s="45">
        <v>-3</v>
      </c>
      <c r="H173" s="45">
        <v>-3</v>
      </c>
      <c r="I173" s="36">
        <v>-3</v>
      </c>
      <c r="J173" s="45">
        <v>-3</v>
      </c>
      <c r="K173" s="45">
        <v>-3</v>
      </c>
      <c r="L173" s="45">
        <v>-3</v>
      </c>
      <c r="M173" s="45">
        <v>-3</v>
      </c>
      <c r="N173" s="45">
        <v>-3</v>
      </c>
      <c r="O173" s="45">
        <v>-3</v>
      </c>
      <c r="P173" s="45">
        <v>-3</v>
      </c>
      <c r="Q173" s="45">
        <v>-3</v>
      </c>
      <c r="R173" s="45">
        <v>-3</v>
      </c>
      <c r="S173" s="45">
        <v>-3</v>
      </c>
      <c r="T173" s="45">
        <v>-3</v>
      </c>
      <c r="U173" s="45">
        <v>-3</v>
      </c>
      <c r="V173" s="45">
        <v>-3</v>
      </c>
      <c r="W173" s="45">
        <v>-3</v>
      </c>
      <c r="X173" s="103">
        <v>-3</v>
      </c>
      <c r="Y173" s="29">
        <v>7</v>
      </c>
      <c r="Z173" s="47">
        <v>2</v>
      </c>
      <c r="AA173" s="47">
        <v>75</v>
      </c>
      <c r="AB173" s="50">
        <v>29051</v>
      </c>
      <c r="AC173" s="50" t="s">
        <v>152</v>
      </c>
      <c r="AD173" s="50">
        <v>100</v>
      </c>
      <c r="AE173" s="42">
        <v>8</v>
      </c>
      <c r="AF173" s="43">
        <v>2</v>
      </c>
      <c r="AG173" s="45">
        <v>80</v>
      </c>
      <c r="AH173" s="35">
        <v>0.15282632299999999</v>
      </c>
      <c r="AI173" s="50">
        <v>39369</v>
      </c>
      <c r="AJ173" s="50" t="s">
        <v>391</v>
      </c>
      <c r="AK173" s="50">
        <v>100</v>
      </c>
      <c r="AL173" s="34">
        <v>-1</v>
      </c>
      <c r="AM173" s="48">
        <v>-1</v>
      </c>
      <c r="AN173" s="48">
        <v>-1</v>
      </c>
      <c r="AO173" s="48">
        <v>-1</v>
      </c>
      <c r="AP173" s="48">
        <v>-1</v>
      </c>
      <c r="AQ173" s="48">
        <v>-1</v>
      </c>
      <c r="AR173" s="48">
        <v>-1</v>
      </c>
      <c r="AS173" s="48">
        <v>-1</v>
      </c>
      <c r="AT173" s="48">
        <v>-1</v>
      </c>
      <c r="AU173" s="44">
        <v>-1</v>
      </c>
      <c r="AV173" s="48">
        <v>-1</v>
      </c>
      <c r="AW173" s="48">
        <v>-1</v>
      </c>
      <c r="AX173" s="48">
        <v>-1</v>
      </c>
      <c r="AY173" s="48">
        <v>-1</v>
      </c>
      <c r="AZ173" s="48">
        <v>-1</v>
      </c>
      <c r="BA173" s="48">
        <v>-1</v>
      </c>
      <c r="BB173" s="48">
        <v>-1</v>
      </c>
      <c r="BC173" s="48">
        <v>-1</v>
      </c>
      <c r="BD173" s="48">
        <v>-1</v>
      </c>
      <c r="BE173" s="48">
        <v>-1</v>
      </c>
      <c r="BF173" s="48">
        <v>-1</v>
      </c>
      <c r="BG173" s="48">
        <v>-1</v>
      </c>
      <c r="BH173" s="48">
        <v>-1</v>
      </c>
      <c r="BI173" s="48">
        <v>-1</v>
      </c>
      <c r="BJ173" s="28">
        <v>-1</v>
      </c>
      <c r="BK173" s="48">
        <v>-1</v>
      </c>
      <c r="BL173" s="48">
        <v>-1</v>
      </c>
      <c r="BM173" s="48">
        <v>-1</v>
      </c>
      <c r="BN173" s="48">
        <v>-1</v>
      </c>
      <c r="BO173" s="48">
        <v>-1</v>
      </c>
    </row>
    <row r="174" spans="1:67" s="50" customFormat="1" ht="15" customHeight="1" x14ac:dyDescent="0.25">
      <c r="A174" s="50">
        <v>173</v>
      </c>
      <c r="B174" s="52" t="s">
        <v>274</v>
      </c>
      <c r="C174" s="68">
        <v>916061</v>
      </c>
      <c r="D174" s="36" t="s">
        <v>204</v>
      </c>
      <c r="E174" s="11" t="s">
        <v>16</v>
      </c>
      <c r="F174" s="39">
        <v>23.2</v>
      </c>
      <c r="G174" s="36">
        <v>23.2</v>
      </c>
      <c r="H174" s="36">
        <v>240</v>
      </c>
      <c r="I174" s="36">
        <v>53.170275590551178</v>
      </c>
      <c r="J174" s="36">
        <v>27.85109673790776</v>
      </c>
      <c r="K174" s="36">
        <v>6.5829865016872882</v>
      </c>
      <c r="L174" s="36">
        <v>19478</v>
      </c>
      <c r="M174" s="36" t="s">
        <v>352</v>
      </c>
      <c r="N174" s="36">
        <v>100</v>
      </c>
      <c r="O174" s="36">
        <v>-1</v>
      </c>
      <c r="P174" s="36">
        <v>-1</v>
      </c>
      <c r="Q174" s="36">
        <v>-1</v>
      </c>
      <c r="R174" s="36">
        <v>-1</v>
      </c>
      <c r="S174" s="36">
        <v>-1</v>
      </c>
      <c r="T174" s="36">
        <v>-1</v>
      </c>
      <c r="U174" s="36">
        <v>-1</v>
      </c>
      <c r="V174" s="36">
        <v>-1</v>
      </c>
      <c r="W174" s="36">
        <v>-1</v>
      </c>
      <c r="X174" s="102">
        <v>-1</v>
      </c>
      <c r="Y174" s="29">
        <v>6</v>
      </c>
      <c r="Z174" s="47">
        <v>10</v>
      </c>
      <c r="AA174" s="46">
        <v>90</v>
      </c>
      <c r="AB174" s="50">
        <v>22476</v>
      </c>
      <c r="AC174" s="50" t="s">
        <v>157</v>
      </c>
      <c r="AD174" s="50">
        <v>100</v>
      </c>
      <c r="AE174" s="42">
        <v>64</v>
      </c>
      <c r="AF174" s="43">
        <v>1</v>
      </c>
      <c r="AG174" s="36">
        <v>80</v>
      </c>
      <c r="AH174" s="35">
        <v>0.12759999999999999</v>
      </c>
      <c r="AI174" s="50">
        <v>40529</v>
      </c>
      <c r="AJ174" s="50" t="s">
        <v>356</v>
      </c>
      <c r="AK174" s="50">
        <v>100</v>
      </c>
      <c r="AL174" s="34">
        <v>4.8</v>
      </c>
      <c r="AM174" s="43">
        <v>0.75</v>
      </c>
      <c r="AN174" s="35">
        <v>0.08</v>
      </c>
      <c r="AO174" s="35">
        <v>0.11199999999999999</v>
      </c>
      <c r="AP174" s="35">
        <v>0.36799999999999994</v>
      </c>
      <c r="AQ174" s="83">
        <v>0.8</v>
      </c>
      <c r="AR174" s="46">
        <v>19478</v>
      </c>
      <c r="AS174" s="50" t="s">
        <v>352</v>
      </c>
      <c r="AT174" s="50">
        <v>100</v>
      </c>
      <c r="AU174" s="44">
        <v>-1</v>
      </c>
      <c r="AV174" s="48">
        <v>-1</v>
      </c>
      <c r="AW174" s="45">
        <v>2</v>
      </c>
      <c r="AX174" s="36">
        <v>12.5</v>
      </c>
      <c r="AY174" s="45">
        <v>2</v>
      </c>
      <c r="AZ174" s="45">
        <v>1</v>
      </c>
      <c r="BA174" s="36">
        <v>27.2</v>
      </c>
      <c r="BB174" s="43">
        <v>2</v>
      </c>
      <c r="BC174" s="45">
        <v>-1</v>
      </c>
      <c r="BD174" s="45">
        <v>-1</v>
      </c>
      <c r="BE174" s="45">
        <v>-1</v>
      </c>
      <c r="BF174" s="45">
        <v>100</v>
      </c>
      <c r="BG174" s="45">
        <v>-1</v>
      </c>
      <c r="BH174" s="45">
        <v>-1</v>
      </c>
      <c r="BI174" s="45">
        <v>-1</v>
      </c>
      <c r="BJ174" s="28">
        <v>1</v>
      </c>
      <c r="BK174" s="36">
        <v>28.8</v>
      </c>
      <c r="BL174" s="43">
        <v>2.5</v>
      </c>
      <c r="BM174" s="45">
        <v>3</v>
      </c>
      <c r="BN174" s="36">
        <v>28.8</v>
      </c>
      <c r="BO174" s="43">
        <v>1</v>
      </c>
    </row>
    <row r="175" spans="1:67" s="50" customFormat="1" ht="15" customHeight="1" x14ac:dyDescent="0.25">
      <c r="A175" s="50">
        <v>174</v>
      </c>
      <c r="B175" s="52" t="s">
        <v>275</v>
      </c>
      <c r="C175" s="68">
        <v>926061</v>
      </c>
      <c r="D175" s="36" t="s">
        <v>204</v>
      </c>
      <c r="E175" s="11" t="s">
        <v>16</v>
      </c>
      <c r="F175" s="39">
        <v>56.8</v>
      </c>
      <c r="G175" s="36">
        <v>56.8</v>
      </c>
      <c r="H175" s="36">
        <v>587.58620689655174</v>
      </c>
      <c r="I175" s="36">
        <v>67.025590551181097</v>
      </c>
      <c r="J175" s="36">
        <v>35.108642669666288</v>
      </c>
      <c r="K175" s="36">
        <v>7</v>
      </c>
      <c r="L175" s="36">
        <v>19478</v>
      </c>
      <c r="M175" s="36" t="s">
        <v>352</v>
      </c>
      <c r="N175" s="36">
        <v>100</v>
      </c>
      <c r="O175" s="36">
        <v>-1</v>
      </c>
      <c r="P175" s="36">
        <v>-1</v>
      </c>
      <c r="Q175" s="36">
        <v>-1</v>
      </c>
      <c r="R175" s="36">
        <v>-1</v>
      </c>
      <c r="S175" s="36">
        <v>-1</v>
      </c>
      <c r="T175" s="36">
        <v>-1</v>
      </c>
      <c r="U175" s="36">
        <v>-1</v>
      </c>
      <c r="V175" s="36">
        <v>-1</v>
      </c>
      <c r="W175" s="36">
        <v>-1</v>
      </c>
      <c r="X175" s="102">
        <v>-1</v>
      </c>
      <c r="Y175" s="29">
        <v>6</v>
      </c>
      <c r="Z175" s="47">
        <v>10</v>
      </c>
      <c r="AA175" s="46">
        <v>90</v>
      </c>
      <c r="AB175" s="50">
        <v>22476</v>
      </c>
      <c r="AC175" s="50" t="s">
        <v>157</v>
      </c>
      <c r="AD175" s="50">
        <v>100</v>
      </c>
      <c r="AE175" s="42">
        <v>30</v>
      </c>
      <c r="AF175" s="43">
        <v>1</v>
      </c>
      <c r="AG175" s="36">
        <v>80</v>
      </c>
      <c r="AH175" s="35">
        <v>6.0399999999999995E-2</v>
      </c>
      <c r="AI175" s="50">
        <v>40529</v>
      </c>
      <c r="AJ175" s="50" t="s">
        <v>356</v>
      </c>
      <c r="AK175" s="50">
        <v>100</v>
      </c>
      <c r="AL175" s="34">
        <v>11.8</v>
      </c>
      <c r="AM175" s="43">
        <v>0.75</v>
      </c>
      <c r="AN175" s="35">
        <v>0.19586206896551722</v>
      </c>
      <c r="AO175" s="35">
        <v>0.27420689655172414</v>
      </c>
      <c r="AP175" s="35">
        <v>0.90096551724137919</v>
      </c>
      <c r="AQ175" s="83">
        <v>1.9586206896551723</v>
      </c>
      <c r="AR175" s="46">
        <v>19478</v>
      </c>
      <c r="AS175" s="50" t="s">
        <v>352</v>
      </c>
      <c r="AT175" s="50">
        <v>100</v>
      </c>
      <c r="AU175" s="44">
        <v>-1</v>
      </c>
      <c r="AV175" s="48">
        <v>-1</v>
      </c>
      <c r="AW175" s="45">
        <v>2</v>
      </c>
      <c r="AX175" s="36">
        <v>12.5</v>
      </c>
      <c r="AY175" s="45">
        <v>2</v>
      </c>
      <c r="AZ175" s="45">
        <v>1</v>
      </c>
      <c r="BA175" s="36">
        <v>66.599999999999994</v>
      </c>
      <c r="BB175" s="43">
        <v>2</v>
      </c>
      <c r="BC175" s="45">
        <v>-1</v>
      </c>
      <c r="BD175" s="45">
        <v>-1</v>
      </c>
      <c r="BE175" s="45">
        <v>-1</v>
      </c>
      <c r="BF175" s="45">
        <v>100</v>
      </c>
      <c r="BG175" s="45">
        <v>-1</v>
      </c>
      <c r="BH175" s="45">
        <v>-1</v>
      </c>
      <c r="BI175" s="45">
        <v>-1</v>
      </c>
      <c r="BJ175" s="28">
        <v>1</v>
      </c>
      <c r="BK175" s="36">
        <v>70.5</v>
      </c>
      <c r="BL175" s="43">
        <v>2.5</v>
      </c>
      <c r="BM175" s="45">
        <v>3</v>
      </c>
      <c r="BN175" s="36">
        <v>70.5</v>
      </c>
      <c r="BO175" s="43">
        <v>1</v>
      </c>
    </row>
    <row r="176" spans="1:67" s="50" customFormat="1" ht="15" customHeight="1" x14ac:dyDescent="0.25">
      <c r="A176" s="50">
        <v>175</v>
      </c>
      <c r="B176" s="52" t="s">
        <v>276</v>
      </c>
      <c r="C176" s="68">
        <v>936061</v>
      </c>
      <c r="D176" s="36" t="s">
        <v>204</v>
      </c>
      <c r="E176" s="11" t="s">
        <v>16</v>
      </c>
      <c r="F176" s="39">
        <v>73.3</v>
      </c>
      <c r="G176" s="36">
        <v>73.3</v>
      </c>
      <c r="H176" s="36">
        <v>758.27586206896547</v>
      </c>
      <c r="I176" s="36">
        <v>69.989829396325447</v>
      </c>
      <c r="J176" s="36">
        <v>36.661339207599042</v>
      </c>
      <c r="K176" s="36">
        <v>6</v>
      </c>
      <c r="L176" s="36">
        <v>19478</v>
      </c>
      <c r="M176" s="36" t="s">
        <v>352</v>
      </c>
      <c r="N176" s="36">
        <v>100</v>
      </c>
      <c r="O176" s="36">
        <v>-1</v>
      </c>
      <c r="P176" s="36">
        <v>-1</v>
      </c>
      <c r="Q176" s="36">
        <v>-1</v>
      </c>
      <c r="R176" s="36">
        <v>-1</v>
      </c>
      <c r="S176" s="36">
        <v>-1</v>
      </c>
      <c r="T176" s="36">
        <v>-1</v>
      </c>
      <c r="U176" s="36">
        <v>-1</v>
      </c>
      <c r="V176" s="36">
        <v>-1</v>
      </c>
      <c r="W176" s="36">
        <v>-1</v>
      </c>
      <c r="X176" s="102">
        <v>-1</v>
      </c>
      <c r="Y176" s="29">
        <v>6</v>
      </c>
      <c r="Z176" s="47">
        <v>10</v>
      </c>
      <c r="AA176" s="46">
        <v>90</v>
      </c>
      <c r="AB176" s="50">
        <v>22476</v>
      </c>
      <c r="AC176" s="50" t="s">
        <v>157</v>
      </c>
      <c r="AD176" s="50">
        <v>100</v>
      </c>
      <c r="AE176" s="42">
        <v>14</v>
      </c>
      <c r="AF176" s="43">
        <v>1</v>
      </c>
      <c r="AG176" s="36">
        <v>80</v>
      </c>
      <c r="AH176" s="35">
        <v>2.7399999999999997E-2</v>
      </c>
      <c r="AI176" s="50">
        <v>40529</v>
      </c>
      <c r="AJ176" s="50" t="s">
        <v>356</v>
      </c>
      <c r="AK176" s="50">
        <v>100</v>
      </c>
      <c r="AL176" s="34">
        <v>15.2</v>
      </c>
      <c r="AM176" s="43">
        <v>0.75</v>
      </c>
      <c r="AN176" s="35">
        <v>0.25275862068965516</v>
      </c>
      <c r="AO176" s="35">
        <v>0.3538620689655172</v>
      </c>
      <c r="AP176" s="35">
        <v>1.1626896551724135</v>
      </c>
      <c r="AQ176" s="83">
        <v>2.5275862068965518</v>
      </c>
      <c r="AR176" s="46">
        <v>19478</v>
      </c>
      <c r="AS176" s="50" t="s">
        <v>352</v>
      </c>
      <c r="AT176" s="50">
        <v>100</v>
      </c>
      <c r="AU176" s="44">
        <v>-1</v>
      </c>
      <c r="AV176" s="48">
        <v>-1</v>
      </c>
      <c r="AW176" s="45">
        <v>2</v>
      </c>
      <c r="AX176" s="36">
        <v>12.5</v>
      </c>
      <c r="AY176" s="45">
        <v>2</v>
      </c>
      <c r="AZ176" s="45">
        <v>1</v>
      </c>
      <c r="BA176" s="36">
        <v>85.9</v>
      </c>
      <c r="BB176" s="43">
        <v>2</v>
      </c>
      <c r="BC176" s="45">
        <v>-1</v>
      </c>
      <c r="BD176" s="45">
        <v>-1</v>
      </c>
      <c r="BE176" s="45">
        <v>-1</v>
      </c>
      <c r="BF176" s="45">
        <v>100</v>
      </c>
      <c r="BG176" s="45">
        <v>-1</v>
      </c>
      <c r="BH176" s="45">
        <v>-1</v>
      </c>
      <c r="BI176" s="45">
        <v>-1</v>
      </c>
      <c r="BJ176" s="28">
        <v>1</v>
      </c>
      <c r="BK176" s="36">
        <v>91</v>
      </c>
      <c r="BL176" s="43">
        <v>2.5</v>
      </c>
      <c r="BM176" s="45">
        <v>3</v>
      </c>
      <c r="BN176" s="36">
        <v>91</v>
      </c>
      <c r="BO176" s="43">
        <v>1</v>
      </c>
    </row>
    <row r="177" spans="1:67" s="50" customFormat="1" ht="15" customHeight="1" x14ac:dyDescent="0.25">
      <c r="A177" s="50">
        <v>176</v>
      </c>
      <c r="B177" s="52" t="s">
        <v>277</v>
      </c>
      <c r="C177" s="68">
        <v>916091</v>
      </c>
      <c r="D177" s="36" t="s">
        <v>204</v>
      </c>
      <c r="E177" s="24" t="s">
        <v>353</v>
      </c>
      <c r="F177" s="39">
        <v>23.1</v>
      </c>
      <c r="G177" s="36">
        <v>23.1</v>
      </c>
      <c r="H177" s="36">
        <v>300.1512181461776</v>
      </c>
      <c r="I177" s="43">
        <v>40.983923884514432</v>
      </c>
      <c r="J177" s="36">
        <v>10.541065223097112</v>
      </c>
      <c r="K177" s="36">
        <v>4</v>
      </c>
      <c r="L177" s="36">
        <v>18033</v>
      </c>
      <c r="M177" s="36" t="s">
        <v>355</v>
      </c>
      <c r="N177" s="36">
        <v>100</v>
      </c>
      <c r="O177" s="36">
        <v>-1</v>
      </c>
      <c r="P177" s="36">
        <v>-1</v>
      </c>
      <c r="Q177" s="36">
        <v>-1</v>
      </c>
      <c r="R177" s="36">
        <v>-1</v>
      </c>
      <c r="S177" s="36">
        <v>-1</v>
      </c>
      <c r="T177" s="36">
        <v>-1</v>
      </c>
      <c r="U177" s="36">
        <v>-1</v>
      </c>
      <c r="V177" s="36">
        <v>-1</v>
      </c>
      <c r="W177" s="36">
        <v>1</v>
      </c>
      <c r="X177" s="102">
        <v>2</v>
      </c>
      <c r="Y177" s="29">
        <v>10</v>
      </c>
      <c r="Z177" s="47">
        <v>3</v>
      </c>
      <c r="AA177" s="46">
        <v>90</v>
      </c>
      <c r="AB177" s="50">
        <v>19479</v>
      </c>
      <c r="AC177" s="50" t="s">
        <v>357</v>
      </c>
      <c r="AD177" s="50">
        <v>100</v>
      </c>
      <c r="AE177" s="42">
        <v>22</v>
      </c>
      <c r="AF177" s="43">
        <v>1.25</v>
      </c>
      <c r="AG177" s="36">
        <v>80</v>
      </c>
      <c r="AH177" s="35">
        <v>0.96</v>
      </c>
      <c r="AI177" s="50">
        <v>40529</v>
      </c>
      <c r="AJ177" s="50" t="s">
        <v>356</v>
      </c>
      <c r="AK177" s="50">
        <v>100</v>
      </c>
      <c r="AL177" s="34">
        <v>17</v>
      </c>
      <c r="AM177" s="43">
        <v>1.86</v>
      </c>
      <c r="AN177" s="35">
        <v>0.3</v>
      </c>
      <c r="AO177" s="35">
        <v>0.32990758891066929</v>
      </c>
      <c r="AP177" s="35">
        <v>0.89915989918790262</v>
      </c>
      <c r="AQ177" s="84">
        <v>2.6327919350322042</v>
      </c>
      <c r="AR177" s="46">
        <v>18033</v>
      </c>
      <c r="AS177" s="46" t="s">
        <v>355</v>
      </c>
      <c r="AT177" s="46">
        <v>100</v>
      </c>
      <c r="AU177" s="44">
        <v>14</v>
      </c>
      <c r="AV177" s="45">
        <v>2</v>
      </c>
      <c r="AW177" s="45">
        <v>2</v>
      </c>
      <c r="AX177" s="36">
        <v>64</v>
      </c>
      <c r="AY177" s="43">
        <v>6.8</v>
      </c>
      <c r="AZ177" s="45">
        <v>1</v>
      </c>
      <c r="BA177" s="36">
        <v>8</v>
      </c>
      <c r="BB177" s="43">
        <v>0.7</v>
      </c>
      <c r="BC177" s="45">
        <v>-1</v>
      </c>
      <c r="BD177" s="45">
        <v>-1</v>
      </c>
      <c r="BE177" s="45">
        <v>100</v>
      </c>
      <c r="BF177" s="45">
        <v>-1</v>
      </c>
      <c r="BG177" s="45">
        <v>-1</v>
      </c>
      <c r="BH177" s="45">
        <v>-1</v>
      </c>
      <c r="BI177" s="45">
        <v>-1</v>
      </c>
      <c r="BJ177" s="28">
        <v>1</v>
      </c>
      <c r="BK177" s="36">
        <v>60</v>
      </c>
      <c r="BL177" s="43">
        <v>6.7</v>
      </c>
      <c r="BM177" s="45">
        <v>3</v>
      </c>
      <c r="BN177" s="36">
        <v>48</v>
      </c>
      <c r="BO177" s="43">
        <v>5</v>
      </c>
    </row>
    <row r="178" spans="1:67" s="50" customFormat="1" ht="15" customHeight="1" x14ac:dyDescent="0.25">
      <c r="A178" s="50">
        <v>177</v>
      </c>
      <c r="B178" s="52" t="s">
        <v>278</v>
      </c>
      <c r="C178" s="68">
        <v>926091</v>
      </c>
      <c r="D178" s="36" t="s">
        <v>204</v>
      </c>
      <c r="E178" s="24" t="s">
        <v>353</v>
      </c>
      <c r="F178" s="39">
        <v>56.1</v>
      </c>
      <c r="G178" s="36">
        <v>56.1</v>
      </c>
      <c r="H178" s="36">
        <v>728.93867264071696</v>
      </c>
      <c r="I178" s="43">
        <v>53.754265091863516</v>
      </c>
      <c r="J178" s="36">
        <v>13.825596981627296</v>
      </c>
      <c r="K178" s="36">
        <v>5</v>
      </c>
      <c r="L178" s="36">
        <v>18033</v>
      </c>
      <c r="M178" s="36" t="s">
        <v>355</v>
      </c>
      <c r="N178" s="36">
        <v>100</v>
      </c>
      <c r="O178" s="36">
        <v>-1</v>
      </c>
      <c r="P178" s="36">
        <v>-1</v>
      </c>
      <c r="Q178" s="36">
        <v>-1</v>
      </c>
      <c r="R178" s="36">
        <v>-1</v>
      </c>
      <c r="S178" s="36">
        <v>-1</v>
      </c>
      <c r="T178" s="36">
        <v>-1</v>
      </c>
      <c r="U178" s="36">
        <v>-1</v>
      </c>
      <c r="V178" s="36">
        <v>-1</v>
      </c>
      <c r="W178" s="36">
        <v>1</v>
      </c>
      <c r="X178" s="102">
        <v>2</v>
      </c>
      <c r="Y178" s="29">
        <v>10</v>
      </c>
      <c r="Z178" s="47">
        <v>3</v>
      </c>
      <c r="AA178" s="46">
        <v>90</v>
      </c>
      <c r="AB178" s="50">
        <v>19479</v>
      </c>
      <c r="AC178" s="50" t="s">
        <v>357</v>
      </c>
      <c r="AD178" s="50">
        <v>100</v>
      </c>
      <c r="AE178" s="42">
        <v>20</v>
      </c>
      <c r="AF178" s="43">
        <v>1.25</v>
      </c>
      <c r="AG178" s="36">
        <v>80</v>
      </c>
      <c r="AH178" s="35">
        <v>0.53</v>
      </c>
      <c r="AI178" s="50">
        <v>40529</v>
      </c>
      <c r="AJ178" s="50" t="s">
        <v>356</v>
      </c>
      <c r="AK178" s="50">
        <v>100</v>
      </c>
      <c r="AL178" s="34">
        <v>40</v>
      </c>
      <c r="AM178" s="43">
        <v>1.86</v>
      </c>
      <c r="AN178" s="35">
        <v>0.3</v>
      </c>
      <c r="AO178" s="35">
        <v>0.80120414449733968</v>
      </c>
      <c r="AP178" s="35">
        <v>2.183674040884906</v>
      </c>
      <c r="AQ178" s="84">
        <v>6.393923270792496</v>
      </c>
      <c r="AR178" s="46">
        <v>18033</v>
      </c>
      <c r="AS178" s="46" t="s">
        <v>355</v>
      </c>
      <c r="AT178" s="46">
        <v>100</v>
      </c>
      <c r="AU178" s="44">
        <v>14</v>
      </c>
      <c r="AV178" s="45">
        <v>2</v>
      </c>
      <c r="AW178" s="45">
        <v>2</v>
      </c>
      <c r="AX178" s="36">
        <v>64</v>
      </c>
      <c r="AY178" s="43">
        <v>6.8</v>
      </c>
      <c r="AZ178" s="45">
        <v>1</v>
      </c>
      <c r="BA178" s="36">
        <v>19</v>
      </c>
      <c r="BB178" s="43">
        <v>0.7</v>
      </c>
      <c r="BC178" s="45">
        <v>-1</v>
      </c>
      <c r="BD178" s="45">
        <v>-1</v>
      </c>
      <c r="BE178" s="45">
        <v>100</v>
      </c>
      <c r="BF178" s="45">
        <v>-1</v>
      </c>
      <c r="BG178" s="45">
        <v>-1</v>
      </c>
      <c r="BH178" s="45">
        <v>-1</v>
      </c>
      <c r="BI178" s="45">
        <v>-1</v>
      </c>
      <c r="BJ178" s="28">
        <v>1</v>
      </c>
      <c r="BK178" s="36">
        <v>100</v>
      </c>
      <c r="BL178" s="43">
        <v>6.7</v>
      </c>
      <c r="BM178" s="45">
        <v>3</v>
      </c>
      <c r="BN178" s="36">
        <v>100</v>
      </c>
      <c r="BO178" s="43">
        <v>5</v>
      </c>
    </row>
    <row r="179" spans="1:67" s="50" customFormat="1" ht="15" customHeight="1" x14ac:dyDescent="0.25">
      <c r="A179" s="50">
        <v>178</v>
      </c>
      <c r="B179" s="52" t="s">
        <v>279</v>
      </c>
      <c r="C179" s="68">
        <v>936091</v>
      </c>
      <c r="D179" s="36" t="s">
        <v>204</v>
      </c>
      <c r="E179" s="24" t="s">
        <v>353</v>
      </c>
      <c r="F179" s="39">
        <v>74.400000000000006</v>
      </c>
      <c r="G179" s="36">
        <v>74.400000000000006</v>
      </c>
      <c r="H179" s="36">
        <v>966.7208064967798</v>
      </c>
      <c r="I179" s="43">
        <v>67.50524934383202</v>
      </c>
      <c r="J179" s="36">
        <v>17.362350131233594</v>
      </c>
      <c r="K179" s="36">
        <v>6</v>
      </c>
      <c r="L179" s="36">
        <v>18033</v>
      </c>
      <c r="M179" s="36" t="s">
        <v>355</v>
      </c>
      <c r="N179" s="36">
        <v>100</v>
      </c>
      <c r="O179" s="36">
        <v>-1</v>
      </c>
      <c r="P179" s="36">
        <v>-1</v>
      </c>
      <c r="Q179" s="36">
        <v>-1</v>
      </c>
      <c r="R179" s="36">
        <v>-1</v>
      </c>
      <c r="S179" s="36">
        <v>-1</v>
      </c>
      <c r="T179" s="36">
        <v>-1</v>
      </c>
      <c r="U179" s="36">
        <v>-1</v>
      </c>
      <c r="V179" s="36">
        <v>-1</v>
      </c>
      <c r="W179" s="36">
        <v>1</v>
      </c>
      <c r="X179" s="102">
        <v>2</v>
      </c>
      <c r="Y179" s="29">
        <v>10</v>
      </c>
      <c r="Z179" s="47">
        <v>3</v>
      </c>
      <c r="AA179" s="46">
        <v>90</v>
      </c>
      <c r="AB179" s="50">
        <v>19479</v>
      </c>
      <c r="AC179" s="50" t="s">
        <v>357</v>
      </c>
      <c r="AD179" s="50">
        <v>100</v>
      </c>
      <c r="AE179" s="42">
        <v>5</v>
      </c>
      <c r="AF179" s="43">
        <v>1.25</v>
      </c>
      <c r="AG179" s="36">
        <v>80</v>
      </c>
      <c r="AH179" s="35">
        <v>0.2</v>
      </c>
      <c r="AI179" s="50">
        <v>40529</v>
      </c>
      <c r="AJ179" s="50" t="s">
        <v>356</v>
      </c>
      <c r="AK179" s="50">
        <v>100</v>
      </c>
      <c r="AL179" s="34">
        <v>54</v>
      </c>
      <c r="AM179" s="43">
        <v>1.86</v>
      </c>
      <c r="AN179" s="35">
        <v>0.3</v>
      </c>
      <c r="AO179" s="35">
        <v>1.0625595071408569</v>
      </c>
      <c r="AP179" s="35">
        <v>2.8959955194623355</v>
      </c>
      <c r="AQ179" s="84">
        <v>8.4796415569868397</v>
      </c>
      <c r="AR179" s="46">
        <v>18033</v>
      </c>
      <c r="AS179" s="46" t="s">
        <v>355</v>
      </c>
      <c r="AT179" s="46">
        <v>100</v>
      </c>
      <c r="AU179" s="44">
        <v>14</v>
      </c>
      <c r="AV179" s="45">
        <v>2</v>
      </c>
      <c r="AW179" s="45">
        <v>2</v>
      </c>
      <c r="AX179" s="36">
        <v>64</v>
      </c>
      <c r="AY179" s="43">
        <v>6.8</v>
      </c>
      <c r="AZ179" s="45">
        <v>1</v>
      </c>
      <c r="BA179" s="36">
        <v>25</v>
      </c>
      <c r="BB179" s="43">
        <v>0.7</v>
      </c>
      <c r="BC179" s="45">
        <v>-1</v>
      </c>
      <c r="BD179" s="45">
        <v>-1</v>
      </c>
      <c r="BE179" s="45">
        <v>100</v>
      </c>
      <c r="BF179" s="45">
        <v>-1</v>
      </c>
      <c r="BG179" s="45">
        <v>-1</v>
      </c>
      <c r="BH179" s="45">
        <v>-1</v>
      </c>
      <c r="BI179" s="45">
        <v>-1</v>
      </c>
      <c r="BJ179" s="28">
        <v>1</v>
      </c>
      <c r="BK179" s="36">
        <v>100</v>
      </c>
      <c r="BL179" s="43">
        <v>6.7</v>
      </c>
      <c r="BM179" s="45">
        <v>3</v>
      </c>
      <c r="BN179" s="36">
        <v>100</v>
      </c>
      <c r="BO179" s="43">
        <v>5</v>
      </c>
    </row>
    <row r="180" spans="1:67" s="50" customFormat="1" ht="15" customHeight="1" x14ac:dyDescent="0.25">
      <c r="A180" s="50">
        <v>179</v>
      </c>
      <c r="B180" s="52" t="s">
        <v>280</v>
      </c>
      <c r="C180" s="72">
        <v>916092</v>
      </c>
      <c r="D180" s="36" t="s">
        <v>204</v>
      </c>
      <c r="E180" s="76" t="s">
        <v>354</v>
      </c>
      <c r="F180" s="39">
        <v>18.600000000000001</v>
      </c>
      <c r="G180" s="36">
        <v>18.600000000000001</v>
      </c>
      <c r="H180" s="36">
        <v>65.100000000000009</v>
      </c>
      <c r="I180" s="43">
        <v>50.1</v>
      </c>
      <c r="J180" s="36">
        <v>17.682352941176472</v>
      </c>
      <c r="K180" s="36">
        <v>7.6623529411764704</v>
      </c>
      <c r="L180" s="36">
        <v>183412</v>
      </c>
      <c r="M180" s="36" t="s">
        <v>398</v>
      </c>
      <c r="N180" s="36">
        <v>100</v>
      </c>
      <c r="O180" s="36">
        <v>-1</v>
      </c>
      <c r="P180" s="36">
        <v>-1</v>
      </c>
      <c r="Q180" s="36">
        <v>-1</v>
      </c>
      <c r="R180" s="36">
        <v>-1</v>
      </c>
      <c r="S180" s="36">
        <v>-1</v>
      </c>
      <c r="T180" s="36">
        <v>-1</v>
      </c>
      <c r="U180" s="36">
        <v>-1</v>
      </c>
      <c r="V180" s="36">
        <v>-1</v>
      </c>
      <c r="W180" s="36">
        <v>1</v>
      </c>
      <c r="X180" s="102">
        <v>2</v>
      </c>
      <c r="Y180" s="29">
        <v>47.2</v>
      </c>
      <c r="Z180" s="47">
        <v>3</v>
      </c>
      <c r="AA180" s="47">
        <v>90</v>
      </c>
      <c r="AB180" s="50">
        <v>19479</v>
      </c>
      <c r="AC180" s="50" t="s">
        <v>357</v>
      </c>
      <c r="AD180" s="50">
        <v>100</v>
      </c>
      <c r="AE180" s="42">
        <v>18.88</v>
      </c>
      <c r="AF180" s="43">
        <v>1.3</v>
      </c>
      <c r="AG180" s="45">
        <v>80</v>
      </c>
      <c r="AH180" s="35">
        <v>0.51</v>
      </c>
      <c r="AI180" s="50">
        <v>40529</v>
      </c>
      <c r="AJ180" s="50" t="s">
        <v>356</v>
      </c>
      <c r="AK180" s="50">
        <v>100</v>
      </c>
      <c r="AL180" s="34">
        <v>10.695</v>
      </c>
      <c r="AM180" s="43">
        <v>1</v>
      </c>
      <c r="AN180" s="35">
        <v>0.13950000000000001</v>
      </c>
      <c r="AO180" s="35">
        <v>0.38129999999999997</v>
      </c>
      <c r="AP180" s="35">
        <v>0.78120000000000001</v>
      </c>
      <c r="AQ180" s="83">
        <v>2.5</v>
      </c>
      <c r="AR180" s="46">
        <v>183412</v>
      </c>
      <c r="AS180" s="50" t="s">
        <v>398</v>
      </c>
      <c r="AT180" s="50">
        <v>100</v>
      </c>
      <c r="AU180" s="44">
        <v>-1</v>
      </c>
      <c r="AV180" s="48">
        <v>-1</v>
      </c>
      <c r="AW180" s="45">
        <v>1</v>
      </c>
      <c r="AX180" s="45">
        <v>63</v>
      </c>
      <c r="AY180" s="45">
        <v>2.2999999999999998</v>
      </c>
      <c r="AZ180" s="45">
        <v>1</v>
      </c>
      <c r="BA180" s="45">
        <v>18.600000000000001</v>
      </c>
      <c r="BB180" s="35">
        <v>0.7</v>
      </c>
      <c r="BC180" s="45">
        <v>-1</v>
      </c>
      <c r="BD180" s="45">
        <v>-1</v>
      </c>
      <c r="BE180" s="45">
        <v>100</v>
      </c>
      <c r="BF180" s="45">
        <v>-1</v>
      </c>
      <c r="BG180" s="45">
        <v>-1</v>
      </c>
      <c r="BH180" s="45">
        <v>-1</v>
      </c>
      <c r="BI180" s="45">
        <v>-1</v>
      </c>
      <c r="BJ180" s="28">
        <v>2</v>
      </c>
      <c r="BK180" s="45">
        <v>23.25</v>
      </c>
      <c r="BL180" s="43">
        <v>5</v>
      </c>
      <c r="BM180" s="45">
        <v>4</v>
      </c>
      <c r="BN180" s="45">
        <v>23.25</v>
      </c>
      <c r="BO180" s="43">
        <v>5</v>
      </c>
    </row>
    <row r="181" spans="1:67" s="50" customFormat="1" ht="15" customHeight="1" x14ac:dyDescent="0.25">
      <c r="A181" s="50">
        <v>180</v>
      </c>
      <c r="B181" s="52" t="s">
        <v>281</v>
      </c>
      <c r="C181" s="72">
        <v>926092</v>
      </c>
      <c r="D181" s="36" t="s">
        <v>204</v>
      </c>
      <c r="E181" s="76" t="s">
        <v>354</v>
      </c>
      <c r="F181" s="39">
        <v>53.5</v>
      </c>
      <c r="G181" s="36">
        <v>53.5</v>
      </c>
      <c r="H181" s="36">
        <v>187.25</v>
      </c>
      <c r="I181" s="43">
        <v>61.6</v>
      </c>
      <c r="J181" s="36">
        <v>21.741176470588236</v>
      </c>
      <c r="K181" s="36">
        <v>9.4211764705882359</v>
      </c>
      <c r="L181" s="36">
        <v>183412</v>
      </c>
      <c r="M181" s="36" t="s">
        <v>398</v>
      </c>
      <c r="N181" s="36">
        <v>100</v>
      </c>
      <c r="O181" s="36">
        <v>-1</v>
      </c>
      <c r="P181" s="36">
        <v>-1</v>
      </c>
      <c r="Q181" s="36">
        <v>-1</v>
      </c>
      <c r="R181" s="36">
        <v>-1</v>
      </c>
      <c r="S181" s="36">
        <v>-1</v>
      </c>
      <c r="T181" s="36">
        <v>-1</v>
      </c>
      <c r="U181" s="36">
        <v>-1</v>
      </c>
      <c r="V181" s="36">
        <v>-1</v>
      </c>
      <c r="W181" s="36">
        <v>1</v>
      </c>
      <c r="X181" s="102">
        <v>2</v>
      </c>
      <c r="Y181" s="29">
        <v>32.799999999999997</v>
      </c>
      <c r="Z181" s="47">
        <v>3</v>
      </c>
      <c r="AA181" s="47">
        <v>90</v>
      </c>
      <c r="AB181" s="50">
        <v>19479</v>
      </c>
      <c r="AC181" s="50" t="s">
        <v>357</v>
      </c>
      <c r="AD181" s="50">
        <v>100</v>
      </c>
      <c r="AE181" s="42">
        <v>13.120000000000001</v>
      </c>
      <c r="AF181" s="43">
        <v>1.3</v>
      </c>
      <c r="AG181" s="45">
        <v>80</v>
      </c>
      <c r="AH181" s="35">
        <v>0.36</v>
      </c>
      <c r="AI181" s="50">
        <v>40529</v>
      </c>
      <c r="AJ181" s="50" t="s">
        <v>356</v>
      </c>
      <c r="AK181" s="50">
        <v>100</v>
      </c>
      <c r="AL181" s="34">
        <v>30.762499999999999</v>
      </c>
      <c r="AM181" s="43">
        <v>1</v>
      </c>
      <c r="AN181" s="35">
        <v>0.40125</v>
      </c>
      <c r="AO181" s="35">
        <v>1.0967499999999999</v>
      </c>
      <c r="AP181" s="35">
        <v>2.2469999999999999</v>
      </c>
      <c r="AQ181" s="83">
        <v>7.1</v>
      </c>
      <c r="AR181" s="46">
        <v>183412</v>
      </c>
      <c r="AS181" s="50" t="s">
        <v>398</v>
      </c>
      <c r="AT181" s="50">
        <v>100</v>
      </c>
      <c r="AU181" s="44">
        <v>-1</v>
      </c>
      <c r="AV181" s="48">
        <v>-1</v>
      </c>
      <c r="AW181" s="45">
        <v>1</v>
      </c>
      <c r="AX181" s="45">
        <v>63</v>
      </c>
      <c r="AY181" s="45">
        <v>2.2999999999999998</v>
      </c>
      <c r="AZ181" s="45">
        <v>1</v>
      </c>
      <c r="BA181" s="45">
        <v>53.5</v>
      </c>
      <c r="BB181" s="35">
        <v>0.7</v>
      </c>
      <c r="BC181" s="45">
        <v>-1</v>
      </c>
      <c r="BD181" s="45">
        <v>-1</v>
      </c>
      <c r="BE181" s="45">
        <v>100</v>
      </c>
      <c r="BF181" s="45">
        <v>-1</v>
      </c>
      <c r="BG181" s="45">
        <v>-1</v>
      </c>
      <c r="BH181" s="45">
        <v>-1</v>
      </c>
      <c r="BI181" s="45">
        <v>-1</v>
      </c>
      <c r="BJ181" s="28">
        <v>2</v>
      </c>
      <c r="BK181" s="45">
        <v>100</v>
      </c>
      <c r="BL181" s="43">
        <v>5</v>
      </c>
      <c r="BM181" s="45">
        <v>4</v>
      </c>
      <c r="BN181" s="45">
        <v>66.874999999999986</v>
      </c>
      <c r="BO181" s="43">
        <v>5</v>
      </c>
    </row>
    <row r="182" spans="1:67" s="50" customFormat="1" ht="15" customHeight="1" x14ac:dyDescent="0.25">
      <c r="A182" s="50">
        <v>181</v>
      </c>
      <c r="B182" s="52" t="s">
        <v>282</v>
      </c>
      <c r="C182" s="72">
        <v>936092</v>
      </c>
      <c r="D182" s="36" t="s">
        <v>204</v>
      </c>
      <c r="E182" s="76" t="s">
        <v>354</v>
      </c>
      <c r="F182" s="39">
        <v>74.8</v>
      </c>
      <c r="G182" s="36">
        <v>74.8</v>
      </c>
      <c r="H182" s="36">
        <v>261.79999999999995</v>
      </c>
      <c r="I182" s="43">
        <v>70.900000000000006</v>
      </c>
      <c r="J182" s="36">
        <v>25.023529411764706</v>
      </c>
      <c r="K182" s="36">
        <v>10</v>
      </c>
      <c r="L182" s="36">
        <v>183412</v>
      </c>
      <c r="M182" s="36" t="s">
        <v>398</v>
      </c>
      <c r="N182" s="36">
        <v>100</v>
      </c>
      <c r="O182" s="36">
        <v>-1</v>
      </c>
      <c r="P182" s="36">
        <v>-1</v>
      </c>
      <c r="Q182" s="36">
        <v>-1</v>
      </c>
      <c r="R182" s="36">
        <v>-1</v>
      </c>
      <c r="S182" s="36">
        <v>-1</v>
      </c>
      <c r="T182" s="36">
        <v>-1</v>
      </c>
      <c r="U182" s="36">
        <v>-1</v>
      </c>
      <c r="V182" s="36">
        <v>-1</v>
      </c>
      <c r="W182" s="36">
        <v>1</v>
      </c>
      <c r="X182" s="102">
        <v>2</v>
      </c>
      <c r="Y182" s="29">
        <v>18.000000000000004</v>
      </c>
      <c r="Z182" s="47">
        <v>3</v>
      </c>
      <c r="AA182" s="47">
        <v>90</v>
      </c>
      <c r="AB182" s="50">
        <v>19479</v>
      </c>
      <c r="AC182" s="50" t="s">
        <v>357</v>
      </c>
      <c r="AD182" s="50">
        <v>100</v>
      </c>
      <c r="AE182" s="42">
        <v>7.2000000000000011</v>
      </c>
      <c r="AF182" s="43">
        <v>1.3</v>
      </c>
      <c r="AG182" s="45">
        <v>80</v>
      </c>
      <c r="AH182" s="35">
        <v>0.2</v>
      </c>
      <c r="AI182" s="50">
        <v>40529</v>
      </c>
      <c r="AJ182" s="50" t="s">
        <v>356</v>
      </c>
      <c r="AK182" s="50">
        <v>100</v>
      </c>
      <c r="AL182" s="34">
        <v>43.01</v>
      </c>
      <c r="AM182" s="43">
        <v>1</v>
      </c>
      <c r="AN182" s="35">
        <v>0.56099999999999994</v>
      </c>
      <c r="AO182" s="35">
        <v>1.5333999999999997</v>
      </c>
      <c r="AP182" s="35">
        <v>3.1415999999999999</v>
      </c>
      <c r="AQ182" s="83">
        <v>9.9</v>
      </c>
      <c r="AR182" s="46">
        <v>183412</v>
      </c>
      <c r="AS182" s="50" t="s">
        <v>398</v>
      </c>
      <c r="AT182" s="50">
        <v>100</v>
      </c>
      <c r="AU182" s="44">
        <v>-1</v>
      </c>
      <c r="AV182" s="48">
        <v>-1</v>
      </c>
      <c r="AW182" s="45">
        <v>1</v>
      </c>
      <c r="AX182" s="45">
        <v>63</v>
      </c>
      <c r="AY182" s="45">
        <v>2.2999999999999998</v>
      </c>
      <c r="AZ182" s="45">
        <v>1</v>
      </c>
      <c r="BA182" s="45">
        <v>74.8</v>
      </c>
      <c r="BB182" s="35">
        <v>0.7</v>
      </c>
      <c r="BC182" s="45">
        <v>-1</v>
      </c>
      <c r="BD182" s="45">
        <v>-1</v>
      </c>
      <c r="BE182" s="45">
        <v>100</v>
      </c>
      <c r="BF182" s="45">
        <v>-1</v>
      </c>
      <c r="BG182" s="45">
        <v>-1</v>
      </c>
      <c r="BH182" s="45">
        <v>-1</v>
      </c>
      <c r="BI182" s="45">
        <v>-1</v>
      </c>
      <c r="BJ182" s="28">
        <v>2</v>
      </c>
      <c r="BK182" s="45">
        <v>100</v>
      </c>
      <c r="BL182" s="43">
        <v>5</v>
      </c>
      <c r="BM182" s="45">
        <v>4</v>
      </c>
      <c r="BN182" s="45">
        <v>100</v>
      </c>
      <c r="BO182" s="43">
        <v>5</v>
      </c>
    </row>
    <row r="183" spans="1:67" s="50" customFormat="1" ht="15" customHeight="1" x14ac:dyDescent="0.25">
      <c r="A183" s="50">
        <v>182</v>
      </c>
      <c r="B183" s="52" t="s">
        <v>283</v>
      </c>
      <c r="C183" s="52">
        <v>916100</v>
      </c>
      <c r="D183" s="36" t="s">
        <v>204</v>
      </c>
      <c r="E183" s="17" t="s">
        <v>134</v>
      </c>
      <c r="F183" s="39">
        <v>25</v>
      </c>
      <c r="G183" s="43">
        <v>25</v>
      </c>
      <c r="H183" s="36">
        <v>162.5</v>
      </c>
      <c r="I183" s="43">
        <v>42.954396325459314</v>
      </c>
      <c r="J183" s="43">
        <v>20.045384951881012</v>
      </c>
      <c r="K183" s="36">
        <v>6.2427055993000877</v>
      </c>
      <c r="L183" s="55" t="s">
        <v>359</v>
      </c>
      <c r="M183" s="36" t="s">
        <v>358</v>
      </c>
      <c r="N183" s="36" t="s">
        <v>156</v>
      </c>
      <c r="O183" s="43">
        <v>6.4516129032258061</v>
      </c>
      <c r="P183" s="36">
        <v>66.129032258064512</v>
      </c>
      <c r="Q183" s="43">
        <v>22.909011373578299</v>
      </c>
      <c r="R183" s="43">
        <v>9.5454214056576241</v>
      </c>
      <c r="S183" s="43">
        <v>3.6272601341498976</v>
      </c>
      <c r="T183" s="36">
        <v>18033</v>
      </c>
      <c r="U183" s="36" t="s">
        <v>355</v>
      </c>
      <c r="V183" s="36">
        <v>100</v>
      </c>
      <c r="W183" s="36">
        <v>1</v>
      </c>
      <c r="X183" s="102">
        <v>2</v>
      </c>
      <c r="Y183" s="29">
        <v>13</v>
      </c>
      <c r="Z183" s="47">
        <v>11.25</v>
      </c>
      <c r="AA183" s="46">
        <v>90</v>
      </c>
      <c r="AB183" s="50">
        <v>22476</v>
      </c>
      <c r="AC183" s="50" t="s">
        <v>157</v>
      </c>
      <c r="AD183" s="50">
        <v>100</v>
      </c>
      <c r="AE183" s="42">
        <v>62</v>
      </c>
      <c r="AF183" s="43">
        <v>1.25</v>
      </c>
      <c r="AG183" s="36">
        <v>80</v>
      </c>
      <c r="AH183" s="35">
        <v>1.7427027027027029</v>
      </c>
      <c r="AI183" s="50">
        <v>40529</v>
      </c>
      <c r="AJ183" s="50" t="s">
        <v>356</v>
      </c>
      <c r="AK183" s="50">
        <v>100</v>
      </c>
      <c r="AL183" s="34">
        <v>10.1</v>
      </c>
      <c r="AM183" s="43">
        <v>1.0249999999999999</v>
      </c>
      <c r="AN183" s="35">
        <v>0.22580645161290322</v>
      </c>
      <c r="AO183" s="35">
        <v>0.30645161290322581</v>
      </c>
      <c r="AP183" s="35">
        <v>0.60483870967741937</v>
      </c>
      <c r="AQ183" s="83">
        <v>2.096774193548387</v>
      </c>
      <c r="AR183" s="46" t="s">
        <v>359</v>
      </c>
      <c r="AS183" s="50" t="s">
        <v>358</v>
      </c>
      <c r="AT183" s="50" t="s">
        <v>156</v>
      </c>
      <c r="AU183" s="44">
        <v>4.25</v>
      </c>
      <c r="AV183" s="45">
        <v>2</v>
      </c>
      <c r="AW183" s="45">
        <v>2</v>
      </c>
      <c r="AX183" s="36">
        <v>27.5</v>
      </c>
      <c r="AY183" s="45">
        <v>2</v>
      </c>
      <c r="AZ183" s="45">
        <v>1</v>
      </c>
      <c r="BA183" s="36">
        <v>23.4</v>
      </c>
      <c r="BB183" s="43">
        <v>1.63</v>
      </c>
      <c r="BC183" s="45">
        <v>-1</v>
      </c>
      <c r="BD183" s="45">
        <v>-1</v>
      </c>
      <c r="BE183" s="45">
        <v>30</v>
      </c>
      <c r="BF183" s="45">
        <v>70</v>
      </c>
      <c r="BG183" s="45">
        <v>-1</v>
      </c>
      <c r="BH183" s="45">
        <v>-1</v>
      </c>
      <c r="BI183" s="45">
        <v>-1</v>
      </c>
      <c r="BJ183" s="28">
        <v>1</v>
      </c>
      <c r="BK183" s="36">
        <v>29</v>
      </c>
      <c r="BL183" s="43">
        <v>2</v>
      </c>
      <c r="BM183" s="45">
        <v>3</v>
      </c>
      <c r="BN183" s="36">
        <v>29</v>
      </c>
      <c r="BO183" s="43">
        <v>1</v>
      </c>
    </row>
    <row r="184" spans="1:67" s="50" customFormat="1" ht="15" customHeight="1" x14ac:dyDescent="0.25">
      <c r="A184" s="50">
        <v>183</v>
      </c>
      <c r="B184" s="52" t="s">
        <v>284</v>
      </c>
      <c r="C184" s="52">
        <v>926100</v>
      </c>
      <c r="D184" s="36" t="s">
        <v>204</v>
      </c>
      <c r="E184" s="17" t="s">
        <v>134</v>
      </c>
      <c r="F184" s="39">
        <v>57.4</v>
      </c>
      <c r="G184" s="43">
        <v>57.4</v>
      </c>
      <c r="H184" s="36">
        <v>373.1</v>
      </c>
      <c r="I184" s="43">
        <v>60.834645669291341</v>
      </c>
      <c r="J184" s="43">
        <v>28.389501312335959</v>
      </c>
      <c r="K184" s="36">
        <v>8</v>
      </c>
      <c r="L184" s="55" t="s">
        <v>359</v>
      </c>
      <c r="M184" s="36" t="s">
        <v>358</v>
      </c>
      <c r="N184" s="36" t="s">
        <v>156</v>
      </c>
      <c r="O184" s="43">
        <v>14.812903225806451</v>
      </c>
      <c r="P184" s="36">
        <v>151.83225806451611</v>
      </c>
      <c r="Q184" s="43">
        <v>32.445144356955382</v>
      </c>
      <c r="R184" s="43">
        <v>13.51881014873141</v>
      </c>
      <c r="S184" s="43">
        <v>5.1371478565179354</v>
      </c>
      <c r="T184" s="36">
        <v>18033</v>
      </c>
      <c r="U184" s="36" t="s">
        <v>355</v>
      </c>
      <c r="V184" s="36">
        <v>100</v>
      </c>
      <c r="W184" s="36">
        <v>1</v>
      </c>
      <c r="X184" s="102">
        <v>2</v>
      </c>
      <c r="Y184" s="29">
        <v>13</v>
      </c>
      <c r="Z184" s="47">
        <v>11.25</v>
      </c>
      <c r="AA184" s="46">
        <v>90</v>
      </c>
      <c r="AB184" s="50">
        <v>22476</v>
      </c>
      <c r="AC184" s="50" t="s">
        <v>157</v>
      </c>
      <c r="AD184" s="50">
        <v>100</v>
      </c>
      <c r="AE184" s="42">
        <v>30</v>
      </c>
      <c r="AF184" s="43">
        <v>1.25</v>
      </c>
      <c r="AG184" s="36">
        <v>80</v>
      </c>
      <c r="AH184" s="35">
        <v>0.83200000000000007</v>
      </c>
      <c r="AI184" s="50">
        <v>40529</v>
      </c>
      <c r="AJ184" s="50" t="s">
        <v>356</v>
      </c>
      <c r="AK184" s="50">
        <v>100</v>
      </c>
      <c r="AL184" s="34">
        <v>23.1</v>
      </c>
      <c r="AM184" s="43">
        <v>1.0249999999999999</v>
      </c>
      <c r="AN184" s="35">
        <v>0.51845161290322583</v>
      </c>
      <c r="AO184" s="35">
        <v>0.70361290322580639</v>
      </c>
      <c r="AP184" s="35">
        <v>1.3887096774193548</v>
      </c>
      <c r="AQ184" s="83">
        <v>4.8141935483870961</v>
      </c>
      <c r="AR184" s="46" t="s">
        <v>359</v>
      </c>
      <c r="AS184" s="50" t="s">
        <v>358</v>
      </c>
      <c r="AT184" s="50" t="s">
        <v>156</v>
      </c>
      <c r="AU184" s="44">
        <v>4.25</v>
      </c>
      <c r="AV184" s="45">
        <v>2</v>
      </c>
      <c r="AW184" s="45">
        <v>2</v>
      </c>
      <c r="AX184" s="36">
        <v>27.5</v>
      </c>
      <c r="AY184" s="45">
        <v>2</v>
      </c>
      <c r="AZ184" s="45">
        <v>1</v>
      </c>
      <c r="BA184" s="36">
        <v>53.7</v>
      </c>
      <c r="BB184" s="43">
        <v>1.63</v>
      </c>
      <c r="BC184" s="45">
        <v>-1</v>
      </c>
      <c r="BD184" s="45">
        <v>-1</v>
      </c>
      <c r="BE184" s="45">
        <v>30</v>
      </c>
      <c r="BF184" s="45">
        <v>70</v>
      </c>
      <c r="BG184" s="45">
        <v>-1</v>
      </c>
      <c r="BH184" s="45">
        <v>-1</v>
      </c>
      <c r="BI184" s="45">
        <v>-1</v>
      </c>
      <c r="BJ184" s="28">
        <v>1</v>
      </c>
      <c r="BK184" s="36">
        <v>66.7</v>
      </c>
      <c r="BL184" s="43">
        <v>2</v>
      </c>
      <c r="BM184" s="45">
        <v>3</v>
      </c>
      <c r="BN184" s="36">
        <v>66.7</v>
      </c>
      <c r="BO184" s="43">
        <v>1</v>
      </c>
    </row>
    <row r="185" spans="1:67" s="50" customFormat="1" ht="15" customHeight="1" x14ac:dyDescent="0.25">
      <c r="A185" s="50">
        <v>184</v>
      </c>
      <c r="B185" s="52" t="s">
        <v>285</v>
      </c>
      <c r="C185" s="52">
        <v>936100</v>
      </c>
      <c r="D185" s="36" t="s">
        <v>204</v>
      </c>
      <c r="E185" s="17" t="s">
        <v>134</v>
      </c>
      <c r="F185" s="39">
        <v>73.900000000000006</v>
      </c>
      <c r="G185" s="43">
        <v>73.900000000000006</v>
      </c>
      <c r="H185" s="36">
        <v>480.35</v>
      </c>
      <c r="I185" s="43">
        <v>68.587270341207343</v>
      </c>
      <c r="J185" s="43">
        <v>32.007392825896765</v>
      </c>
      <c r="K185" s="36">
        <v>9</v>
      </c>
      <c r="L185" s="36" t="s">
        <v>359</v>
      </c>
      <c r="M185" s="36" t="s">
        <v>358</v>
      </c>
      <c r="N185" s="36" t="s">
        <v>156</v>
      </c>
      <c r="O185" s="43">
        <v>19.070967741935483</v>
      </c>
      <c r="P185" s="36">
        <v>195.4774193548387</v>
      </c>
      <c r="Q185" s="43">
        <v>36.579877515310585</v>
      </c>
      <c r="R185" s="43">
        <v>15.241615631379409</v>
      </c>
      <c r="S185" s="43">
        <v>5.7918139399241753</v>
      </c>
      <c r="T185" s="36">
        <v>18033</v>
      </c>
      <c r="U185" s="36" t="s">
        <v>355</v>
      </c>
      <c r="V185" s="36">
        <v>100</v>
      </c>
      <c r="W185" s="36">
        <v>1</v>
      </c>
      <c r="X185" s="102">
        <v>2</v>
      </c>
      <c r="Y185" s="29">
        <v>13</v>
      </c>
      <c r="Z185" s="47">
        <v>11.25</v>
      </c>
      <c r="AA185" s="46">
        <v>90</v>
      </c>
      <c r="AB185" s="50">
        <v>22476</v>
      </c>
      <c r="AC185" s="50" t="s">
        <v>157</v>
      </c>
      <c r="AD185" s="50">
        <v>100</v>
      </c>
      <c r="AE185" s="42">
        <v>13</v>
      </c>
      <c r="AF185" s="43">
        <v>1.25</v>
      </c>
      <c r="AG185" s="36">
        <v>80</v>
      </c>
      <c r="AH185" s="35">
        <v>0.36821621621621625</v>
      </c>
      <c r="AI185" s="50">
        <v>40529</v>
      </c>
      <c r="AJ185" s="50" t="s">
        <v>356</v>
      </c>
      <c r="AK185" s="50">
        <v>100</v>
      </c>
      <c r="AL185" s="34">
        <v>29.8</v>
      </c>
      <c r="AM185" s="43">
        <v>1.0249999999999999</v>
      </c>
      <c r="AN185" s="35">
        <v>0.66748387096774198</v>
      </c>
      <c r="AO185" s="35">
        <v>0.90587096774193543</v>
      </c>
      <c r="AP185" s="35">
        <v>1.7879032258064516</v>
      </c>
      <c r="AQ185" s="83">
        <v>6.1980645161290324</v>
      </c>
      <c r="AR185" s="46" t="s">
        <v>359</v>
      </c>
      <c r="AS185" s="50" t="s">
        <v>358</v>
      </c>
      <c r="AT185" s="50" t="s">
        <v>156</v>
      </c>
      <c r="AU185" s="44">
        <v>4.25</v>
      </c>
      <c r="AV185" s="45">
        <v>2</v>
      </c>
      <c r="AW185" s="45">
        <v>2</v>
      </c>
      <c r="AX185" s="36">
        <v>27.5</v>
      </c>
      <c r="AY185" s="45">
        <v>2</v>
      </c>
      <c r="AZ185" s="45">
        <v>1</v>
      </c>
      <c r="BA185" s="36">
        <v>69.099999999999994</v>
      </c>
      <c r="BB185" s="43">
        <v>1.63</v>
      </c>
      <c r="BC185" s="45">
        <v>-1</v>
      </c>
      <c r="BD185" s="45">
        <v>-1</v>
      </c>
      <c r="BE185" s="45">
        <v>30</v>
      </c>
      <c r="BF185" s="45">
        <v>70</v>
      </c>
      <c r="BG185" s="45">
        <v>-1</v>
      </c>
      <c r="BH185" s="45">
        <v>-1</v>
      </c>
      <c r="BI185" s="45">
        <v>-1</v>
      </c>
      <c r="BJ185" s="28">
        <v>1</v>
      </c>
      <c r="BK185" s="36">
        <v>85.8</v>
      </c>
      <c r="BL185" s="43">
        <v>2</v>
      </c>
      <c r="BM185" s="45">
        <v>3</v>
      </c>
      <c r="BN185" s="36">
        <v>85.8</v>
      </c>
      <c r="BO185" s="43">
        <v>1</v>
      </c>
    </row>
    <row r="186" spans="1:67" s="50" customFormat="1" ht="15" customHeight="1" x14ac:dyDescent="0.25">
      <c r="A186" s="50">
        <v>185</v>
      </c>
      <c r="B186" s="52" t="s">
        <v>286</v>
      </c>
      <c r="C186" s="72">
        <v>916102</v>
      </c>
      <c r="D186" s="36" t="s">
        <v>204</v>
      </c>
      <c r="E186" s="77" t="s">
        <v>406</v>
      </c>
      <c r="F186" s="39">
        <v>20.399999999999999</v>
      </c>
      <c r="G186" s="36">
        <v>20.399999999999999</v>
      </c>
      <c r="H186" s="36">
        <v>71.399999999999991</v>
      </c>
      <c r="I186" s="43">
        <v>53.7</v>
      </c>
      <c r="J186" s="36">
        <v>18.952941176470588</v>
      </c>
      <c r="K186" s="36">
        <v>8.2129411764705882</v>
      </c>
      <c r="L186" s="55" t="s">
        <v>400</v>
      </c>
      <c r="M186" s="36" t="s">
        <v>399</v>
      </c>
      <c r="N186" s="36" t="s">
        <v>156</v>
      </c>
      <c r="O186" s="36">
        <v>-1</v>
      </c>
      <c r="P186" s="36">
        <v>-1</v>
      </c>
      <c r="Q186" s="36">
        <v>-1</v>
      </c>
      <c r="R186" s="36">
        <v>-1</v>
      </c>
      <c r="S186" s="36">
        <v>-1</v>
      </c>
      <c r="T186" s="36">
        <v>-1</v>
      </c>
      <c r="U186" s="36">
        <v>-1</v>
      </c>
      <c r="V186" s="36">
        <v>-1</v>
      </c>
      <c r="W186" s="36">
        <v>1</v>
      </c>
      <c r="X186" s="102">
        <v>2</v>
      </c>
      <c r="Y186" s="29">
        <v>45.271428571428572</v>
      </c>
      <c r="Z186" s="47">
        <v>3</v>
      </c>
      <c r="AA186" s="47">
        <v>90</v>
      </c>
      <c r="AB186" s="50">
        <v>19479</v>
      </c>
      <c r="AC186" s="50" t="s">
        <v>357</v>
      </c>
      <c r="AD186" s="50">
        <v>100</v>
      </c>
      <c r="AE186" s="42">
        <v>18.10857142857143</v>
      </c>
      <c r="AF186" s="43">
        <v>1.3</v>
      </c>
      <c r="AG186" s="45">
        <v>80</v>
      </c>
      <c r="AH186" s="35">
        <v>0.49</v>
      </c>
      <c r="AI186" s="50">
        <v>40529</v>
      </c>
      <c r="AJ186" s="50" t="s">
        <v>356</v>
      </c>
      <c r="AK186" s="50">
        <v>100</v>
      </c>
      <c r="AL186" s="34">
        <v>11.729999999999999</v>
      </c>
      <c r="AM186" s="43">
        <v>1</v>
      </c>
      <c r="AN186" s="35">
        <v>0.15299999999999997</v>
      </c>
      <c r="AO186" s="35">
        <v>0.41819999999999991</v>
      </c>
      <c r="AP186" s="35">
        <v>0.85680000000000001</v>
      </c>
      <c r="AQ186" s="83">
        <v>2.7</v>
      </c>
      <c r="AR186" s="46" t="s">
        <v>400</v>
      </c>
      <c r="AS186" s="50" t="s">
        <v>399</v>
      </c>
      <c r="AT186" s="50" t="s">
        <v>156</v>
      </c>
      <c r="AU186" s="44">
        <v>-1</v>
      </c>
      <c r="AV186" s="48">
        <v>-1</v>
      </c>
      <c r="AW186" s="45">
        <v>1</v>
      </c>
      <c r="AX186" s="45">
        <v>63</v>
      </c>
      <c r="AY186" s="45">
        <v>2.2999999999999998</v>
      </c>
      <c r="AZ186" s="45">
        <v>1</v>
      </c>
      <c r="BA186" s="45">
        <v>20.399999999999999</v>
      </c>
      <c r="BB186" s="35">
        <v>0.7</v>
      </c>
      <c r="BC186" s="45">
        <v>-1</v>
      </c>
      <c r="BD186" s="45">
        <v>-1</v>
      </c>
      <c r="BE186" s="45">
        <v>50</v>
      </c>
      <c r="BF186" s="45">
        <v>50</v>
      </c>
      <c r="BG186" s="45">
        <v>-1</v>
      </c>
      <c r="BH186" s="45">
        <v>-1</v>
      </c>
      <c r="BI186" s="45">
        <v>-1</v>
      </c>
      <c r="BJ186" s="28">
        <v>2</v>
      </c>
      <c r="BK186" s="45">
        <v>25.499999999999996</v>
      </c>
      <c r="BL186" s="43">
        <v>5</v>
      </c>
      <c r="BM186" s="45">
        <v>4</v>
      </c>
      <c r="BN186" s="45">
        <v>25.499999999999996</v>
      </c>
      <c r="BO186" s="43">
        <v>5</v>
      </c>
    </row>
    <row r="187" spans="1:67" s="50" customFormat="1" ht="15" customHeight="1" x14ac:dyDescent="0.25">
      <c r="A187" s="50">
        <v>186</v>
      </c>
      <c r="B187" s="52" t="s">
        <v>287</v>
      </c>
      <c r="C187" s="72">
        <v>926102</v>
      </c>
      <c r="D187" s="36" t="s">
        <v>204</v>
      </c>
      <c r="E187" s="77" t="s">
        <v>406</v>
      </c>
      <c r="F187" s="39">
        <v>58.6</v>
      </c>
      <c r="G187" s="36">
        <v>58.6</v>
      </c>
      <c r="H187" s="36">
        <v>205.1</v>
      </c>
      <c r="I187" s="43">
        <v>66.7</v>
      </c>
      <c r="J187" s="36">
        <v>23.541176470588237</v>
      </c>
      <c r="K187" s="36">
        <v>10.201176470588235</v>
      </c>
      <c r="L187" s="36" t="s">
        <v>400</v>
      </c>
      <c r="M187" s="36" t="s">
        <v>399</v>
      </c>
      <c r="N187" s="36" t="s">
        <v>156</v>
      </c>
      <c r="O187" s="36">
        <v>-1</v>
      </c>
      <c r="P187" s="36">
        <v>-1</v>
      </c>
      <c r="Q187" s="36">
        <v>-1</v>
      </c>
      <c r="R187" s="36">
        <v>-1</v>
      </c>
      <c r="S187" s="36">
        <v>-1</v>
      </c>
      <c r="T187" s="36">
        <v>-1</v>
      </c>
      <c r="U187" s="36">
        <v>-1</v>
      </c>
      <c r="V187" s="36">
        <v>-1</v>
      </c>
      <c r="W187" s="36">
        <v>1</v>
      </c>
      <c r="X187" s="102">
        <v>2</v>
      </c>
      <c r="Y187" s="29">
        <v>28.37142857142857</v>
      </c>
      <c r="Z187" s="47">
        <v>3</v>
      </c>
      <c r="AA187" s="47">
        <v>90</v>
      </c>
      <c r="AB187" s="50">
        <v>19479</v>
      </c>
      <c r="AC187" s="50" t="s">
        <v>357</v>
      </c>
      <c r="AD187" s="50">
        <v>100</v>
      </c>
      <c r="AE187" s="42">
        <v>11.348571428571429</v>
      </c>
      <c r="AF187" s="43">
        <v>1.3</v>
      </c>
      <c r="AG187" s="45">
        <v>80</v>
      </c>
      <c r="AH187" s="35">
        <v>0.31</v>
      </c>
      <c r="AI187" s="50">
        <v>40529</v>
      </c>
      <c r="AJ187" s="50" t="s">
        <v>356</v>
      </c>
      <c r="AK187" s="50">
        <v>100</v>
      </c>
      <c r="AL187" s="34">
        <v>33.695</v>
      </c>
      <c r="AM187" s="43">
        <v>1</v>
      </c>
      <c r="AN187" s="35">
        <v>0.4395</v>
      </c>
      <c r="AO187" s="35">
        <v>1.2012999999999998</v>
      </c>
      <c r="AP187" s="35">
        <v>2.4611999999999998</v>
      </c>
      <c r="AQ187" s="83">
        <v>7.7</v>
      </c>
      <c r="AR187" s="46" t="s">
        <v>400</v>
      </c>
      <c r="AS187" s="50" t="s">
        <v>399</v>
      </c>
      <c r="AT187" s="50" t="s">
        <v>156</v>
      </c>
      <c r="AU187" s="44">
        <v>-1</v>
      </c>
      <c r="AV187" s="48">
        <v>-1</v>
      </c>
      <c r="AW187" s="45">
        <v>1</v>
      </c>
      <c r="AX187" s="45">
        <v>63</v>
      </c>
      <c r="AY187" s="45">
        <v>2.2999999999999998</v>
      </c>
      <c r="AZ187" s="45">
        <v>1</v>
      </c>
      <c r="BA187" s="45">
        <v>58.6</v>
      </c>
      <c r="BB187" s="35">
        <v>0.7</v>
      </c>
      <c r="BC187" s="45">
        <v>-1</v>
      </c>
      <c r="BD187" s="45">
        <v>-1</v>
      </c>
      <c r="BE187" s="45">
        <v>50</v>
      </c>
      <c r="BF187" s="45">
        <v>50</v>
      </c>
      <c r="BG187" s="45">
        <v>-1</v>
      </c>
      <c r="BH187" s="45">
        <v>-1</v>
      </c>
      <c r="BI187" s="45">
        <v>-1</v>
      </c>
      <c r="BJ187" s="28">
        <v>2</v>
      </c>
      <c r="BK187" s="45">
        <v>100</v>
      </c>
      <c r="BL187" s="43">
        <v>5</v>
      </c>
      <c r="BM187" s="45">
        <v>4</v>
      </c>
      <c r="BN187" s="45">
        <v>100</v>
      </c>
      <c r="BO187" s="43">
        <v>5</v>
      </c>
    </row>
    <row r="188" spans="1:67" s="50" customFormat="1" ht="15" customHeight="1" x14ac:dyDescent="0.25">
      <c r="A188" s="50">
        <v>187</v>
      </c>
      <c r="B188" s="52" t="s">
        <v>288</v>
      </c>
      <c r="C188" s="68">
        <v>916110</v>
      </c>
      <c r="D188" s="36" t="s">
        <v>204</v>
      </c>
      <c r="E188" s="12" t="s">
        <v>9</v>
      </c>
      <c r="F188" s="39">
        <v>18.100000000000001</v>
      </c>
      <c r="G188" s="43">
        <v>18.100000000000001</v>
      </c>
      <c r="H188" s="36">
        <v>117.65</v>
      </c>
      <c r="I188" s="43">
        <v>39.83169291338583</v>
      </c>
      <c r="J188" s="43">
        <v>18.588123359580056</v>
      </c>
      <c r="K188" s="36">
        <v>5.7888727034120739</v>
      </c>
      <c r="L188" s="36" t="s">
        <v>359</v>
      </c>
      <c r="M188" s="36" t="s">
        <v>358</v>
      </c>
      <c r="N188" s="36" t="s">
        <v>156</v>
      </c>
      <c r="O188" s="43">
        <v>4.6709677419354838</v>
      </c>
      <c r="P188" s="36">
        <v>47.877419354838707</v>
      </c>
      <c r="Q188" s="43">
        <v>21.243569553805777</v>
      </c>
      <c r="R188" s="43">
        <v>8.8514873140857393</v>
      </c>
      <c r="S188" s="43">
        <v>3.3635651793525811</v>
      </c>
      <c r="T188" s="36">
        <v>18033</v>
      </c>
      <c r="U188" s="36" t="s">
        <v>355</v>
      </c>
      <c r="V188" s="36">
        <v>100</v>
      </c>
      <c r="W188" s="36">
        <v>1</v>
      </c>
      <c r="X188" s="102">
        <v>2</v>
      </c>
      <c r="Y188" s="29">
        <v>13</v>
      </c>
      <c r="Z188" s="47">
        <v>11.25</v>
      </c>
      <c r="AA188" s="46">
        <v>90</v>
      </c>
      <c r="AB188" s="50">
        <v>22476</v>
      </c>
      <c r="AC188" s="50" t="s">
        <v>157</v>
      </c>
      <c r="AD188" s="50">
        <v>100</v>
      </c>
      <c r="AE188" s="42">
        <v>69</v>
      </c>
      <c r="AF188" s="43">
        <v>1.25</v>
      </c>
      <c r="AG188" s="36">
        <v>80</v>
      </c>
      <c r="AH188" s="35">
        <v>1.9366486486486487</v>
      </c>
      <c r="AI188" s="50">
        <v>40529</v>
      </c>
      <c r="AJ188" s="50" t="s">
        <v>356</v>
      </c>
      <c r="AK188" s="50">
        <v>100</v>
      </c>
      <c r="AL188" s="34">
        <v>7.3</v>
      </c>
      <c r="AM188" s="43">
        <v>1.0249999999999999</v>
      </c>
      <c r="AN188" s="35">
        <v>0.16348387096774195</v>
      </c>
      <c r="AO188" s="35">
        <v>0.22187096774193549</v>
      </c>
      <c r="AP188" s="35">
        <v>0.43790322580645163</v>
      </c>
      <c r="AQ188" s="83">
        <v>1.5180645161290323</v>
      </c>
      <c r="AR188" s="46" t="s">
        <v>359</v>
      </c>
      <c r="AS188" s="50" t="s">
        <v>358</v>
      </c>
      <c r="AT188" s="50" t="s">
        <v>156</v>
      </c>
      <c r="AU188" s="44">
        <v>4.25</v>
      </c>
      <c r="AV188" s="45">
        <v>2</v>
      </c>
      <c r="AW188" s="45">
        <v>2</v>
      </c>
      <c r="AX188" s="36">
        <v>27.5</v>
      </c>
      <c r="AY188" s="45">
        <v>2</v>
      </c>
      <c r="AZ188" s="45">
        <v>1</v>
      </c>
      <c r="BA188" s="36">
        <v>16.899999999999999</v>
      </c>
      <c r="BB188" s="43">
        <v>1.63</v>
      </c>
      <c r="BC188" s="45">
        <v>-1</v>
      </c>
      <c r="BD188" s="45">
        <v>-1</v>
      </c>
      <c r="BE188" s="45">
        <v>30</v>
      </c>
      <c r="BF188" s="45">
        <v>70</v>
      </c>
      <c r="BG188" s="45">
        <v>-1</v>
      </c>
      <c r="BH188" s="45">
        <v>-1</v>
      </c>
      <c r="BI188" s="45">
        <v>-1</v>
      </c>
      <c r="BJ188" s="28">
        <v>1</v>
      </c>
      <c r="BK188" s="36">
        <v>21</v>
      </c>
      <c r="BL188" s="43">
        <v>2</v>
      </c>
      <c r="BM188" s="45">
        <v>3</v>
      </c>
      <c r="BN188" s="36">
        <v>21</v>
      </c>
      <c r="BO188" s="43">
        <v>1</v>
      </c>
    </row>
    <row r="189" spans="1:67" s="50" customFormat="1" ht="15" customHeight="1" x14ac:dyDescent="0.25">
      <c r="A189" s="50">
        <v>188</v>
      </c>
      <c r="B189" s="52" t="s">
        <v>289</v>
      </c>
      <c r="C189" s="68">
        <v>926110</v>
      </c>
      <c r="D189" s="36" t="s">
        <v>204</v>
      </c>
      <c r="E189" s="12" t="s">
        <v>9</v>
      </c>
      <c r="F189" s="39">
        <v>51.5</v>
      </c>
      <c r="G189" s="43">
        <v>51.5</v>
      </c>
      <c r="H189" s="36">
        <v>334.75</v>
      </c>
      <c r="I189" s="43">
        <v>46.592847769028864</v>
      </c>
      <c r="J189" s="43">
        <v>21.743328958880134</v>
      </c>
      <c r="K189" s="36">
        <v>6</v>
      </c>
      <c r="L189" s="36" t="s">
        <v>359</v>
      </c>
      <c r="M189" s="36" t="s">
        <v>358</v>
      </c>
      <c r="N189" s="36" t="s">
        <v>156</v>
      </c>
      <c r="O189" s="43">
        <v>13.290322580645162</v>
      </c>
      <c r="P189" s="36">
        <v>136.2258064516129</v>
      </c>
      <c r="Q189" s="43">
        <v>24.84951881014873</v>
      </c>
      <c r="R189" s="43">
        <v>10.353966170895303</v>
      </c>
      <c r="S189" s="43">
        <v>3.9345071449402154</v>
      </c>
      <c r="T189" s="36">
        <v>18033</v>
      </c>
      <c r="U189" s="36" t="s">
        <v>355</v>
      </c>
      <c r="V189" s="36">
        <v>100</v>
      </c>
      <c r="W189" s="36">
        <v>1</v>
      </c>
      <c r="X189" s="102">
        <v>2</v>
      </c>
      <c r="Y189" s="29">
        <v>13</v>
      </c>
      <c r="Z189" s="47">
        <v>11.25</v>
      </c>
      <c r="AA189" s="46">
        <v>90</v>
      </c>
      <c r="AB189" s="50">
        <v>22476</v>
      </c>
      <c r="AC189" s="50" t="s">
        <v>157</v>
      </c>
      <c r="AD189" s="50">
        <v>100</v>
      </c>
      <c r="AE189" s="42">
        <v>36</v>
      </c>
      <c r="AF189" s="43">
        <v>1.25</v>
      </c>
      <c r="AG189" s="36">
        <v>80</v>
      </c>
      <c r="AH189" s="35">
        <v>0.99783783783783786</v>
      </c>
      <c r="AI189" s="50">
        <v>40529</v>
      </c>
      <c r="AJ189" s="50" t="s">
        <v>356</v>
      </c>
      <c r="AK189" s="50">
        <v>100</v>
      </c>
      <c r="AL189" s="34">
        <v>20.8</v>
      </c>
      <c r="AM189" s="43">
        <v>1.0249999999999999</v>
      </c>
      <c r="AN189" s="35">
        <v>0.46516129032258063</v>
      </c>
      <c r="AO189" s="35">
        <v>0.6312903225806451</v>
      </c>
      <c r="AP189" s="35">
        <v>1.2459677419354838</v>
      </c>
      <c r="AQ189" s="83">
        <v>4.3193548387096774</v>
      </c>
      <c r="AR189" s="46" t="s">
        <v>359</v>
      </c>
      <c r="AS189" s="50" t="s">
        <v>358</v>
      </c>
      <c r="AT189" s="50" t="s">
        <v>156</v>
      </c>
      <c r="AU189" s="44">
        <v>4.25</v>
      </c>
      <c r="AV189" s="45">
        <v>2</v>
      </c>
      <c r="AW189" s="45">
        <v>2</v>
      </c>
      <c r="AX189" s="36">
        <v>27.5</v>
      </c>
      <c r="AY189" s="45">
        <v>2</v>
      </c>
      <c r="AZ189" s="45">
        <v>1</v>
      </c>
      <c r="BA189" s="36">
        <v>48.2</v>
      </c>
      <c r="BB189" s="43">
        <v>1.63</v>
      </c>
      <c r="BC189" s="45">
        <v>-1</v>
      </c>
      <c r="BD189" s="45">
        <v>-1</v>
      </c>
      <c r="BE189" s="45">
        <v>30</v>
      </c>
      <c r="BF189" s="45">
        <v>70</v>
      </c>
      <c r="BG189" s="45">
        <v>-1</v>
      </c>
      <c r="BH189" s="45">
        <v>-1</v>
      </c>
      <c r="BI189" s="45">
        <v>-1</v>
      </c>
      <c r="BJ189" s="28">
        <v>1</v>
      </c>
      <c r="BK189" s="36">
        <v>59.8</v>
      </c>
      <c r="BL189" s="43">
        <v>2</v>
      </c>
      <c r="BM189" s="45">
        <v>3</v>
      </c>
      <c r="BN189" s="36">
        <v>59.8</v>
      </c>
      <c r="BO189" s="43">
        <v>1</v>
      </c>
    </row>
    <row r="190" spans="1:67" s="50" customFormat="1" ht="15" customHeight="1" x14ac:dyDescent="0.25">
      <c r="A190" s="50">
        <v>189</v>
      </c>
      <c r="B190" s="52" t="s">
        <v>290</v>
      </c>
      <c r="C190" s="72">
        <v>916112</v>
      </c>
      <c r="D190" s="36" t="s">
        <v>204</v>
      </c>
      <c r="E190" s="30" t="s">
        <v>407</v>
      </c>
      <c r="F190" s="39">
        <v>11.1</v>
      </c>
      <c r="G190" s="36">
        <v>11.1</v>
      </c>
      <c r="H190" s="36">
        <v>38.849999999999994</v>
      </c>
      <c r="I190" s="43">
        <v>47.9</v>
      </c>
      <c r="J190" s="36">
        <v>16.905882352941177</v>
      </c>
      <c r="K190" s="36">
        <v>7.3258823529411758</v>
      </c>
      <c r="L190" s="36">
        <v>183412</v>
      </c>
      <c r="M190" s="36" t="s">
        <v>398</v>
      </c>
      <c r="N190" s="36">
        <v>100</v>
      </c>
      <c r="O190" s="36">
        <v>-1</v>
      </c>
      <c r="P190" s="36">
        <v>-1</v>
      </c>
      <c r="Q190" s="36">
        <v>-1</v>
      </c>
      <c r="R190" s="36">
        <v>-1</v>
      </c>
      <c r="S190" s="36">
        <v>-1</v>
      </c>
      <c r="T190" s="36">
        <v>-1</v>
      </c>
      <c r="U190" s="36">
        <v>-1</v>
      </c>
      <c r="V190" s="36">
        <v>-1</v>
      </c>
      <c r="W190" s="36">
        <v>1</v>
      </c>
      <c r="X190" s="102">
        <v>2</v>
      </c>
      <c r="Y190" s="29">
        <v>45.790000000000006</v>
      </c>
      <c r="Z190" s="47">
        <v>3</v>
      </c>
      <c r="AA190" s="47">
        <v>90</v>
      </c>
      <c r="AB190" s="50">
        <v>19479</v>
      </c>
      <c r="AC190" s="50" t="s">
        <v>357</v>
      </c>
      <c r="AD190" s="50">
        <v>100</v>
      </c>
      <c r="AE190" s="42">
        <v>30</v>
      </c>
      <c r="AF190" s="43">
        <v>1.3</v>
      </c>
      <c r="AG190" s="45">
        <v>80</v>
      </c>
      <c r="AH190" s="35">
        <v>0.44</v>
      </c>
      <c r="AI190" s="50">
        <v>40529</v>
      </c>
      <c r="AJ190" s="50" t="s">
        <v>356</v>
      </c>
      <c r="AK190" s="50">
        <v>100</v>
      </c>
      <c r="AL190" s="34">
        <v>6.3824999999999994</v>
      </c>
      <c r="AM190" s="43">
        <v>1</v>
      </c>
      <c r="AN190" s="35">
        <v>8.3249999999999991E-2</v>
      </c>
      <c r="AO190" s="35">
        <v>0.22754999999999995</v>
      </c>
      <c r="AP190" s="35">
        <v>0.4662</v>
      </c>
      <c r="AQ190" s="83">
        <v>1.5</v>
      </c>
      <c r="AR190" s="46">
        <v>183412</v>
      </c>
      <c r="AS190" s="50" t="s">
        <v>398</v>
      </c>
      <c r="AT190" s="50">
        <v>100</v>
      </c>
      <c r="AU190" s="44">
        <v>-1</v>
      </c>
      <c r="AV190" s="48">
        <v>-1</v>
      </c>
      <c r="AW190" s="45">
        <v>1</v>
      </c>
      <c r="AX190" s="45">
        <v>63</v>
      </c>
      <c r="AY190" s="45">
        <v>2.2999999999999998</v>
      </c>
      <c r="AZ190" s="45">
        <v>1</v>
      </c>
      <c r="BA190" s="45">
        <v>11.1</v>
      </c>
      <c r="BB190" s="35">
        <v>0.7</v>
      </c>
      <c r="BC190" s="45">
        <v>-1</v>
      </c>
      <c r="BD190" s="45">
        <v>-1</v>
      </c>
      <c r="BE190" s="45">
        <v>100</v>
      </c>
      <c r="BF190" s="45">
        <v>-1</v>
      </c>
      <c r="BG190" s="45">
        <v>-1</v>
      </c>
      <c r="BH190" s="45">
        <v>-1</v>
      </c>
      <c r="BI190" s="45">
        <v>-1</v>
      </c>
      <c r="BJ190" s="28">
        <v>2</v>
      </c>
      <c r="BK190" s="45">
        <v>13.874999999999996</v>
      </c>
      <c r="BL190" s="43">
        <v>5</v>
      </c>
      <c r="BM190" s="45">
        <v>4</v>
      </c>
      <c r="BN190" s="45">
        <v>13.874999999999996</v>
      </c>
      <c r="BO190" s="43">
        <v>5</v>
      </c>
    </row>
    <row r="191" spans="1:67" s="50" customFormat="1" ht="15" customHeight="1" x14ac:dyDescent="0.25">
      <c r="A191" s="50">
        <v>190</v>
      </c>
      <c r="B191" s="52" t="s">
        <v>291</v>
      </c>
      <c r="C191" s="72">
        <v>926112</v>
      </c>
      <c r="D191" s="36" t="s">
        <v>204</v>
      </c>
      <c r="E191" s="30" t="s">
        <v>407</v>
      </c>
      <c r="F191" s="39">
        <v>56.1</v>
      </c>
      <c r="G191" s="36">
        <v>56.1</v>
      </c>
      <c r="H191" s="36">
        <v>196.35</v>
      </c>
      <c r="I191" s="43">
        <v>63.5</v>
      </c>
      <c r="J191" s="36">
        <v>22.411764705882355</v>
      </c>
      <c r="K191" s="36">
        <v>9.7117647058823522</v>
      </c>
      <c r="L191" s="36">
        <v>183412</v>
      </c>
      <c r="M191" s="36" t="s">
        <v>398</v>
      </c>
      <c r="N191" s="36">
        <v>100</v>
      </c>
      <c r="O191" s="36">
        <v>-1</v>
      </c>
      <c r="P191" s="36">
        <v>-1</v>
      </c>
      <c r="Q191" s="36">
        <v>-1</v>
      </c>
      <c r="R191" s="36">
        <v>-1</v>
      </c>
      <c r="S191" s="36">
        <v>-1</v>
      </c>
      <c r="T191" s="36">
        <v>-1</v>
      </c>
      <c r="U191" s="36">
        <v>-1</v>
      </c>
      <c r="V191" s="36">
        <v>-1</v>
      </c>
      <c r="W191" s="36">
        <v>1</v>
      </c>
      <c r="X191" s="102">
        <v>2</v>
      </c>
      <c r="Y191" s="29">
        <v>13.899999999999999</v>
      </c>
      <c r="Z191" s="47">
        <v>3</v>
      </c>
      <c r="AA191" s="47">
        <v>90</v>
      </c>
      <c r="AB191" s="50">
        <v>19479</v>
      </c>
      <c r="AC191" s="50" t="s">
        <v>357</v>
      </c>
      <c r="AD191" s="50">
        <v>100</v>
      </c>
      <c r="AE191" s="42">
        <v>30</v>
      </c>
      <c r="AF191" s="43">
        <v>1.3</v>
      </c>
      <c r="AG191" s="45">
        <v>80</v>
      </c>
      <c r="AH191" s="35">
        <v>0.44</v>
      </c>
      <c r="AI191" s="50">
        <v>40529</v>
      </c>
      <c r="AJ191" s="50" t="s">
        <v>356</v>
      </c>
      <c r="AK191" s="50">
        <v>100</v>
      </c>
      <c r="AL191" s="34">
        <v>32.2575</v>
      </c>
      <c r="AM191" s="43">
        <v>1</v>
      </c>
      <c r="AN191" s="35">
        <v>0.42074999999999996</v>
      </c>
      <c r="AO191" s="35">
        <v>1.1500499999999998</v>
      </c>
      <c r="AP191" s="35">
        <v>2.3561999999999999</v>
      </c>
      <c r="AQ191" s="83">
        <v>7.4</v>
      </c>
      <c r="AR191" s="46">
        <v>183412</v>
      </c>
      <c r="AS191" s="50" t="s">
        <v>398</v>
      </c>
      <c r="AT191" s="50">
        <v>100</v>
      </c>
      <c r="AU191" s="44">
        <v>-1</v>
      </c>
      <c r="AV191" s="48">
        <v>-1</v>
      </c>
      <c r="AW191" s="45">
        <v>1</v>
      </c>
      <c r="AX191" s="45">
        <v>63</v>
      </c>
      <c r="AY191" s="45">
        <v>2.2999999999999998</v>
      </c>
      <c r="AZ191" s="45">
        <v>1</v>
      </c>
      <c r="BA191" s="45">
        <v>56.1</v>
      </c>
      <c r="BB191" s="35">
        <v>0.7</v>
      </c>
      <c r="BC191" s="45">
        <v>-1</v>
      </c>
      <c r="BD191" s="45">
        <v>-1</v>
      </c>
      <c r="BE191" s="45">
        <v>100</v>
      </c>
      <c r="BF191" s="45">
        <v>-1</v>
      </c>
      <c r="BG191" s="45">
        <v>-1</v>
      </c>
      <c r="BH191" s="45">
        <v>-1</v>
      </c>
      <c r="BI191" s="45">
        <v>-1</v>
      </c>
      <c r="BJ191" s="28">
        <v>2</v>
      </c>
      <c r="BK191" s="45">
        <v>100</v>
      </c>
      <c r="BL191" s="43">
        <v>5</v>
      </c>
      <c r="BM191" s="45">
        <v>4</v>
      </c>
      <c r="BN191" s="45">
        <v>70.125</v>
      </c>
      <c r="BO191" s="43">
        <v>5</v>
      </c>
    </row>
    <row r="192" spans="1:67" s="50" customFormat="1" ht="15" customHeight="1" x14ac:dyDescent="0.25">
      <c r="A192" s="50">
        <v>191</v>
      </c>
      <c r="B192" s="52" t="s">
        <v>292</v>
      </c>
      <c r="C192" s="68">
        <v>916120</v>
      </c>
      <c r="D192" s="36" t="s">
        <v>204</v>
      </c>
      <c r="E192" s="13" t="s">
        <v>8</v>
      </c>
      <c r="F192" s="39">
        <v>19.100000000000001</v>
      </c>
      <c r="G192" s="43">
        <v>19.100000000000001</v>
      </c>
      <c r="H192" s="36">
        <v>124.15</v>
      </c>
      <c r="I192" s="43">
        <v>34.902559055118104</v>
      </c>
      <c r="J192" s="43">
        <v>16.287860892388448</v>
      </c>
      <c r="K192" s="36">
        <v>5.0725052493438314</v>
      </c>
      <c r="L192" s="36" t="s">
        <v>359</v>
      </c>
      <c r="M192" s="36" t="s">
        <v>358</v>
      </c>
      <c r="N192" s="36" t="s">
        <v>156</v>
      </c>
      <c r="O192" s="43">
        <v>4.9290322580645158</v>
      </c>
      <c r="P192" s="36">
        <v>50.522580645161284</v>
      </c>
      <c r="Q192" s="43">
        <v>18.614698162729656</v>
      </c>
      <c r="R192" s="43">
        <v>7.7561242344706898</v>
      </c>
      <c r="S192" s="43">
        <v>2.9473272090988623</v>
      </c>
      <c r="T192" s="36">
        <v>18033</v>
      </c>
      <c r="U192" s="36" t="s">
        <v>355</v>
      </c>
      <c r="V192" s="36">
        <v>100</v>
      </c>
      <c r="W192" s="36">
        <v>1</v>
      </c>
      <c r="X192" s="102">
        <v>2</v>
      </c>
      <c r="Y192" s="29">
        <v>13</v>
      </c>
      <c r="Z192" s="47">
        <v>11.25</v>
      </c>
      <c r="AA192" s="46">
        <v>90</v>
      </c>
      <c r="AB192" s="50">
        <v>22476</v>
      </c>
      <c r="AC192" s="50" t="s">
        <v>157</v>
      </c>
      <c r="AD192" s="50">
        <v>100</v>
      </c>
      <c r="AE192" s="42">
        <v>67</v>
      </c>
      <c r="AF192" s="43">
        <v>1.25</v>
      </c>
      <c r="AG192" s="36">
        <v>80</v>
      </c>
      <c r="AH192" s="35">
        <v>1.8691891891891892</v>
      </c>
      <c r="AI192" s="50">
        <v>40529</v>
      </c>
      <c r="AJ192" s="50" t="s">
        <v>356</v>
      </c>
      <c r="AK192" s="50">
        <v>100</v>
      </c>
      <c r="AL192" s="34">
        <v>7.7</v>
      </c>
      <c r="AM192" s="43">
        <v>1.0249999999999999</v>
      </c>
      <c r="AN192" s="35">
        <v>0.17251612903225808</v>
      </c>
      <c r="AO192" s="35">
        <v>0.2341290322580645</v>
      </c>
      <c r="AP192" s="35">
        <v>0.46209677419354839</v>
      </c>
      <c r="AQ192" s="83">
        <v>1.6019354838709678</v>
      </c>
      <c r="AR192" s="46" t="s">
        <v>359</v>
      </c>
      <c r="AS192" s="50" t="s">
        <v>358</v>
      </c>
      <c r="AT192" s="50" t="s">
        <v>156</v>
      </c>
      <c r="AU192" s="44">
        <v>4.25</v>
      </c>
      <c r="AV192" s="45">
        <v>2</v>
      </c>
      <c r="AW192" s="45">
        <v>2</v>
      </c>
      <c r="AX192" s="36">
        <v>27.5</v>
      </c>
      <c r="AY192" s="45">
        <v>2</v>
      </c>
      <c r="AZ192" s="45">
        <v>1</v>
      </c>
      <c r="BA192" s="36">
        <v>17.899999999999999</v>
      </c>
      <c r="BB192" s="43">
        <v>1.63</v>
      </c>
      <c r="BC192" s="45">
        <v>-1</v>
      </c>
      <c r="BD192" s="45">
        <v>-1</v>
      </c>
      <c r="BE192" s="45">
        <v>30</v>
      </c>
      <c r="BF192" s="45">
        <v>70</v>
      </c>
      <c r="BG192" s="45">
        <v>-1</v>
      </c>
      <c r="BH192" s="45">
        <v>-1</v>
      </c>
      <c r="BI192" s="45">
        <v>-1</v>
      </c>
      <c r="BJ192" s="28">
        <v>1</v>
      </c>
      <c r="BK192" s="36">
        <v>22.2</v>
      </c>
      <c r="BL192" s="43">
        <v>2</v>
      </c>
      <c r="BM192" s="45">
        <v>3</v>
      </c>
      <c r="BN192" s="36">
        <v>22.2</v>
      </c>
      <c r="BO192" s="43">
        <v>1</v>
      </c>
    </row>
    <row r="193" spans="1:67" s="50" customFormat="1" ht="15" customHeight="1" x14ac:dyDescent="0.25">
      <c r="A193" s="50">
        <v>192</v>
      </c>
      <c r="B193" s="52" t="s">
        <v>293</v>
      </c>
      <c r="C193" s="68">
        <v>926120</v>
      </c>
      <c r="D193" s="36" t="s">
        <v>204</v>
      </c>
      <c r="E193" s="13" t="s">
        <v>8</v>
      </c>
      <c r="F193" s="39">
        <v>50</v>
      </c>
      <c r="G193" s="43">
        <v>50</v>
      </c>
      <c r="H193" s="36">
        <v>325</v>
      </c>
      <c r="I193" s="43">
        <v>41.781496062992119</v>
      </c>
      <c r="J193" s="43">
        <v>19.498031496062989</v>
      </c>
      <c r="K193" s="36">
        <v>6.0722440944881884</v>
      </c>
      <c r="L193" s="36" t="s">
        <v>359</v>
      </c>
      <c r="M193" s="36" t="s">
        <v>358</v>
      </c>
      <c r="N193" s="36" t="s">
        <v>156</v>
      </c>
      <c r="O193" s="43">
        <v>12.903225806451612</v>
      </c>
      <c r="P193" s="36">
        <v>132.25806451612902</v>
      </c>
      <c r="Q193" s="43">
        <v>22.28346456692913</v>
      </c>
      <c r="R193" s="43">
        <v>9.2847769028871383</v>
      </c>
      <c r="S193" s="43">
        <v>3.5282152230971122</v>
      </c>
      <c r="T193" s="36">
        <v>18033</v>
      </c>
      <c r="U193" s="36" t="s">
        <v>355</v>
      </c>
      <c r="V193" s="36">
        <v>100</v>
      </c>
      <c r="W193" s="36">
        <v>1</v>
      </c>
      <c r="X193" s="102">
        <v>2</v>
      </c>
      <c r="Y193" s="81">
        <v>-1</v>
      </c>
      <c r="Z193" s="10">
        <v>-1</v>
      </c>
      <c r="AA193" s="10">
        <v>-1</v>
      </c>
      <c r="AB193" s="10">
        <v>-1</v>
      </c>
      <c r="AC193" s="10">
        <v>-1</v>
      </c>
      <c r="AD193" s="10">
        <v>-1</v>
      </c>
      <c r="AE193" s="42">
        <v>50</v>
      </c>
      <c r="AF193" s="43">
        <v>1.25</v>
      </c>
      <c r="AG193" s="36">
        <v>80</v>
      </c>
      <c r="AH193" s="35">
        <v>1.4054054054054055</v>
      </c>
      <c r="AI193" s="50">
        <v>40529</v>
      </c>
      <c r="AJ193" s="50" t="s">
        <v>356</v>
      </c>
      <c r="AK193" s="50">
        <v>100</v>
      </c>
      <c r="AL193" s="34">
        <v>20.2</v>
      </c>
      <c r="AM193" s="43">
        <v>1.0249999999999999</v>
      </c>
      <c r="AN193" s="35">
        <v>0.45161290322580644</v>
      </c>
      <c r="AO193" s="35">
        <v>0.61290322580645162</v>
      </c>
      <c r="AP193" s="35">
        <v>1.2096774193548387</v>
      </c>
      <c r="AQ193" s="83">
        <v>4.193548387096774</v>
      </c>
      <c r="AR193" s="46" t="s">
        <v>359</v>
      </c>
      <c r="AS193" s="50" t="s">
        <v>358</v>
      </c>
      <c r="AT193" s="50" t="s">
        <v>156</v>
      </c>
      <c r="AU193" s="44">
        <v>4.25</v>
      </c>
      <c r="AV193" s="45">
        <v>2</v>
      </c>
      <c r="AW193" s="45">
        <v>2</v>
      </c>
      <c r="AX193" s="36">
        <v>27.5</v>
      </c>
      <c r="AY193" s="45">
        <v>2</v>
      </c>
      <c r="AZ193" s="45">
        <v>1</v>
      </c>
      <c r="BA193" s="36">
        <v>46.8</v>
      </c>
      <c r="BB193" s="43">
        <v>1.63</v>
      </c>
      <c r="BC193" s="45">
        <v>-1</v>
      </c>
      <c r="BD193" s="45">
        <v>-1</v>
      </c>
      <c r="BE193" s="45">
        <v>30</v>
      </c>
      <c r="BF193" s="45">
        <v>70</v>
      </c>
      <c r="BG193" s="45">
        <v>-1</v>
      </c>
      <c r="BH193" s="45">
        <v>-1</v>
      </c>
      <c r="BI193" s="45">
        <v>-1</v>
      </c>
      <c r="BJ193" s="28">
        <v>1</v>
      </c>
      <c r="BK193" s="36">
        <v>58.1</v>
      </c>
      <c r="BL193" s="43">
        <v>2</v>
      </c>
      <c r="BM193" s="45">
        <v>3</v>
      </c>
      <c r="BN193" s="36">
        <v>58.1</v>
      </c>
      <c r="BO193" s="43">
        <v>1</v>
      </c>
    </row>
    <row r="194" spans="1:67" s="50" customFormat="1" ht="15" customHeight="1" x14ac:dyDescent="0.25">
      <c r="A194" s="50">
        <v>193</v>
      </c>
      <c r="B194" s="52" t="s">
        <v>294</v>
      </c>
      <c r="C194" s="72">
        <v>916122</v>
      </c>
      <c r="D194" s="36" t="s">
        <v>204</v>
      </c>
      <c r="E194" s="78" t="s">
        <v>409</v>
      </c>
      <c r="F194" s="39">
        <v>11.1</v>
      </c>
      <c r="G194" s="36">
        <v>11.1</v>
      </c>
      <c r="H194" s="36">
        <v>38.849999999999994</v>
      </c>
      <c r="I194" s="43">
        <v>46.4</v>
      </c>
      <c r="J194" s="36">
        <v>16.376470588235296</v>
      </c>
      <c r="K194" s="36">
        <v>7.0964705882352934</v>
      </c>
      <c r="L194" s="36">
        <v>183412</v>
      </c>
      <c r="M194" s="36" t="s">
        <v>398</v>
      </c>
      <c r="N194" s="36">
        <v>100</v>
      </c>
      <c r="O194" s="36">
        <v>-1</v>
      </c>
      <c r="P194" s="36">
        <v>-1</v>
      </c>
      <c r="Q194" s="36">
        <v>-1</v>
      </c>
      <c r="R194" s="36">
        <v>-1</v>
      </c>
      <c r="S194" s="36">
        <v>-1</v>
      </c>
      <c r="T194" s="36">
        <v>-1</v>
      </c>
      <c r="U194" s="36">
        <v>-1</v>
      </c>
      <c r="V194" s="36">
        <v>-1</v>
      </c>
      <c r="W194" s="36">
        <v>1</v>
      </c>
      <c r="X194" s="102">
        <v>2</v>
      </c>
      <c r="Y194" s="29">
        <v>15.430000000000007</v>
      </c>
      <c r="Z194" s="47">
        <v>3</v>
      </c>
      <c r="AA194" s="47">
        <v>90</v>
      </c>
      <c r="AB194" s="50">
        <v>19479</v>
      </c>
      <c r="AC194" s="50" t="s">
        <v>357</v>
      </c>
      <c r="AD194" s="50">
        <v>100</v>
      </c>
      <c r="AE194" s="42">
        <v>60</v>
      </c>
      <c r="AF194" s="43">
        <v>1.3</v>
      </c>
      <c r="AG194" s="45">
        <v>80</v>
      </c>
      <c r="AH194" s="35">
        <v>0.88</v>
      </c>
      <c r="AI194" s="50">
        <v>40529</v>
      </c>
      <c r="AJ194" s="50" t="s">
        <v>356</v>
      </c>
      <c r="AK194" s="50">
        <v>100</v>
      </c>
      <c r="AL194" s="34">
        <v>6.3824999999999994</v>
      </c>
      <c r="AM194" s="43">
        <v>1</v>
      </c>
      <c r="AN194" s="35">
        <v>8.3249999999999991E-2</v>
      </c>
      <c r="AO194" s="35">
        <v>0.22754999999999995</v>
      </c>
      <c r="AP194" s="35">
        <v>0.4662</v>
      </c>
      <c r="AQ194" s="83">
        <v>1.5</v>
      </c>
      <c r="AR194" s="46">
        <v>183412</v>
      </c>
      <c r="AS194" s="50" t="s">
        <v>398</v>
      </c>
      <c r="AT194" s="50">
        <v>100</v>
      </c>
      <c r="AU194" s="44">
        <v>-1</v>
      </c>
      <c r="AV194" s="48">
        <v>-1</v>
      </c>
      <c r="AW194" s="45">
        <v>1</v>
      </c>
      <c r="AX194" s="45">
        <v>63</v>
      </c>
      <c r="AY194" s="45">
        <v>2.2999999999999998</v>
      </c>
      <c r="AZ194" s="45">
        <v>1</v>
      </c>
      <c r="BA194" s="45">
        <v>11.1</v>
      </c>
      <c r="BB194" s="35">
        <v>0.7</v>
      </c>
      <c r="BC194" s="45">
        <v>-1</v>
      </c>
      <c r="BD194" s="45">
        <v>-1</v>
      </c>
      <c r="BE194" s="45">
        <v>100</v>
      </c>
      <c r="BF194" s="45">
        <v>-1</v>
      </c>
      <c r="BG194" s="45">
        <v>-1</v>
      </c>
      <c r="BH194" s="45">
        <v>-1</v>
      </c>
      <c r="BI194" s="45">
        <v>-1</v>
      </c>
      <c r="BJ194" s="28">
        <v>2</v>
      </c>
      <c r="BK194" s="45">
        <v>13.874999999999996</v>
      </c>
      <c r="BL194" s="43">
        <v>5</v>
      </c>
      <c r="BM194" s="45">
        <v>4</v>
      </c>
      <c r="BN194" s="45">
        <v>13.874999999999996</v>
      </c>
      <c r="BO194" s="43">
        <v>5</v>
      </c>
    </row>
    <row r="195" spans="1:67" s="50" customFormat="1" ht="15" customHeight="1" x14ac:dyDescent="0.25">
      <c r="A195" s="50">
        <v>194</v>
      </c>
      <c r="B195" s="52" t="s">
        <v>295</v>
      </c>
      <c r="C195" s="72">
        <v>926122</v>
      </c>
      <c r="D195" s="36" t="s">
        <v>204</v>
      </c>
      <c r="E195" s="78" t="s">
        <v>409</v>
      </c>
      <c r="F195" s="39">
        <v>55.6</v>
      </c>
      <c r="G195" s="36">
        <v>55.6</v>
      </c>
      <c r="H195" s="36">
        <v>194.6</v>
      </c>
      <c r="I195" s="43">
        <v>61.5</v>
      </c>
      <c r="J195" s="36">
        <v>21.705882352941178</v>
      </c>
      <c r="K195" s="36">
        <v>9.4058823529411768</v>
      </c>
      <c r="L195" s="36">
        <v>183412</v>
      </c>
      <c r="M195" s="36" t="s">
        <v>398</v>
      </c>
      <c r="N195" s="36">
        <v>100</v>
      </c>
      <c r="O195" s="36">
        <v>-1</v>
      </c>
      <c r="P195" s="36">
        <v>-1</v>
      </c>
      <c r="Q195" s="36">
        <v>-1</v>
      </c>
      <c r="R195" s="36">
        <v>-1</v>
      </c>
      <c r="S195" s="36">
        <v>-1</v>
      </c>
      <c r="T195" s="36">
        <v>-1</v>
      </c>
      <c r="U195" s="36">
        <v>-1</v>
      </c>
      <c r="V195" s="36">
        <v>-1</v>
      </c>
      <c r="W195" s="36">
        <v>1</v>
      </c>
      <c r="X195" s="102">
        <v>2</v>
      </c>
      <c r="Y195" s="81">
        <v>-1</v>
      </c>
      <c r="Z195" s="10">
        <v>-1</v>
      </c>
      <c r="AA195" s="10">
        <v>-1</v>
      </c>
      <c r="AB195" s="10">
        <v>-1</v>
      </c>
      <c r="AC195" s="10">
        <v>-1</v>
      </c>
      <c r="AD195" s="10">
        <v>-1</v>
      </c>
      <c r="AE195" s="42">
        <v>44</v>
      </c>
      <c r="AF195" s="43">
        <v>1.3</v>
      </c>
      <c r="AG195" s="45">
        <v>80</v>
      </c>
      <c r="AH195" s="35">
        <v>0.64</v>
      </c>
      <c r="AI195" s="50">
        <v>40529</v>
      </c>
      <c r="AJ195" s="50" t="s">
        <v>356</v>
      </c>
      <c r="AK195" s="50">
        <v>100</v>
      </c>
      <c r="AL195" s="34">
        <v>31.97</v>
      </c>
      <c r="AM195" s="43">
        <v>1</v>
      </c>
      <c r="AN195" s="35">
        <v>0.41699999999999998</v>
      </c>
      <c r="AO195" s="35">
        <v>1.1397999999999999</v>
      </c>
      <c r="AP195" s="35">
        <v>2.3351999999999999</v>
      </c>
      <c r="AQ195" s="83">
        <v>7.3</v>
      </c>
      <c r="AR195" s="46">
        <v>183412</v>
      </c>
      <c r="AS195" s="50" t="s">
        <v>398</v>
      </c>
      <c r="AT195" s="50">
        <v>100</v>
      </c>
      <c r="AU195" s="44">
        <v>-1</v>
      </c>
      <c r="AV195" s="48">
        <v>-1</v>
      </c>
      <c r="AW195" s="45">
        <v>1</v>
      </c>
      <c r="AX195" s="45">
        <v>63</v>
      </c>
      <c r="AY195" s="45">
        <v>2.2999999999999998</v>
      </c>
      <c r="AZ195" s="45">
        <v>1</v>
      </c>
      <c r="BA195" s="45">
        <v>55.6</v>
      </c>
      <c r="BB195" s="35">
        <v>0.7</v>
      </c>
      <c r="BC195" s="45">
        <v>-1</v>
      </c>
      <c r="BD195" s="45">
        <v>-1</v>
      </c>
      <c r="BE195" s="45">
        <v>100</v>
      </c>
      <c r="BF195" s="45">
        <v>-1</v>
      </c>
      <c r="BG195" s="45">
        <v>-1</v>
      </c>
      <c r="BH195" s="45">
        <v>-1</v>
      </c>
      <c r="BI195" s="45">
        <v>-1</v>
      </c>
      <c r="BJ195" s="28">
        <v>2</v>
      </c>
      <c r="BK195" s="45">
        <v>100</v>
      </c>
      <c r="BL195" s="43">
        <v>5</v>
      </c>
      <c r="BM195" s="45">
        <v>4</v>
      </c>
      <c r="BN195" s="45">
        <v>69.499999999999986</v>
      </c>
      <c r="BO195" s="43">
        <v>5</v>
      </c>
    </row>
    <row r="196" spans="1:67" s="50" customFormat="1" ht="15" customHeight="1" x14ac:dyDescent="0.25">
      <c r="A196" s="50">
        <v>195</v>
      </c>
      <c r="B196" s="36">
        <v>6130</v>
      </c>
      <c r="C196" s="46">
        <v>6130</v>
      </c>
      <c r="D196" s="36" t="s">
        <v>204</v>
      </c>
      <c r="E196" s="14" t="s">
        <v>10</v>
      </c>
      <c r="F196" s="39">
        <v>-3</v>
      </c>
      <c r="G196" s="36">
        <v>-3</v>
      </c>
      <c r="H196" s="36">
        <v>-3</v>
      </c>
      <c r="I196" s="36">
        <v>-3</v>
      </c>
      <c r="J196" s="36">
        <v>-3</v>
      </c>
      <c r="K196" s="36">
        <v>-3</v>
      </c>
      <c r="L196" s="45">
        <v>-3</v>
      </c>
      <c r="M196" s="45">
        <v>-3</v>
      </c>
      <c r="N196" s="45">
        <v>-3</v>
      </c>
      <c r="O196" s="36">
        <v>-3</v>
      </c>
      <c r="P196" s="36">
        <v>-3</v>
      </c>
      <c r="Q196" s="36">
        <v>-3</v>
      </c>
      <c r="R196" s="36">
        <v>-3</v>
      </c>
      <c r="S196" s="36">
        <v>-3</v>
      </c>
      <c r="T196" s="45">
        <v>-3</v>
      </c>
      <c r="U196" s="45">
        <v>-3</v>
      </c>
      <c r="V196" s="45">
        <v>-3</v>
      </c>
      <c r="W196" s="45">
        <v>-3</v>
      </c>
      <c r="X196" s="103">
        <v>-3</v>
      </c>
      <c r="Y196" s="29">
        <v>76.7</v>
      </c>
      <c r="Z196" s="47">
        <v>8</v>
      </c>
      <c r="AA196" s="46">
        <v>90</v>
      </c>
      <c r="AB196" s="50">
        <v>22476</v>
      </c>
      <c r="AC196" s="50" t="s">
        <v>157</v>
      </c>
      <c r="AD196" s="50">
        <v>100</v>
      </c>
      <c r="AE196" s="42">
        <v>-3</v>
      </c>
      <c r="AF196" s="10">
        <v>-3</v>
      </c>
      <c r="AG196" s="10">
        <v>-3</v>
      </c>
      <c r="AH196" s="10">
        <v>-3</v>
      </c>
      <c r="AI196" s="10">
        <v>-3</v>
      </c>
      <c r="AJ196" s="10">
        <v>-3</v>
      </c>
      <c r="AK196" s="10">
        <v>-3</v>
      </c>
      <c r="AL196" s="34">
        <v>19.175000000000001</v>
      </c>
      <c r="AM196" s="43">
        <v>0.479375</v>
      </c>
      <c r="AN196" s="35">
        <v>0.19175000000000003</v>
      </c>
      <c r="AO196" s="35">
        <v>0.479375</v>
      </c>
      <c r="AP196" s="35">
        <v>0.479375</v>
      </c>
      <c r="AQ196" s="83">
        <v>19.175000000000001</v>
      </c>
      <c r="AR196" s="50">
        <v>22476</v>
      </c>
      <c r="AS196" s="50" t="s">
        <v>361</v>
      </c>
      <c r="AT196" s="49">
        <v>100</v>
      </c>
      <c r="AU196" s="44">
        <v>-1</v>
      </c>
      <c r="AV196" s="48">
        <v>-1</v>
      </c>
      <c r="AW196" s="48">
        <v>-1</v>
      </c>
      <c r="AX196" s="48">
        <v>-1</v>
      </c>
      <c r="AY196" s="48">
        <v>-1</v>
      </c>
      <c r="AZ196" s="45">
        <v>1</v>
      </c>
      <c r="BA196" s="36">
        <v>90</v>
      </c>
      <c r="BB196" s="43">
        <v>1</v>
      </c>
      <c r="BC196" s="45">
        <v>-1</v>
      </c>
      <c r="BD196" s="45">
        <v>-1</v>
      </c>
      <c r="BE196" s="45">
        <v>-1</v>
      </c>
      <c r="BF196" s="45">
        <v>100</v>
      </c>
      <c r="BG196" s="45">
        <v>-1</v>
      </c>
      <c r="BH196" s="45">
        <v>-1</v>
      </c>
      <c r="BI196" s="45">
        <v>-1</v>
      </c>
      <c r="BJ196" s="28">
        <v>1</v>
      </c>
      <c r="BK196" s="36">
        <v>90</v>
      </c>
      <c r="BL196" s="43">
        <v>1</v>
      </c>
      <c r="BM196" s="45">
        <v>3</v>
      </c>
      <c r="BN196" s="36">
        <v>90</v>
      </c>
      <c r="BO196" s="43">
        <v>1</v>
      </c>
    </row>
    <row r="197" spans="1:67" s="50" customFormat="1" ht="15" customHeight="1" x14ac:dyDescent="0.25">
      <c r="A197" s="50">
        <v>196</v>
      </c>
      <c r="B197" s="36">
        <v>6140</v>
      </c>
      <c r="C197" s="46">
        <v>6140</v>
      </c>
      <c r="D197" s="36" t="s">
        <v>204</v>
      </c>
      <c r="E197" s="15" t="s">
        <v>14</v>
      </c>
      <c r="F197" s="39">
        <v>-3</v>
      </c>
      <c r="G197" s="36">
        <v>-3</v>
      </c>
      <c r="H197" s="36">
        <v>-3</v>
      </c>
      <c r="I197" s="36">
        <v>-3</v>
      </c>
      <c r="J197" s="36">
        <v>-3</v>
      </c>
      <c r="K197" s="36">
        <v>-3</v>
      </c>
      <c r="L197" s="45">
        <v>-3</v>
      </c>
      <c r="M197" s="45">
        <v>-3</v>
      </c>
      <c r="N197" s="45">
        <v>-3</v>
      </c>
      <c r="O197" s="36">
        <v>-3</v>
      </c>
      <c r="P197" s="36">
        <v>-3</v>
      </c>
      <c r="Q197" s="36">
        <v>-3</v>
      </c>
      <c r="R197" s="36">
        <v>-3</v>
      </c>
      <c r="S197" s="36">
        <v>-3</v>
      </c>
      <c r="T197" s="45">
        <v>-3</v>
      </c>
      <c r="U197" s="45">
        <v>-3</v>
      </c>
      <c r="V197" s="45">
        <v>-3</v>
      </c>
      <c r="W197" s="45">
        <v>-3</v>
      </c>
      <c r="X197" s="103">
        <v>-3</v>
      </c>
      <c r="Y197" s="81">
        <v>-3</v>
      </c>
      <c r="Z197" s="19">
        <v>-3</v>
      </c>
      <c r="AA197" s="48">
        <v>-3</v>
      </c>
      <c r="AB197" s="10">
        <v>-3</v>
      </c>
      <c r="AC197" s="10">
        <v>-3</v>
      </c>
      <c r="AD197" s="10">
        <v>-3</v>
      </c>
      <c r="AE197" s="42">
        <v>74</v>
      </c>
      <c r="AF197" s="43">
        <v>3</v>
      </c>
      <c r="AG197" s="36">
        <v>90</v>
      </c>
      <c r="AH197" s="35">
        <v>3.7</v>
      </c>
      <c r="AI197" s="50">
        <v>40544</v>
      </c>
      <c r="AJ197" s="50" t="s">
        <v>363</v>
      </c>
      <c r="AK197" s="50">
        <v>100</v>
      </c>
      <c r="AL197" s="34">
        <v>-3</v>
      </c>
      <c r="AM197" s="48">
        <v>-3</v>
      </c>
      <c r="AN197" s="48">
        <v>-3</v>
      </c>
      <c r="AO197" s="48">
        <v>-3</v>
      </c>
      <c r="AP197" s="48">
        <v>-3</v>
      </c>
      <c r="AQ197" s="48">
        <v>-3</v>
      </c>
      <c r="AR197" s="48">
        <v>-3</v>
      </c>
      <c r="AS197" s="10">
        <v>-3</v>
      </c>
      <c r="AT197" s="10">
        <v>-3</v>
      </c>
      <c r="AU197" s="44">
        <v>-1</v>
      </c>
      <c r="AV197" s="48">
        <v>-1</v>
      </c>
      <c r="AW197" s="48">
        <v>-1</v>
      </c>
      <c r="AX197" s="48">
        <v>-1</v>
      </c>
      <c r="AY197" s="48">
        <v>-1</v>
      </c>
      <c r="AZ197" s="45">
        <v>1</v>
      </c>
      <c r="BA197" s="36">
        <v>74</v>
      </c>
      <c r="BB197" s="43">
        <v>3</v>
      </c>
      <c r="BC197" s="45">
        <v>-1</v>
      </c>
      <c r="BD197" s="45">
        <v>-1</v>
      </c>
      <c r="BE197" s="45">
        <v>-1</v>
      </c>
      <c r="BF197" s="45">
        <v>-1</v>
      </c>
      <c r="BG197" s="45">
        <v>-1</v>
      </c>
      <c r="BH197" s="45">
        <v>-1</v>
      </c>
      <c r="BI197" s="45">
        <v>100</v>
      </c>
      <c r="BJ197" s="28">
        <v>1</v>
      </c>
      <c r="BK197" s="36">
        <v>90</v>
      </c>
      <c r="BL197" s="45">
        <v>1</v>
      </c>
      <c r="BM197" s="45">
        <v>4</v>
      </c>
      <c r="BN197" s="36">
        <v>90</v>
      </c>
      <c r="BO197" s="45">
        <v>1</v>
      </c>
    </row>
    <row r="198" spans="1:67" s="50" customFormat="1" ht="15" customHeight="1" x14ac:dyDescent="0.25">
      <c r="A198" s="50">
        <v>197</v>
      </c>
      <c r="B198" s="36">
        <v>6150</v>
      </c>
      <c r="C198" s="46">
        <v>6150</v>
      </c>
      <c r="D198" s="36" t="s">
        <v>204</v>
      </c>
      <c r="E198" s="18" t="s">
        <v>15</v>
      </c>
      <c r="F198" s="39">
        <v>-3</v>
      </c>
      <c r="G198" s="36">
        <v>-3</v>
      </c>
      <c r="H198" s="36">
        <v>-3</v>
      </c>
      <c r="I198" s="36">
        <v>-3</v>
      </c>
      <c r="J198" s="36">
        <v>-3</v>
      </c>
      <c r="K198" s="36">
        <v>-3</v>
      </c>
      <c r="L198" s="45">
        <v>-3</v>
      </c>
      <c r="M198" s="45">
        <v>-3</v>
      </c>
      <c r="N198" s="45">
        <v>-3</v>
      </c>
      <c r="O198" s="36">
        <v>-3</v>
      </c>
      <c r="P198" s="36">
        <v>-3</v>
      </c>
      <c r="Q198" s="36">
        <v>-3</v>
      </c>
      <c r="R198" s="36">
        <v>-3</v>
      </c>
      <c r="S198" s="36">
        <v>-3</v>
      </c>
      <c r="T198" s="45">
        <v>-3</v>
      </c>
      <c r="U198" s="45">
        <v>-3</v>
      </c>
      <c r="V198" s="45">
        <v>-3</v>
      </c>
      <c r="W198" s="45">
        <v>-3</v>
      </c>
      <c r="X198" s="103">
        <v>-3</v>
      </c>
      <c r="Y198" s="29">
        <v>8.9</v>
      </c>
      <c r="Z198" s="47">
        <v>8</v>
      </c>
      <c r="AA198" s="46">
        <v>90</v>
      </c>
      <c r="AB198" s="50">
        <v>22476</v>
      </c>
      <c r="AC198" s="50" t="s">
        <v>157</v>
      </c>
      <c r="AD198" s="50">
        <v>100</v>
      </c>
      <c r="AE198" s="42">
        <v>6</v>
      </c>
      <c r="AF198" s="43">
        <v>2</v>
      </c>
      <c r="AG198" s="36">
        <v>85</v>
      </c>
      <c r="AH198" s="35">
        <v>0.28000000000000003</v>
      </c>
      <c r="AI198" s="50">
        <v>40544</v>
      </c>
      <c r="AJ198" s="50" t="s">
        <v>363</v>
      </c>
      <c r="AK198" s="50">
        <v>100</v>
      </c>
      <c r="AL198" s="34">
        <v>2.23</v>
      </c>
      <c r="AM198" s="43">
        <v>0.06</v>
      </c>
      <c r="AN198" s="35">
        <v>0.02</v>
      </c>
      <c r="AO198" s="35">
        <v>0.06</v>
      </c>
      <c r="AP198" s="35">
        <v>0.06</v>
      </c>
      <c r="AQ198" s="83">
        <v>0.06</v>
      </c>
      <c r="AR198" s="50">
        <v>22476</v>
      </c>
      <c r="AS198" s="46" t="s">
        <v>361</v>
      </c>
      <c r="AT198" s="50">
        <v>100</v>
      </c>
      <c r="AU198" s="44">
        <v>-1</v>
      </c>
      <c r="AV198" s="48">
        <v>-1</v>
      </c>
      <c r="AW198" s="48">
        <v>-1</v>
      </c>
      <c r="AX198" s="48">
        <v>-1</v>
      </c>
      <c r="AY198" s="48">
        <v>-1</v>
      </c>
      <c r="AZ198" s="45">
        <v>1</v>
      </c>
      <c r="BA198" s="36">
        <v>15</v>
      </c>
      <c r="BB198" s="43">
        <v>2</v>
      </c>
      <c r="BC198" s="45">
        <v>-1</v>
      </c>
      <c r="BD198" s="45">
        <v>-1</v>
      </c>
      <c r="BE198" s="45">
        <v>-1</v>
      </c>
      <c r="BF198" s="45">
        <v>50</v>
      </c>
      <c r="BG198" s="45">
        <v>-1</v>
      </c>
      <c r="BH198" s="45">
        <v>-1</v>
      </c>
      <c r="BI198" s="45">
        <v>50</v>
      </c>
      <c r="BJ198" s="28">
        <v>1</v>
      </c>
      <c r="BK198" s="36">
        <v>90</v>
      </c>
      <c r="BL198" s="43">
        <v>1</v>
      </c>
      <c r="BM198" s="45">
        <v>3</v>
      </c>
      <c r="BN198" s="36">
        <v>90</v>
      </c>
      <c r="BO198" s="43">
        <v>1</v>
      </c>
    </row>
    <row r="199" spans="1:67" s="50" customFormat="1" ht="15" customHeight="1" x14ac:dyDescent="0.25">
      <c r="A199" s="50">
        <v>198</v>
      </c>
      <c r="B199" s="36">
        <v>6180</v>
      </c>
      <c r="C199" s="46">
        <v>6180</v>
      </c>
      <c r="D199" s="36" t="s">
        <v>204</v>
      </c>
      <c r="E199" s="16" t="s">
        <v>13</v>
      </c>
      <c r="F199" s="39">
        <v>-3</v>
      </c>
      <c r="G199" s="36">
        <v>-3</v>
      </c>
      <c r="H199" s="36">
        <v>-3</v>
      </c>
      <c r="I199" s="36">
        <v>-3</v>
      </c>
      <c r="J199" s="36">
        <v>-3</v>
      </c>
      <c r="K199" s="36">
        <v>-3</v>
      </c>
      <c r="L199" s="45">
        <v>-3</v>
      </c>
      <c r="M199" s="45">
        <v>-3</v>
      </c>
      <c r="N199" s="45">
        <v>-3</v>
      </c>
      <c r="O199" s="36">
        <v>-3</v>
      </c>
      <c r="P199" s="36">
        <v>-3</v>
      </c>
      <c r="Q199" s="36">
        <v>-3</v>
      </c>
      <c r="R199" s="36">
        <v>-3</v>
      </c>
      <c r="S199" s="36">
        <v>-3</v>
      </c>
      <c r="T199" s="45">
        <v>-3</v>
      </c>
      <c r="U199" s="45">
        <v>-3</v>
      </c>
      <c r="V199" s="45">
        <v>-3</v>
      </c>
      <c r="W199" s="45">
        <v>-3</v>
      </c>
      <c r="X199" s="103">
        <v>-3</v>
      </c>
      <c r="Y199" s="81">
        <v>-1</v>
      </c>
      <c r="Z199" s="10">
        <v>-1</v>
      </c>
      <c r="AA199" s="10">
        <v>-1</v>
      </c>
      <c r="AB199" s="10">
        <v>-1</v>
      </c>
      <c r="AC199" s="10">
        <v>-1</v>
      </c>
      <c r="AD199" s="10">
        <v>-1</v>
      </c>
      <c r="AE199" s="42">
        <v>77</v>
      </c>
      <c r="AF199" s="43">
        <v>2.5</v>
      </c>
      <c r="AG199" s="36">
        <v>90</v>
      </c>
      <c r="AH199" s="35">
        <v>2.89</v>
      </c>
      <c r="AI199" s="50">
        <v>40792</v>
      </c>
      <c r="AJ199" s="50" t="s">
        <v>365</v>
      </c>
      <c r="AK199" s="50">
        <v>100</v>
      </c>
      <c r="AL199" s="34">
        <v>-1</v>
      </c>
      <c r="AM199" s="48">
        <v>-1</v>
      </c>
      <c r="AN199" s="48">
        <v>-1</v>
      </c>
      <c r="AO199" s="48">
        <v>-1</v>
      </c>
      <c r="AP199" s="48">
        <v>-1</v>
      </c>
      <c r="AQ199" s="48">
        <v>-1</v>
      </c>
      <c r="AR199" s="48">
        <v>-1</v>
      </c>
      <c r="AS199" s="48">
        <v>-1</v>
      </c>
      <c r="AT199" s="48">
        <v>-1</v>
      </c>
      <c r="AU199" s="44">
        <v>-3</v>
      </c>
      <c r="AV199" s="48">
        <v>-3</v>
      </c>
      <c r="AW199" s="45">
        <v>2</v>
      </c>
      <c r="AX199" s="36">
        <v>10</v>
      </c>
      <c r="AY199" s="45">
        <v>1</v>
      </c>
      <c r="AZ199" s="45">
        <v>1</v>
      </c>
      <c r="BA199" s="36">
        <v>77</v>
      </c>
      <c r="BB199" s="43">
        <v>2</v>
      </c>
      <c r="BC199" s="45">
        <v>-1</v>
      </c>
      <c r="BD199" s="45">
        <v>-1</v>
      </c>
      <c r="BE199" s="45">
        <v>-1</v>
      </c>
      <c r="BF199" s="45">
        <v>-1</v>
      </c>
      <c r="BG199" s="45">
        <v>-1</v>
      </c>
      <c r="BH199" s="45">
        <v>-1</v>
      </c>
      <c r="BI199" s="45">
        <v>100</v>
      </c>
      <c r="BJ199" s="28">
        <v>1</v>
      </c>
      <c r="BK199" s="36">
        <v>50</v>
      </c>
      <c r="BL199" s="43">
        <v>0.5</v>
      </c>
      <c r="BM199" s="45">
        <v>4</v>
      </c>
      <c r="BN199" s="36">
        <v>50</v>
      </c>
      <c r="BO199" s="43">
        <v>0.5</v>
      </c>
    </row>
    <row r="200" spans="1:67" s="50" customFormat="1" ht="15" customHeight="1" x14ac:dyDescent="0.25">
      <c r="A200" s="50">
        <v>199</v>
      </c>
      <c r="B200" s="36">
        <v>7010</v>
      </c>
      <c r="C200" s="46">
        <v>7010</v>
      </c>
      <c r="D200" s="22" t="s">
        <v>4</v>
      </c>
      <c r="E200" s="25" t="s">
        <v>410</v>
      </c>
      <c r="F200" s="39">
        <v>-3</v>
      </c>
      <c r="G200" s="45">
        <v>-3</v>
      </c>
      <c r="H200" s="45">
        <v>-3</v>
      </c>
      <c r="I200" s="36">
        <v>-3</v>
      </c>
      <c r="J200" s="45">
        <v>-3</v>
      </c>
      <c r="K200" s="45">
        <v>-3</v>
      </c>
      <c r="L200" s="45">
        <v>-3</v>
      </c>
      <c r="M200" s="45">
        <v>-3</v>
      </c>
      <c r="N200" s="45">
        <v>-3</v>
      </c>
      <c r="O200" s="45">
        <v>-3</v>
      </c>
      <c r="P200" s="45">
        <v>-3</v>
      </c>
      <c r="Q200" s="45">
        <v>-3</v>
      </c>
      <c r="R200" s="45">
        <v>-3</v>
      </c>
      <c r="S200" s="45">
        <v>-3</v>
      </c>
      <c r="T200" s="45">
        <v>-3</v>
      </c>
      <c r="U200" s="45">
        <v>-3</v>
      </c>
      <c r="V200" s="45">
        <v>-3</v>
      </c>
      <c r="W200" s="45">
        <v>-3</v>
      </c>
      <c r="X200" s="103">
        <v>-3</v>
      </c>
      <c r="Y200" s="81">
        <v>-3</v>
      </c>
      <c r="Z200" s="10">
        <v>-3</v>
      </c>
      <c r="AA200" s="48">
        <v>-3</v>
      </c>
      <c r="AB200" s="10">
        <v>-3</v>
      </c>
      <c r="AC200" s="10">
        <v>-3</v>
      </c>
      <c r="AD200" s="10">
        <v>-3</v>
      </c>
      <c r="AE200" s="42">
        <v>100</v>
      </c>
      <c r="AF200" s="43">
        <v>0.5</v>
      </c>
      <c r="AG200" s="36">
        <v>0</v>
      </c>
      <c r="AH200" s="35">
        <v>0.17</v>
      </c>
      <c r="AI200" s="50">
        <v>42236</v>
      </c>
      <c r="AJ200" s="50" t="s">
        <v>207</v>
      </c>
      <c r="AK200" s="50">
        <v>100</v>
      </c>
      <c r="AL200" s="34">
        <v>-3</v>
      </c>
      <c r="AM200" s="48">
        <v>-3</v>
      </c>
      <c r="AN200" s="48">
        <v>-3</v>
      </c>
      <c r="AO200" s="48">
        <v>-3</v>
      </c>
      <c r="AP200" s="48">
        <v>-3</v>
      </c>
      <c r="AQ200" s="48">
        <v>-3</v>
      </c>
      <c r="AR200" s="48">
        <v>-3</v>
      </c>
      <c r="AS200" s="10">
        <v>-3</v>
      </c>
      <c r="AT200" s="10">
        <v>-3</v>
      </c>
      <c r="AU200" s="44">
        <v>-1</v>
      </c>
      <c r="AV200" s="48">
        <v>-1</v>
      </c>
      <c r="AW200" s="48">
        <v>-1</v>
      </c>
      <c r="AX200" s="48">
        <v>-1</v>
      </c>
      <c r="AY200" s="48">
        <v>-1</v>
      </c>
      <c r="AZ200" s="45">
        <v>2</v>
      </c>
      <c r="BA200" s="45">
        <v>65</v>
      </c>
      <c r="BB200" s="35">
        <v>0.5</v>
      </c>
      <c r="BC200" s="53">
        <v>-1</v>
      </c>
      <c r="BD200" s="53">
        <v>-1</v>
      </c>
      <c r="BE200" s="53">
        <v>-1</v>
      </c>
      <c r="BF200" s="53">
        <v>-1</v>
      </c>
      <c r="BG200" s="53">
        <v>-1</v>
      </c>
      <c r="BH200" s="53">
        <v>-1</v>
      </c>
      <c r="BI200" s="45">
        <v>100</v>
      </c>
      <c r="BJ200" s="28">
        <v>-1</v>
      </c>
      <c r="BK200" s="48">
        <v>-1</v>
      </c>
      <c r="BL200" s="48">
        <v>-1</v>
      </c>
      <c r="BM200" s="48">
        <v>-1</v>
      </c>
      <c r="BN200" s="48">
        <v>-1</v>
      </c>
      <c r="BO200" s="48">
        <v>-1</v>
      </c>
    </row>
    <row r="201" spans="1:67" s="50" customFormat="1" ht="15" customHeight="1" x14ac:dyDescent="0.25">
      <c r="A201" s="50">
        <v>200</v>
      </c>
      <c r="B201" s="36">
        <v>7011</v>
      </c>
      <c r="C201" s="46">
        <v>7011</v>
      </c>
      <c r="D201" s="22" t="s">
        <v>4</v>
      </c>
      <c r="E201" s="25" t="s">
        <v>411</v>
      </c>
      <c r="F201" s="39">
        <v>-3</v>
      </c>
      <c r="G201" s="45">
        <v>-3</v>
      </c>
      <c r="H201" s="45">
        <v>-3</v>
      </c>
      <c r="I201" s="36">
        <v>-3</v>
      </c>
      <c r="J201" s="45">
        <v>-3</v>
      </c>
      <c r="K201" s="45">
        <v>-3</v>
      </c>
      <c r="L201" s="45">
        <v>-3</v>
      </c>
      <c r="M201" s="45">
        <v>-3</v>
      </c>
      <c r="N201" s="45">
        <v>-3</v>
      </c>
      <c r="O201" s="45">
        <v>-3</v>
      </c>
      <c r="P201" s="45">
        <v>-3</v>
      </c>
      <c r="Q201" s="45">
        <v>-3</v>
      </c>
      <c r="R201" s="45">
        <v>-3</v>
      </c>
      <c r="S201" s="45">
        <v>-3</v>
      </c>
      <c r="T201" s="45">
        <v>-3</v>
      </c>
      <c r="U201" s="45">
        <v>-3</v>
      </c>
      <c r="V201" s="45">
        <v>-3</v>
      </c>
      <c r="W201" s="45">
        <v>-3</v>
      </c>
      <c r="X201" s="103">
        <v>-3</v>
      </c>
      <c r="Y201" s="81">
        <v>-3</v>
      </c>
      <c r="Z201" s="10">
        <v>-3</v>
      </c>
      <c r="AA201" s="48">
        <v>-3</v>
      </c>
      <c r="AB201" s="10">
        <v>-3</v>
      </c>
      <c r="AC201" s="10">
        <v>-3</v>
      </c>
      <c r="AD201" s="10">
        <v>-3</v>
      </c>
      <c r="AE201" s="42">
        <v>100</v>
      </c>
      <c r="AF201" s="43">
        <v>0.5</v>
      </c>
      <c r="AG201" s="45">
        <v>0</v>
      </c>
      <c r="AH201" s="35">
        <v>1.29</v>
      </c>
      <c r="AI201" s="50">
        <v>41976</v>
      </c>
      <c r="AJ201" s="50" t="s">
        <v>209</v>
      </c>
      <c r="AK201" s="50">
        <v>100</v>
      </c>
      <c r="AL201" s="34">
        <v>-3</v>
      </c>
      <c r="AM201" s="48">
        <v>-3</v>
      </c>
      <c r="AN201" s="48">
        <v>-3</v>
      </c>
      <c r="AO201" s="48">
        <v>-3</v>
      </c>
      <c r="AP201" s="48">
        <v>-3</v>
      </c>
      <c r="AQ201" s="48">
        <v>-3</v>
      </c>
      <c r="AR201" s="48">
        <v>-3</v>
      </c>
      <c r="AS201" s="10">
        <v>-3</v>
      </c>
      <c r="AT201" s="10">
        <v>-3</v>
      </c>
      <c r="AU201" s="44">
        <v>-1</v>
      </c>
      <c r="AV201" s="48">
        <v>-1</v>
      </c>
      <c r="AW201" s="48">
        <v>-1</v>
      </c>
      <c r="AX201" s="48">
        <v>-1</v>
      </c>
      <c r="AY201" s="48">
        <v>-1</v>
      </c>
      <c r="AZ201" s="45">
        <v>2</v>
      </c>
      <c r="BA201" s="45">
        <v>65</v>
      </c>
      <c r="BB201" s="35">
        <v>0.5</v>
      </c>
      <c r="BC201" s="53">
        <v>-1</v>
      </c>
      <c r="BD201" s="53">
        <v>-1</v>
      </c>
      <c r="BE201" s="53">
        <v>-1</v>
      </c>
      <c r="BF201" s="53">
        <v>-1</v>
      </c>
      <c r="BG201" s="53">
        <v>-1</v>
      </c>
      <c r="BH201" s="53">
        <v>-1</v>
      </c>
      <c r="BI201" s="45">
        <v>100</v>
      </c>
      <c r="BJ201" s="28">
        <v>-1</v>
      </c>
      <c r="BK201" s="48">
        <v>-1</v>
      </c>
      <c r="BL201" s="48">
        <v>-1</v>
      </c>
      <c r="BM201" s="48">
        <v>-1</v>
      </c>
      <c r="BN201" s="48">
        <v>-1</v>
      </c>
      <c r="BO201" s="48">
        <v>-1</v>
      </c>
    </row>
    <row r="202" spans="1:67" s="50" customFormat="1" ht="15" customHeight="1" x14ac:dyDescent="0.25">
      <c r="A202" s="50">
        <v>201</v>
      </c>
      <c r="B202" s="36">
        <v>7012</v>
      </c>
      <c r="C202" s="46">
        <v>7012</v>
      </c>
      <c r="D202" s="22" t="s">
        <v>4</v>
      </c>
      <c r="E202" s="25" t="s">
        <v>412</v>
      </c>
      <c r="F202" s="39">
        <v>-3</v>
      </c>
      <c r="G202" s="45">
        <v>-3</v>
      </c>
      <c r="H202" s="45">
        <v>-3</v>
      </c>
      <c r="I202" s="36">
        <v>-3</v>
      </c>
      <c r="J202" s="45">
        <v>-3</v>
      </c>
      <c r="K202" s="45">
        <v>-3</v>
      </c>
      <c r="L202" s="45">
        <v>-3</v>
      </c>
      <c r="M202" s="45">
        <v>-3</v>
      </c>
      <c r="N202" s="45">
        <v>-3</v>
      </c>
      <c r="O202" s="45">
        <v>-3</v>
      </c>
      <c r="P202" s="45">
        <v>-3</v>
      </c>
      <c r="Q202" s="45">
        <v>-3</v>
      </c>
      <c r="R202" s="45">
        <v>-3</v>
      </c>
      <c r="S202" s="45">
        <v>-3</v>
      </c>
      <c r="T202" s="45">
        <v>-3</v>
      </c>
      <c r="U202" s="45">
        <v>-3</v>
      </c>
      <c r="V202" s="45">
        <v>-3</v>
      </c>
      <c r="W202" s="45">
        <v>-3</v>
      </c>
      <c r="X202" s="103">
        <v>-3</v>
      </c>
      <c r="Y202" s="81">
        <v>-3</v>
      </c>
      <c r="Z202" s="10">
        <v>-3</v>
      </c>
      <c r="AA202" s="48">
        <v>-3</v>
      </c>
      <c r="AB202" s="10">
        <v>-3</v>
      </c>
      <c r="AC202" s="10">
        <v>-3</v>
      </c>
      <c r="AD202" s="10">
        <v>-3</v>
      </c>
      <c r="AE202" s="42">
        <v>100</v>
      </c>
      <c r="AF202" s="66">
        <v>0.5</v>
      </c>
      <c r="AG202" s="62">
        <v>0</v>
      </c>
      <c r="AH202" s="63">
        <v>0.48</v>
      </c>
      <c r="AI202" s="50">
        <v>42269</v>
      </c>
      <c r="AJ202" s="50" t="s">
        <v>206</v>
      </c>
      <c r="AK202" s="50">
        <v>100</v>
      </c>
      <c r="AL202" s="34">
        <v>-3</v>
      </c>
      <c r="AM202" s="48">
        <v>-3</v>
      </c>
      <c r="AN202" s="48">
        <v>-3</v>
      </c>
      <c r="AO202" s="48">
        <v>-3</v>
      </c>
      <c r="AP202" s="48">
        <v>-3</v>
      </c>
      <c r="AQ202" s="48">
        <v>-3</v>
      </c>
      <c r="AR202" s="48">
        <v>-3</v>
      </c>
      <c r="AS202" s="10">
        <v>-3</v>
      </c>
      <c r="AT202" s="10">
        <v>-3</v>
      </c>
      <c r="AU202" s="44">
        <v>-1</v>
      </c>
      <c r="AV202" s="48">
        <v>-1</v>
      </c>
      <c r="AW202" s="48">
        <v>-1</v>
      </c>
      <c r="AX202" s="48">
        <v>-1</v>
      </c>
      <c r="AY202" s="48">
        <v>-1</v>
      </c>
      <c r="AZ202" s="45">
        <v>2</v>
      </c>
      <c r="BA202" s="45">
        <v>65</v>
      </c>
      <c r="BB202" s="35">
        <v>0.5</v>
      </c>
      <c r="BC202" s="53">
        <v>-1</v>
      </c>
      <c r="BD202" s="53">
        <v>-1</v>
      </c>
      <c r="BE202" s="53">
        <v>-1</v>
      </c>
      <c r="BF202" s="53">
        <v>-1</v>
      </c>
      <c r="BG202" s="53">
        <v>-1</v>
      </c>
      <c r="BH202" s="53">
        <v>-1</v>
      </c>
      <c r="BI202" s="45">
        <v>100</v>
      </c>
      <c r="BJ202" s="28">
        <v>-1</v>
      </c>
      <c r="BK202" s="48">
        <v>-1</v>
      </c>
      <c r="BL202" s="48">
        <v>-1</v>
      </c>
      <c r="BM202" s="48">
        <v>-1</v>
      </c>
      <c r="BN202" s="48">
        <v>-1</v>
      </c>
      <c r="BO202" s="48">
        <v>-1</v>
      </c>
    </row>
    <row r="203" spans="1:67" s="50" customFormat="1" ht="15" customHeight="1" x14ac:dyDescent="0.25">
      <c r="A203" s="50">
        <v>202</v>
      </c>
      <c r="B203" s="36">
        <v>7013</v>
      </c>
      <c r="C203" s="46">
        <v>7013</v>
      </c>
      <c r="D203" s="22" t="s">
        <v>4</v>
      </c>
      <c r="E203" s="25" t="s">
        <v>413</v>
      </c>
      <c r="F203" s="39">
        <v>-3</v>
      </c>
      <c r="G203" s="45">
        <v>-3</v>
      </c>
      <c r="H203" s="45">
        <v>-3</v>
      </c>
      <c r="I203" s="36">
        <v>-3</v>
      </c>
      <c r="J203" s="45">
        <v>-3</v>
      </c>
      <c r="K203" s="45">
        <v>-3</v>
      </c>
      <c r="L203" s="45">
        <v>-3</v>
      </c>
      <c r="M203" s="45">
        <v>-3</v>
      </c>
      <c r="N203" s="45">
        <v>-3</v>
      </c>
      <c r="O203" s="45">
        <v>-3</v>
      </c>
      <c r="P203" s="45">
        <v>-3</v>
      </c>
      <c r="Q203" s="45">
        <v>-3</v>
      </c>
      <c r="R203" s="45">
        <v>-3</v>
      </c>
      <c r="S203" s="45">
        <v>-3</v>
      </c>
      <c r="T203" s="45">
        <v>-3</v>
      </c>
      <c r="U203" s="45">
        <v>-3</v>
      </c>
      <c r="V203" s="45">
        <v>-3</v>
      </c>
      <c r="W203" s="45">
        <v>-3</v>
      </c>
      <c r="X203" s="103">
        <v>-3</v>
      </c>
      <c r="Y203" s="81">
        <v>-3</v>
      </c>
      <c r="Z203" s="10">
        <v>-3</v>
      </c>
      <c r="AA203" s="48">
        <v>-3</v>
      </c>
      <c r="AB203" s="10">
        <v>-3</v>
      </c>
      <c r="AC203" s="10">
        <v>-3</v>
      </c>
      <c r="AD203" s="10">
        <v>-3</v>
      </c>
      <c r="AE203" s="42">
        <v>100</v>
      </c>
      <c r="AF203" s="43">
        <v>0.5</v>
      </c>
      <c r="AG203" s="45">
        <v>0</v>
      </c>
      <c r="AH203" s="35">
        <v>0.17</v>
      </c>
      <c r="AI203" s="50">
        <v>26716</v>
      </c>
      <c r="AJ203" s="50" t="s">
        <v>208</v>
      </c>
      <c r="AK203" s="50">
        <v>100</v>
      </c>
      <c r="AL203" s="34">
        <v>-3</v>
      </c>
      <c r="AM203" s="48">
        <v>-3</v>
      </c>
      <c r="AN203" s="48">
        <v>-3</v>
      </c>
      <c r="AO203" s="48">
        <v>-3</v>
      </c>
      <c r="AP203" s="48">
        <v>-3</v>
      </c>
      <c r="AQ203" s="48">
        <v>-3</v>
      </c>
      <c r="AR203" s="48">
        <v>-3</v>
      </c>
      <c r="AS203" s="10">
        <v>-3</v>
      </c>
      <c r="AT203" s="10">
        <v>-3</v>
      </c>
      <c r="AU203" s="44">
        <v>-1</v>
      </c>
      <c r="AV203" s="48">
        <v>-1</v>
      </c>
      <c r="AW203" s="48">
        <v>-1</v>
      </c>
      <c r="AX203" s="48">
        <v>-1</v>
      </c>
      <c r="AY203" s="48">
        <v>-1</v>
      </c>
      <c r="AZ203" s="45">
        <v>2</v>
      </c>
      <c r="BA203" s="45">
        <v>65</v>
      </c>
      <c r="BB203" s="35">
        <v>0.5</v>
      </c>
      <c r="BC203" s="53">
        <v>-1</v>
      </c>
      <c r="BD203" s="53">
        <v>-1</v>
      </c>
      <c r="BE203" s="53">
        <v>-1</v>
      </c>
      <c r="BF203" s="53">
        <v>-1</v>
      </c>
      <c r="BG203" s="53">
        <v>-1</v>
      </c>
      <c r="BH203" s="53">
        <v>-1</v>
      </c>
      <c r="BI203" s="45">
        <v>100</v>
      </c>
      <c r="BJ203" s="28">
        <v>-1</v>
      </c>
      <c r="BK203" s="48">
        <v>-1</v>
      </c>
      <c r="BL203" s="48">
        <v>-1</v>
      </c>
      <c r="BM203" s="48">
        <v>-1</v>
      </c>
      <c r="BN203" s="48">
        <v>-1</v>
      </c>
      <c r="BO203" s="48">
        <v>-1</v>
      </c>
    </row>
    <row r="204" spans="1:67" s="50" customFormat="1" ht="15" customHeight="1" x14ac:dyDescent="0.25">
      <c r="A204" s="50">
        <v>203</v>
      </c>
      <c r="B204" s="36">
        <v>7014</v>
      </c>
      <c r="C204" s="46">
        <v>7014</v>
      </c>
      <c r="D204" s="22" t="s">
        <v>4</v>
      </c>
      <c r="E204" s="25" t="s">
        <v>422</v>
      </c>
      <c r="F204" s="39">
        <v>-3</v>
      </c>
      <c r="G204" s="45">
        <v>-3</v>
      </c>
      <c r="H204" s="45">
        <v>-3</v>
      </c>
      <c r="I204" s="36">
        <v>-3</v>
      </c>
      <c r="J204" s="45">
        <v>-3</v>
      </c>
      <c r="K204" s="45">
        <v>-3</v>
      </c>
      <c r="L204" s="45">
        <v>-3</v>
      </c>
      <c r="M204" s="45">
        <v>-3</v>
      </c>
      <c r="N204" s="45">
        <v>-3</v>
      </c>
      <c r="O204" s="45">
        <v>-3</v>
      </c>
      <c r="P204" s="45">
        <v>-3</v>
      </c>
      <c r="Q204" s="45">
        <v>-3</v>
      </c>
      <c r="R204" s="45">
        <v>-3</v>
      </c>
      <c r="S204" s="45">
        <v>-3</v>
      </c>
      <c r="T204" s="45">
        <v>-3</v>
      </c>
      <c r="U204" s="45">
        <v>-3</v>
      </c>
      <c r="V204" s="45">
        <v>-3</v>
      </c>
      <c r="W204" s="45">
        <v>-3</v>
      </c>
      <c r="X204" s="103">
        <v>-3</v>
      </c>
      <c r="Y204" s="81">
        <v>-3</v>
      </c>
      <c r="Z204" s="10">
        <v>-3</v>
      </c>
      <c r="AA204" s="48">
        <v>-3</v>
      </c>
      <c r="AB204" s="10">
        <v>-3</v>
      </c>
      <c r="AC204" s="10">
        <v>-3</v>
      </c>
      <c r="AD204" s="10">
        <v>-3</v>
      </c>
      <c r="AE204" s="42">
        <v>100</v>
      </c>
      <c r="AF204" s="66">
        <v>0.5</v>
      </c>
      <c r="AG204" s="62">
        <v>0</v>
      </c>
      <c r="AH204" s="63">
        <v>0.48</v>
      </c>
      <c r="AI204" s="50">
        <v>42013</v>
      </c>
      <c r="AJ204" s="50" t="s">
        <v>423</v>
      </c>
      <c r="AK204" s="58">
        <v>100</v>
      </c>
      <c r="AL204" s="34">
        <v>-3</v>
      </c>
      <c r="AM204" s="48">
        <v>-3</v>
      </c>
      <c r="AN204" s="48">
        <v>-3</v>
      </c>
      <c r="AO204" s="48">
        <v>-3</v>
      </c>
      <c r="AP204" s="48">
        <v>-3</v>
      </c>
      <c r="AQ204" s="48">
        <v>-3</v>
      </c>
      <c r="AR204" s="48">
        <v>-3</v>
      </c>
      <c r="AS204" s="10">
        <v>-3</v>
      </c>
      <c r="AT204" s="10">
        <v>-3</v>
      </c>
      <c r="AU204" s="44">
        <v>-1</v>
      </c>
      <c r="AV204" s="48">
        <v>-1</v>
      </c>
      <c r="AW204" s="48">
        <v>-1</v>
      </c>
      <c r="AX204" s="48">
        <v>-1</v>
      </c>
      <c r="AY204" s="48">
        <v>-1</v>
      </c>
      <c r="AZ204" s="45">
        <v>2</v>
      </c>
      <c r="BA204" s="45">
        <v>65</v>
      </c>
      <c r="BB204" s="35">
        <v>0.5</v>
      </c>
      <c r="BC204" s="53">
        <v>-1</v>
      </c>
      <c r="BD204" s="53">
        <v>-1</v>
      </c>
      <c r="BE204" s="53">
        <v>-1</v>
      </c>
      <c r="BF204" s="53">
        <v>-1</v>
      </c>
      <c r="BG204" s="53">
        <v>-1</v>
      </c>
      <c r="BH204" s="53">
        <v>-1</v>
      </c>
      <c r="BI204" s="45">
        <v>100</v>
      </c>
      <c r="BJ204" s="28">
        <v>-1</v>
      </c>
      <c r="BK204" s="48">
        <v>-1</v>
      </c>
      <c r="BL204" s="48">
        <v>-1</v>
      </c>
      <c r="BM204" s="48">
        <v>-1</v>
      </c>
      <c r="BN204" s="48">
        <v>-1</v>
      </c>
      <c r="BO204" s="48">
        <v>-1</v>
      </c>
    </row>
    <row r="205" spans="1:67" s="50" customFormat="1" ht="15" customHeight="1" x14ac:dyDescent="0.25">
      <c r="A205" s="50">
        <v>204</v>
      </c>
      <c r="B205" s="36">
        <v>7015</v>
      </c>
      <c r="C205" s="46">
        <v>7015</v>
      </c>
      <c r="D205" s="22" t="s">
        <v>4</v>
      </c>
      <c r="E205" s="25" t="s">
        <v>424</v>
      </c>
      <c r="F205" s="39">
        <v>-3</v>
      </c>
      <c r="G205" s="45">
        <v>-3</v>
      </c>
      <c r="H205" s="45">
        <v>-3</v>
      </c>
      <c r="I205" s="36">
        <v>-3</v>
      </c>
      <c r="J205" s="45">
        <v>-3</v>
      </c>
      <c r="K205" s="45">
        <v>-3</v>
      </c>
      <c r="L205" s="45">
        <v>-3</v>
      </c>
      <c r="M205" s="45">
        <v>-3</v>
      </c>
      <c r="N205" s="45">
        <v>-3</v>
      </c>
      <c r="O205" s="45">
        <v>-3</v>
      </c>
      <c r="P205" s="45">
        <v>-3</v>
      </c>
      <c r="Q205" s="45">
        <v>-3</v>
      </c>
      <c r="R205" s="45">
        <v>-3</v>
      </c>
      <c r="S205" s="45">
        <v>-3</v>
      </c>
      <c r="T205" s="45">
        <v>-3</v>
      </c>
      <c r="U205" s="45">
        <v>-3</v>
      </c>
      <c r="V205" s="45">
        <v>-3</v>
      </c>
      <c r="W205" s="45">
        <v>-3</v>
      </c>
      <c r="X205" s="103">
        <v>-3</v>
      </c>
      <c r="Y205" s="81">
        <v>-3</v>
      </c>
      <c r="Z205" s="10">
        <v>-3</v>
      </c>
      <c r="AA205" s="48">
        <v>-3</v>
      </c>
      <c r="AB205" s="10">
        <v>-3</v>
      </c>
      <c r="AC205" s="10">
        <v>-3</v>
      </c>
      <c r="AD205" s="10">
        <v>-3</v>
      </c>
      <c r="AE205" s="42">
        <v>100</v>
      </c>
      <c r="AF205" s="66">
        <v>0.5</v>
      </c>
      <c r="AG205" s="62">
        <v>0</v>
      </c>
      <c r="AH205" s="63">
        <v>0.69</v>
      </c>
      <c r="AI205" s="50">
        <v>21711</v>
      </c>
      <c r="AJ205" s="50" t="s">
        <v>425</v>
      </c>
      <c r="AK205" s="50">
        <v>100</v>
      </c>
      <c r="AL205" s="34">
        <v>-3</v>
      </c>
      <c r="AM205" s="48">
        <v>-3</v>
      </c>
      <c r="AN205" s="48">
        <v>-3</v>
      </c>
      <c r="AO205" s="48">
        <v>-3</v>
      </c>
      <c r="AP205" s="48">
        <v>-3</v>
      </c>
      <c r="AQ205" s="48">
        <v>-3</v>
      </c>
      <c r="AR205" s="48">
        <v>-3</v>
      </c>
      <c r="AS205" s="10">
        <v>-3</v>
      </c>
      <c r="AT205" s="10">
        <v>-3</v>
      </c>
      <c r="AU205" s="44">
        <v>-1</v>
      </c>
      <c r="AV205" s="48">
        <v>-1</v>
      </c>
      <c r="AW205" s="48">
        <v>-1</v>
      </c>
      <c r="AX205" s="48">
        <v>-1</v>
      </c>
      <c r="AY205" s="48">
        <v>-1</v>
      </c>
      <c r="AZ205" s="45">
        <v>2</v>
      </c>
      <c r="BA205" s="45">
        <v>65</v>
      </c>
      <c r="BB205" s="35">
        <v>0.5</v>
      </c>
      <c r="BC205" s="53">
        <v>-1</v>
      </c>
      <c r="BD205" s="53">
        <v>-1</v>
      </c>
      <c r="BE205" s="53">
        <v>-1</v>
      </c>
      <c r="BF205" s="53">
        <v>-1</v>
      </c>
      <c r="BG205" s="53">
        <v>-1</v>
      </c>
      <c r="BH205" s="53">
        <v>-1</v>
      </c>
      <c r="BI205" s="45">
        <v>100</v>
      </c>
      <c r="BJ205" s="28">
        <v>-1</v>
      </c>
      <c r="BK205" s="48">
        <v>-1</v>
      </c>
      <c r="BL205" s="48">
        <v>-1</v>
      </c>
      <c r="BM205" s="48">
        <v>-1</v>
      </c>
      <c r="BN205" s="48">
        <v>-1</v>
      </c>
      <c r="BO205" s="48">
        <v>-1</v>
      </c>
    </row>
    <row r="206" spans="1:67" s="50" customFormat="1" ht="15" customHeight="1" x14ac:dyDescent="0.25">
      <c r="A206" s="50">
        <v>205</v>
      </c>
      <c r="B206" s="36">
        <v>7017</v>
      </c>
      <c r="C206" s="46">
        <v>7017</v>
      </c>
      <c r="D206" s="22" t="s">
        <v>4</v>
      </c>
      <c r="E206" s="25" t="s">
        <v>416</v>
      </c>
      <c r="F206" s="39">
        <v>-3</v>
      </c>
      <c r="G206" s="45">
        <v>-3</v>
      </c>
      <c r="H206" s="45">
        <v>-3</v>
      </c>
      <c r="I206" s="36">
        <v>-3</v>
      </c>
      <c r="J206" s="45">
        <v>-3</v>
      </c>
      <c r="K206" s="45">
        <v>-3</v>
      </c>
      <c r="L206" s="45">
        <v>-3</v>
      </c>
      <c r="M206" s="45">
        <v>-3</v>
      </c>
      <c r="N206" s="45">
        <v>-3</v>
      </c>
      <c r="O206" s="45">
        <v>-3</v>
      </c>
      <c r="P206" s="45">
        <v>-3</v>
      </c>
      <c r="Q206" s="45">
        <v>-3</v>
      </c>
      <c r="R206" s="45">
        <v>-3</v>
      </c>
      <c r="S206" s="45">
        <v>-3</v>
      </c>
      <c r="T206" s="45">
        <v>-3</v>
      </c>
      <c r="U206" s="45">
        <v>-3</v>
      </c>
      <c r="V206" s="45">
        <v>-3</v>
      </c>
      <c r="W206" s="45">
        <v>-3</v>
      </c>
      <c r="X206" s="103">
        <v>-3</v>
      </c>
      <c r="Y206" s="81">
        <v>-3</v>
      </c>
      <c r="Z206" s="10">
        <v>-3</v>
      </c>
      <c r="AA206" s="48">
        <v>-3</v>
      </c>
      <c r="AB206" s="10">
        <v>-3</v>
      </c>
      <c r="AC206" s="10">
        <v>-3</v>
      </c>
      <c r="AD206" s="10">
        <v>-3</v>
      </c>
      <c r="AE206" s="42">
        <v>75</v>
      </c>
      <c r="AF206" s="66">
        <v>0.1</v>
      </c>
      <c r="AG206" s="62">
        <v>0</v>
      </c>
      <c r="AH206" s="35">
        <v>0</v>
      </c>
      <c r="AI206" s="46">
        <v>505272</v>
      </c>
      <c r="AJ206" s="47" t="s">
        <v>417</v>
      </c>
      <c r="AK206" s="50">
        <v>100</v>
      </c>
      <c r="AL206" s="34">
        <v>-3</v>
      </c>
      <c r="AM206" s="48">
        <v>-3</v>
      </c>
      <c r="AN206" s="48">
        <v>-3</v>
      </c>
      <c r="AO206" s="48">
        <v>-3</v>
      </c>
      <c r="AP206" s="48">
        <v>-3</v>
      </c>
      <c r="AQ206" s="48">
        <v>-3</v>
      </c>
      <c r="AR206" s="48">
        <v>-3</v>
      </c>
      <c r="AS206" s="10">
        <v>-3</v>
      </c>
      <c r="AT206" s="10">
        <v>-3</v>
      </c>
      <c r="AU206" s="44">
        <v>-1</v>
      </c>
      <c r="AV206" s="48">
        <v>-1</v>
      </c>
      <c r="AW206" s="48">
        <v>-1</v>
      </c>
      <c r="AX206" s="48">
        <v>-1</v>
      </c>
      <c r="AY206" s="48">
        <v>-1</v>
      </c>
      <c r="AZ206" s="45">
        <v>2</v>
      </c>
      <c r="BA206" s="45">
        <v>65</v>
      </c>
      <c r="BB206" s="35">
        <v>0.5</v>
      </c>
      <c r="BC206" s="53">
        <v>-1</v>
      </c>
      <c r="BD206" s="53">
        <v>-1</v>
      </c>
      <c r="BE206" s="53">
        <v>-1</v>
      </c>
      <c r="BF206" s="53">
        <v>-1</v>
      </c>
      <c r="BG206" s="53">
        <v>-1</v>
      </c>
      <c r="BH206" s="53">
        <v>-1</v>
      </c>
      <c r="BI206" s="45">
        <v>100</v>
      </c>
      <c r="BJ206" s="28">
        <v>-1</v>
      </c>
      <c r="BK206" s="48">
        <v>-1</v>
      </c>
      <c r="BL206" s="48">
        <v>-1</v>
      </c>
      <c r="BM206" s="48">
        <v>-1</v>
      </c>
      <c r="BN206" s="48">
        <v>-1</v>
      </c>
      <c r="BO206" s="48">
        <v>-1</v>
      </c>
    </row>
    <row r="207" spans="1:67" s="50" customFormat="1" ht="15" customHeight="1" x14ac:dyDescent="0.25">
      <c r="A207" s="50">
        <v>206</v>
      </c>
      <c r="B207" s="36">
        <v>7019</v>
      </c>
      <c r="C207" s="46">
        <v>7019</v>
      </c>
      <c r="D207" s="22" t="s">
        <v>4</v>
      </c>
      <c r="E207" s="25" t="s">
        <v>419</v>
      </c>
      <c r="F207" s="39">
        <v>-3</v>
      </c>
      <c r="G207" s="45">
        <v>-3</v>
      </c>
      <c r="H207" s="45">
        <v>-3</v>
      </c>
      <c r="I207" s="36">
        <v>-3</v>
      </c>
      <c r="J207" s="45">
        <v>-3</v>
      </c>
      <c r="K207" s="45">
        <v>-3</v>
      </c>
      <c r="L207" s="45">
        <v>-3</v>
      </c>
      <c r="M207" s="45">
        <v>-3</v>
      </c>
      <c r="N207" s="45">
        <v>-3</v>
      </c>
      <c r="O207" s="45">
        <v>-3</v>
      </c>
      <c r="P207" s="45">
        <v>-3</v>
      </c>
      <c r="Q207" s="45">
        <v>-3</v>
      </c>
      <c r="R207" s="45">
        <v>-3</v>
      </c>
      <c r="S207" s="45">
        <v>-3</v>
      </c>
      <c r="T207" s="45">
        <v>-3</v>
      </c>
      <c r="U207" s="45">
        <v>-3</v>
      </c>
      <c r="V207" s="45">
        <v>-3</v>
      </c>
      <c r="W207" s="45">
        <v>-3</v>
      </c>
      <c r="X207" s="103">
        <v>-3</v>
      </c>
      <c r="Y207" s="81">
        <v>-3</v>
      </c>
      <c r="Z207" s="10">
        <v>-3</v>
      </c>
      <c r="AA207" s="48">
        <v>-3</v>
      </c>
      <c r="AB207" s="10">
        <v>-3</v>
      </c>
      <c r="AC207" s="10">
        <v>-3</v>
      </c>
      <c r="AD207" s="10">
        <v>-3</v>
      </c>
      <c r="AE207" s="42">
        <v>100</v>
      </c>
      <c r="AF207" s="66">
        <v>10</v>
      </c>
      <c r="AG207" s="62">
        <v>100</v>
      </c>
      <c r="AH207" s="63">
        <v>4.05</v>
      </c>
      <c r="AI207" s="50">
        <v>42058</v>
      </c>
      <c r="AJ207" s="50" t="s">
        <v>421</v>
      </c>
      <c r="AK207" s="58">
        <v>100</v>
      </c>
      <c r="AL207" s="34">
        <v>-3</v>
      </c>
      <c r="AM207" s="48">
        <v>-3</v>
      </c>
      <c r="AN207" s="48">
        <v>-3</v>
      </c>
      <c r="AO207" s="48">
        <v>-3</v>
      </c>
      <c r="AP207" s="48">
        <v>-3</v>
      </c>
      <c r="AQ207" s="48">
        <v>-3</v>
      </c>
      <c r="AR207" s="48">
        <v>-3</v>
      </c>
      <c r="AS207" s="10">
        <v>-3</v>
      </c>
      <c r="AT207" s="10">
        <v>-3</v>
      </c>
      <c r="AU207" s="44">
        <v>-1</v>
      </c>
      <c r="AV207" s="48">
        <v>-1</v>
      </c>
      <c r="AW207" s="48">
        <v>-1</v>
      </c>
      <c r="AX207" s="48">
        <v>-1</v>
      </c>
      <c r="AY207" s="48">
        <v>-1</v>
      </c>
      <c r="AZ207" s="45">
        <v>2</v>
      </c>
      <c r="BA207" s="45">
        <v>65</v>
      </c>
      <c r="BB207" s="35">
        <v>0.5</v>
      </c>
      <c r="BC207" s="53">
        <v>-1</v>
      </c>
      <c r="BD207" s="53">
        <v>-1</v>
      </c>
      <c r="BE207" s="53">
        <v>-1</v>
      </c>
      <c r="BF207" s="53">
        <v>-1</v>
      </c>
      <c r="BG207" s="53">
        <v>-1</v>
      </c>
      <c r="BH207" s="53">
        <v>-1</v>
      </c>
      <c r="BI207" s="45">
        <v>100</v>
      </c>
      <c r="BJ207" s="28">
        <v>-1</v>
      </c>
      <c r="BK207" s="48">
        <v>-1</v>
      </c>
      <c r="BL207" s="48">
        <v>-1</v>
      </c>
      <c r="BM207" s="48">
        <v>-1</v>
      </c>
      <c r="BN207" s="48">
        <v>-1</v>
      </c>
      <c r="BO207" s="48">
        <v>-1</v>
      </c>
    </row>
    <row r="208" spans="1:67" s="50" customFormat="1" ht="15" customHeight="1" x14ac:dyDescent="0.25">
      <c r="A208" s="50">
        <v>207</v>
      </c>
      <c r="B208" s="36">
        <v>7020</v>
      </c>
      <c r="C208" s="46">
        <v>7020</v>
      </c>
      <c r="D208" s="22" t="s">
        <v>4</v>
      </c>
      <c r="E208" s="38" t="s">
        <v>427</v>
      </c>
      <c r="F208" s="39">
        <v>4.69414</v>
      </c>
      <c r="G208" s="56">
        <v>4.69414</v>
      </c>
      <c r="H208" s="67">
        <v>9.2352273680672265</v>
      </c>
      <c r="I208" s="36">
        <v>24.821292650918632</v>
      </c>
      <c r="J208" s="67">
        <v>14.461992825535235</v>
      </c>
      <c r="K208" s="67">
        <v>5.8556309182001414</v>
      </c>
      <c r="L208" s="36">
        <v>28766</v>
      </c>
      <c r="M208" s="36" t="s">
        <v>137</v>
      </c>
      <c r="N208" s="36">
        <v>100</v>
      </c>
      <c r="O208" s="43">
        <v>2.5708885309278351</v>
      </c>
      <c r="P208" s="36">
        <v>6.3516069587628863</v>
      </c>
      <c r="Q208" s="43">
        <v>14.776211509041339</v>
      </c>
      <c r="R208" s="43">
        <v>5.8976211877182703</v>
      </c>
      <c r="S208" s="43">
        <v>3.5037791559722158</v>
      </c>
      <c r="T208" s="36">
        <v>28766</v>
      </c>
      <c r="U208" s="36" t="s">
        <v>137</v>
      </c>
      <c r="V208" s="36">
        <v>100</v>
      </c>
      <c r="W208" s="36">
        <v>1</v>
      </c>
      <c r="X208" s="102">
        <v>3</v>
      </c>
      <c r="Y208" s="29">
        <v>35</v>
      </c>
      <c r="Z208" s="45">
        <v>4</v>
      </c>
      <c r="AA208" s="45">
        <v>85</v>
      </c>
      <c r="AB208" s="50">
        <v>28675</v>
      </c>
      <c r="AC208" s="50" t="s">
        <v>375</v>
      </c>
      <c r="AD208" s="50">
        <v>100</v>
      </c>
      <c r="AE208" s="42">
        <v>60</v>
      </c>
      <c r="AF208" s="43">
        <v>0.5</v>
      </c>
      <c r="AG208" s="45">
        <v>0</v>
      </c>
      <c r="AH208" s="63">
        <v>0.10200000000000001</v>
      </c>
      <c r="AI208" s="50">
        <v>42236</v>
      </c>
      <c r="AJ208" s="50" t="s">
        <v>207</v>
      </c>
      <c r="AK208" s="50">
        <v>100</v>
      </c>
      <c r="AL208" s="34">
        <v>11</v>
      </c>
      <c r="AM208" s="43">
        <v>0.59507853579831915</v>
      </c>
      <c r="AN208" s="57">
        <v>0.59507853579831915</v>
      </c>
      <c r="AO208" s="57">
        <v>0.45765008470588225</v>
      </c>
      <c r="AP208" s="57">
        <v>0.6831394850420166</v>
      </c>
      <c r="AQ208" s="87">
        <v>0.5319833195876289</v>
      </c>
      <c r="AR208" s="46">
        <v>28766</v>
      </c>
      <c r="AS208" s="46" t="s">
        <v>137</v>
      </c>
      <c r="AT208" s="46">
        <v>100</v>
      </c>
      <c r="AU208" s="44">
        <v>-1</v>
      </c>
      <c r="AV208" s="48">
        <v>-1</v>
      </c>
      <c r="AW208" s="48">
        <v>-1</v>
      </c>
      <c r="AX208" s="48">
        <v>-1</v>
      </c>
      <c r="AY208" s="48">
        <v>-1</v>
      </c>
      <c r="AZ208" s="59">
        <v>2</v>
      </c>
      <c r="BA208" s="43">
        <v>90</v>
      </c>
      <c r="BB208" s="59">
        <v>1</v>
      </c>
      <c r="BC208" s="59">
        <v>-1</v>
      </c>
      <c r="BD208" s="59">
        <v>-1</v>
      </c>
      <c r="BE208" s="59">
        <v>-1</v>
      </c>
      <c r="BF208" s="61">
        <v>5</v>
      </c>
      <c r="BG208" s="59">
        <v>35</v>
      </c>
      <c r="BH208" s="59">
        <v>-1</v>
      </c>
      <c r="BI208" s="59">
        <v>60</v>
      </c>
      <c r="BJ208" s="28">
        <v>1</v>
      </c>
      <c r="BK208" s="56">
        <v>32.750940594059401</v>
      </c>
      <c r="BL208" s="59">
        <v>0.2</v>
      </c>
      <c r="BM208" s="59">
        <v>3</v>
      </c>
      <c r="BN208" s="56">
        <v>29.47584653465346</v>
      </c>
      <c r="BO208" s="59">
        <v>0.15</v>
      </c>
    </row>
    <row r="209" spans="1:67" s="50" customFormat="1" ht="15" customHeight="1" x14ac:dyDescent="0.25">
      <c r="A209" s="50">
        <v>208</v>
      </c>
      <c r="B209" s="36">
        <v>7021</v>
      </c>
      <c r="C209" s="46">
        <v>7021</v>
      </c>
      <c r="D209" s="22" t="s">
        <v>4</v>
      </c>
      <c r="E209" s="38" t="s">
        <v>426</v>
      </c>
      <c r="F209" s="39">
        <v>18.663399999999999</v>
      </c>
      <c r="G209" s="56">
        <v>18.663399999999999</v>
      </c>
      <c r="H209" s="67">
        <v>36.718279058823526</v>
      </c>
      <c r="I209" s="36">
        <v>38.10301837270341</v>
      </c>
      <c r="J209" s="67">
        <v>22.200518969219754</v>
      </c>
      <c r="K209" s="67">
        <v>8.9889441133394232</v>
      </c>
      <c r="L209" s="36">
        <v>28766</v>
      </c>
      <c r="M209" s="36" t="s">
        <v>137</v>
      </c>
      <c r="N209" s="36">
        <v>100</v>
      </c>
      <c r="O209" s="43">
        <v>10.221578608247423</v>
      </c>
      <c r="P209" s="36">
        <v>25.253311855670102</v>
      </c>
      <c r="Q209" s="43">
        <v>22.682874197009902</v>
      </c>
      <c r="R209" s="43">
        <v>9.0534031257456462</v>
      </c>
      <c r="S209" s="43">
        <v>5.3786304940473606</v>
      </c>
      <c r="T209" s="36">
        <v>28766</v>
      </c>
      <c r="U209" s="36" t="s">
        <v>137</v>
      </c>
      <c r="V209" s="36">
        <v>100</v>
      </c>
      <c r="W209" s="36">
        <v>1</v>
      </c>
      <c r="X209" s="102">
        <v>3</v>
      </c>
      <c r="Y209" s="29">
        <v>21</v>
      </c>
      <c r="Z209" s="45">
        <v>4</v>
      </c>
      <c r="AA209" s="45">
        <v>85</v>
      </c>
      <c r="AB209" s="50">
        <v>28675</v>
      </c>
      <c r="AC209" s="50" t="s">
        <v>375</v>
      </c>
      <c r="AD209" s="50">
        <v>100</v>
      </c>
      <c r="AE209" s="42">
        <v>60</v>
      </c>
      <c r="AF209" s="43">
        <v>0.5</v>
      </c>
      <c r="AG209" s="45">
        <v>0</v>
      </c>
      <c r="AH209" s="63">
        <v>0.77400000000000002</v>
      </c>
      <c r="AI209" s="50">
        <v>41976</v>
      </c>
      <c r="AJ209" s="50" t="s">
        <v>209</v>
      </c>
      <c r="AK209" s="50">
        <v>100</v>
      </c>
      <c r="AL209" s="34">
        <v>11</v>
      </c>
      <c r="AM209" s="43">
        <v>0.59461769411764698</v>
      </c>
      <c r="AN209" s="57">
        <v>0.59461769411764698</v>
      </c>
      <c r="AO209" s="57">
        <v>0.45729567058823517</v>
      </c>
      <c r="AP209" s="57">
        <v>0.68261044705882334</v>
      </c>
      <c r="AQ209" s="87">
        <v>0.53157134020618557</v>
      </c>
      <c r="AR209" s="46">
        <v>28766</v>
      </c>
      <c r="AS209" s="46" t="s">
        <v>137</v>
      </c>
      <c r="AT209" s="46">
        <v>100</v>
      </c>
      <c r="AU209" s="44">
        <v>-1</v>
      </c>
      <c r="AV209" s="48">
        <v>-1</v>
      </c>
      <c r="AW209" s="48">
        <v>-1</v>
      </c>
      <c r="AX209" s="48">
        <v>-1</v>
      </c>
      <c r="AY209" s="48">
        <v>-1</v>
      </c>
      <c r="AZ209" s="59">
        <v>2</v>
      </c>
      <c r="BA209" s="43">
        <v>90</v>
      </c>
      <c r="BB209" s="59">
        <v>1</v>
      </c>
      <c r="BC209" s="59">
        <v>-1</v>
      </c>
      <c r="BD209" s="59">
        <v>-1</v>
      </c>
      <c r="BE209" s="59">
        <v>-1</v>
      </c>
      <c r="BF209" s="61">
        <v>19</v>
      </c>
      <c r="BG209" s="59">
        <v>21</v>
      </c>
      <c r="BH209" s="59">
        <v>-1</v>
      </c>
      <c r="BI209" s="59">
        <v>60</v>
      </c>
      <c r="BJ209" s="28">
        <v>1</v>
      </c>
      <c r="BK209" s="56">
        <v>32.72557755775577</v>
      </c>
      <c r="BL209" s="59">
        <v>0.2</v>
      </c>
      <c r="BM209" s="59">
        <v>3</v>
      </c>
      <c r="BN209" s="56">
        <v>29.453019801980194</v>
      </c>
      <c r="BO209" s="59">
        <v>0.15</v>
      </c>
    </row>
    <row r="210" spans="1:67" s="50" customFormat="1" ht="15" customHeight="1" x14ac:dyDescent="0.25">
      <c r="A210" s="50">
        <v>209</v>
      </c>
      <c r="B210" s="36">
        <v>7022</v>
      </c>
      <c r="C210" s="46">
        <v>7022</v>
      </c>
      <c r="D210" s="22" t="s">
        <v>4</v>
      </c>
      <c r="E210" s="38" t="s">
        <v>428</v>
      </c>
      <c r="F210" s="39">
        <v>12.066000000000001</v>
      </c>
      <c r="G210" s="56">
        <v>12.066000000000001</v>
      </c>
      <c r="H210" s="67">
        <v>23.738587563025209</v>
      </c>
      <c r="I210" s="36">
        <v>36.118110236220474</v>
      </c>
      <c r="J210" s="67">
        <v>21.044022906227632</v>
      </c>
      <c r="K210" s="67">
        <v>8.5206812546221773</v>
      </c>
      <c r="L210" s="36">
        <v>28766</v>
      </c>
      <c r="M210" s="36" t="s">
        <v>137</v>
      </c>
      <c r="N210" s="36">
        <v>100</v>
      </c>
      <c r="O210" s="43">
        <v>6.6083118556701042</v>
      </c>
      <c r="P210" s="36">
        <v>16.326417525773198</v>
      </c>
      <c r="Q210" s="43">
        <v>21.501250706921301</v>
      </c>
      <c r="R210" s="43">
        <v>8.5817823908375104</v>
      </c>
      <c r="S210" s="43">
        <v>5.0984404228476974</v>
      </c>
      <c r="T210" s="36">
        <v>28766</v>
      </c>
      <c r="U210" s="36" t="s">
        <v>137</v>
      </c>
      <c r="V210" s="36">
        <v>100</v>
      </c>
      <c r="W210" s="36">
        <v>1</v>
      </c>
      <c r="X210" s="102">
        <v>3</v>
      </c>
      <c r="Y210" s="29">
        <v>28</v>
      </c>
      <c r="Z210" s="45">
        <v>4</v>
      </c>
      <c r="AA210" s="45">
        <v>85</v>
      </c>
      <c r="AB210" s="50">
        <v>28675</v>
      </c>
      <c r="AC210" s="50" t="s">
        <v>375</v>
      </c>
      <c r="AD210" s="50">
        <v>100</v>
      </c>
      <c r="AE210" s="42">
        <v>60</v>
      </c>
      <c r="AF210" s="43">
        <v>0.5</v>
      </c>
      <c r="AG210" s="45">
        <v>0</v>
      </c>
      <c r="AH210" s="63">
        <v>0.28799999999999998</v>
      </c>
      <c r="AI210" s="50">
        <v>42269</v>
      </c>
      <c r="AJ210" s="50" t="s">
        <v>206</v>
      </c>
      <c r="AK210" s="50">
        <v>100</v>
      </c>
      <c r="AL210" s="34">
        <v>11</v>
      </c>
      <c r="AM210" s="43">
        <v>0.60065331092436969</v>
      </c>
      <c r="AN210" s="57">
        <v>0.60065331092436969</v>
      </c>
      <c r="AO210" s="57">
        <v>0.46193741176470587</v>
      </c>
      <c r="AP210" s="57">
        <v>0.6895392268907562</v>
      </c>
      <c r="AQ210" s="87">
        <v>0.5369670103092784</v>
      </c>
      <c r="AR210" s="46">
        <v>28766</v>
      </c>
      <c r="AS210" s="46" t="s">
        <v>137</v>
      </c>
      <c r="AT210" s="46">
        <v>100</v>
      </c>
      <c r="AU210" s="44">
        <v>-1</v>
      </c>
      <c r="AV210" s="48">
        <v>-1</v>
      </c>
      <c r="AW210" s="48">
        <v>-1</v>
      </c>
      <c r="AX210" s="48">
        <v>-1</v>
      </c>
      <c r="AY210" s="48">
        <v>-1</v>
      </c>
      <c r="AZ210" s="59">
        <v>2</v>
      </c>
      <c r="BA210" s="43">
        <v>90</v>
      </c>
      <c r="BB210" s="59">
        <v>1</v>
      </c>
      <c r="BC210" s="59">
        <v>-1</v>
      </c>
      <c r="BD210" s="59">
        <v>-1</v>
      </c>
      <c r="BE210" s="59">
        <v>-1</v>
      </c>
      <c r="BF210" s="61">
        <v>12</v>
      </c>
      <c r="BG210" s="59">
        <v>28</v>
      </c>
      <c r="BH210" s="59">
        <v>-1</v>
      </c>
      <c r="BI210" s="59">
        <v>60</v>
      </c>
      <c r="BJ210" s="28">
        <v>1</v>
      </c>
      <c r="BK210" s="56">
        <v>33.057755775577562</v>
      </c>
      <c r="BL210" s="59">
        <v>0.2</v>
      </c>
      <c r="BM210" s="59">
        <v>3</v>
      </c>
      <c r="BN210" s="56">
        <v>29.751980198019805</v>
      </c>
      <c r="BO210" s="59">
        <v>0.15</v>
      </c>
    </row>
    <row r="211" spans="1:67" s="50" customFormat="1" ht="15" customHeight="1" x14ac:dyDescent="0.25">
      <c r="A211" s="50">
        <v>210</v>
      </c>
      <c r="B211" s="36">
        <v>7023</v>
      </c>
      <c r="C211" s="46">
        <v>7023</v>
      </c>
      <c r="D211" s="22" t="s">
        <v>4</v>
      </c>
      <c r="E211" s="38" t="s">
        <v>429</v>
      </c>
      <c r="F211" s="39">
        <v>14.8795</v>
      </c>
      <c r="G211" s="56">
        <v>14.8795</v>
      </c>
      <c r="H211" s="67">
        <v>29.27385327731092</v>
      </c>
      <c r="I211" s="36">
        <v>39.228346456692911</v>
      </c>
      <c r="J211" s="67">
        <v>22.856185332205371</v>
      </c>
      <c r="K211" s="67">
        <v>9.2544220646452349</v>
      </c>
      <c r="L211" s="36">
        <v>28766</v>
      </c>
      <c r="M211" s="36" t="s">
        <v>137</v>
      </c>
      <c r="N211" s="36">
        <v>100</v>
      </c>
      <c r="O211" s="43">
        <v>8.1492106958762882</v>
      </c>
      <c r="P211" s="36">
        <v>20.133344072164949</v>
      </c>
      <c r="Q211" s="43">
        <v>23.352786357506414</v>
      </c>
      <c r="R211" s="43">
        <v>9.3207847985943904</v>
      </c>
      <c r="S211" s="43">
        <v>5.5374820550746069</v>
      </c>
      <c r="T211" s="36">
        <v>28766</v>
      </c>
      <c r="U211" s="36" t="s">
        <v>137</v>
      </c>
      <c r="V211" s="36">
        <v>100</v>
      </c>
      <c r="W211" s="36">
        <v>1</v>
      </c>
      <c r="X211" s="102">
        <v>3</v>
      </c>
      <c r="Y211" s="29">
        <v>25</v>
      </c>
      <c r="Z211" s="45">
        <v>4</v>
      </c>
      <c r="AA211" s="45">
        <v>85</v>
      </c>
      <c r="AB211" s="50">
        <v>28675</v>
      </c>
      <c r="AC211" s="50" t="s">
        <v>375</v>
      </c>
      <c r="AD211" s="50">
        <v>100</v>
      </c>
      <c r="AE211" s="42">
        <v>60</v>
      </c>
      <c r="AF211" s="43">
        <v>0.5</v>
      </c>
      <c r="AG211" s="45">
        <v>0</v>
      </c>
      <c r="AH211" s="63">
        <v>0.10200000000000001</v>
      </c>
      <c r="AI211" s="50">
        <v>26716</v>
      </c>
      <c r="AJ211" s="50" t="s">
        <v>208</v>
      </c>
      <c r="AK211" s="50">
        <v>100</v>
      </c>
      <c r="AL211" s="34">
        <v>11</v>
      </c>
      <c r="AM211" s="43">
        <v>0.5978573781512605</v>
      </c>
      <c r="AN211" s="57">
        <v>0.5978573781512605</v>
      </c>
      <c r="AO211" s="57">
        <v>0.45978717647058814</v>
      </c>
      <c r="AP211" s="57">
        <v>0.68632954621848719</v>
      </c>
      <c r="AQ211" s="87">
        <v>0.5344675257731959</v>
      </c>
      <c r="AR211" s="46">
        <v>28766</v>
      </c>
      <c r="AS211" s="46" t="s">
        <v>137</v>
      </c>
      <c r="AT211" s="46">
        <v>100</v>
      </c>
      <c r="AU211" s="44">
        <v>-1</v>
      </c>
      <c r="AV211" s="48">
        <v>-1</v>
      </c>
      <c r="AW211" s="48">
        <v>-1</v>
      </c>
      <c r="AX211" s="48">
        <v>-1</v>
      </c>
      <c r="AY211" s="48">
        <v>-1</v>
      </c>
      <c r="AZ211" s="59">
        <v>2</v>
      </c>
      <c r="BA211" s="43">
        <v>90</v>
      </c>
      <c r="BB211" s="59">
        <v>1</v>
      </c>
      <c r="BC211" s="59">
        <v>-1</v>
      </c>
      <c r="BD211" s="59">
        <v>-1</v>
      </c>
      <c r="BE211" s="59">
        <v>-1</v>
      </c>
      <c r="BF211" s="61">
        <v>15</v>
      </c>
      <c r="BG211" s="59">
        <v>25</v>
      </c>
      <c r="BH211" s="59">
        <v>-1</v>
      </c>
      <c r="BI211" s="59">
        <v>60</v>
      </c>
      <c r="BJ211" s="28">
        <v>1</v>
      </c>
      <c r="BK211" s="56">
        <v>32.903877887788781</v>
      </c>
      <c r="BL211" s="59">
        <v>0.2</v>
      </c>
      <c r="BM211" s="59">
        <v>3</v>
      </c>
      <c r="BN211" s="56">
        <v>29.613490099009901</v>
      </c>
      <c r="BO211" s="59">
        <v>0.15</v>
      </c>
    </row>
    <row r="212" spans="1:67" s="50" customFormat="1" ht="15" customHeight="1" x14ac:dyDescent="0.25">
      <c r="A212" s="50">
        <v>211</v>
      </c>
      <c r="B212" s="36">
        <v>7024</v>
      </c>
      <c r="C212" s="46">
        <v>7024</v>
      </c>
      <c r="D212" s="22" t="s">
        <v>4</v>
      </c>
      <c r="E212" s="38" t="s">
        <v>436</v>
      </c>
      <c r="F212" s="39">
        <v>3.3522099999999999</v>
      </c>
      <c r="G212" s="56">
        <v>3.3522099999999999</v>
      </c>
      <c r="H212" s="67">
        <v>6.595121052100839</v>
      </c>
      <c r="I212" s="36">
        <v>21.758694225721783</v>
      </c>
      <c r="J212" s="67">
        <v>12.677586305069303</v>
      </c>
      <c r="K212" s="67">
        <v>5.1331284167862998</v>
      </c>
      <c r="L212" s="36">
        <v>28766</v>
      </c>
      <c r="M212" s="36" t="s">
        <v>137</v>
      </c>
      <c r="N212" s="36">
        <v>100</v>
      </c>
      <c r="O212" s="43">
        <v>1.835939755154639</v>
      </c>
      <c r="P212" s="36">
        <v>4.5358511597938138</v>
      </c>
      <c r="Q212" s="43">
        <v>12.953034822218353</v>
      </c>
      <c r="R212" s="43">
        <v>5.1699376775991839</v>
      </c>
      <c r="S212" s="43">
        <v>3.0714620854540975</v>
      </c>
      <c r="T212" s="36">
        <v>28766</v>
      </c>
      <c r="U212" s="36" t="s">
        <v>137</v>
      </c>
      <c r="V212" s="36">
        <v>100</v>
      </c>
      <c r="W212" s="36">
        <v>1</v>
      </c>
      <c r="X212" s="102">
        <v>3</v>
      </c>
      <c r="Y212" s="29">
        <v>37</v>
      </c>
      <c r="Z212" s="45">
        <v>4</v>
      </c>
      <c r="AA212" s="45">
        <v>85</v>
      </c>
      <c r="AB212" s="50">
        <v>28675</v>
      </c>
      <c r="AC212" s="50" t="s">
        <v>375</v>
      </c>
      <c r="AD212" s="50">
        <v>100</v>
      </c>
      <c r="AE212" s="42">
        <v>60</v>
      </c>
      <c r="AF212" s="43">
        <v>0.5</v>
      </c>
      <c r="AG212" s="45">
        <v>0</v>
      </c>
      <c r="AH212" s="63">
        <v>0.28799999999999998</v>
      </c>
      <c r="AI212" s="50">
        <v>42013</v>
      </c>
      <c r="AJ212" s="50" t="s">
        <v>423</v>
      </c>
      <c r="AK212" s="58">
        <v>100</v>
      </c>
      <c r="AL212" s="34">
        <v>11</v>
      </c>
      <c r="AM212" s="43">
        <v>0.60494405579831922</v>
      </c>
      <c r="AN212" s="57">
        <v>0.60494405579831922</v>
      </c>
      <c r="AO212" s="57">
        <v>0.46523724470588229</v>
      </c>
      <c r="AP212" s="57">
        <v>0.69446492504201662</v>
      </c>
      <c r="AQ212" s="87">
        <v>0.54080281443298972</v>
      </c>
      <c r="AR212" s="46">
        <v>28766</v>
      </c>
      <c r="AS212" s="46" t="s">
        <v>137</v>
      </c>
      <c r="AT212" s="46">
        <v>100</v>
      </c>
      <c r="AU212" s="44">
        <v>-1</v>
      </c>
      <c r="AV212" s="48">
        <v>-1</v>
      </c>
      <c r="AW212" s="48">
        <v>-1</v>
      </c>
      <c r="AX212" s="48">
        <v>-1</v>
      </c>
      <c r="AY212" s="48">
        <v>-1</v>
      </c>
      <c r="AZ212" s="59">
        <v>2</v>
      </c>
      <c r="BA212" s="43">
        <v>90</v>
      </c>
      <c r="BB212" s="59">
        <v>1</v>
      </c>
      <c r="BC212" s="59">
        <v>-1</v>
      </c>
      <c r="BD212" s="59">
        <v>-1</v>
      </c>
      <c r="BE212" s="59">
        <v>-1</v>
      </c>
      <c r="BF212" s="61">
        <v>3</v>
      </c>
      <c r="BG212" s="59">
        <v>37</v>
      </c>
      <c r="BH212" s="59">
        <v>-1</v>
      </c>
      <c r="BI212" s="59">
        <v>60</v>
      </c>
      <c r="BJ212" s="28">
        <v>1</v>
      </c>
      <c r="BK212" s="56">
        <v>33.293902640264022</v>
      </c>
      <c r="BL212" s="59">
        <v>0.2</v>
      </c>
      <c r="BM212" s="59">
        <v>3</v>
      </c>
      <c r="BN212" s="56">
        <v>29.964512376237625</v>
      </c>
      <c r="BO212" s="59">
        <v>0.15</v>
      </c>
    </row>
    <row r="213" spans="1:67" s="50" customFormat="1" ht="15" customHeight="1" x14ac:dyDescent="0.25">
      <c r="A213" s="50">
        <v>212</v>
      </c>
      <c r="B213" s="36">
        <v>7025</v>
      </c>
      <c r="C213" s="46">
        <v>7025</v>
      </c>
      <c r="D213" s="22" t="s">
        <v>4</v>
      </c>
      <c r="E213" s="38" t="s">
        <v>437</v>
      </c>
      <c r="F213" s="39">
        <v>7.0849799999999998</v>
      </c>
      <c r="G213" s="56">
        <v>7.0849799999999998</v>
      </c>
      <c r="H213" s="67">
        <v>13.938953929411763</v>
      </c>
      <c r="I213" s="36">
        <v>27.52080052493438</v>
      </c>
      <c r="J213" s="67">
        <v>16.034846586841933</v>
      </c>
      <c r="K213" s="67">
        <v>6.4924761459375588</v>
      </c>
      <c r="L213" s="36">
        <v>28766</v>
      </c>
      <c r="M213" s="36" t="s">
        <v>137</v>
      </c>
      <c r="N213" s="36">
        <v>100</v>
      </c>
      <c r="O213" s="43">
        <v>3.8803047680412375</v>
      </c>
      <c r="P213" s="36">
        <v>9.5866353092783516</v>
      </c>
      <c r="Q213" s="43">
        <v>16.383238986528614</v>
      </c>
      <c r="R213" s="43">
        <v>6.5390331825773842</v>
      </c>
      <c r="S213" s="43">
        <v>3.8848422840446046</v>
      </c>
      <c r="T213" s="36">
        <v>28766</v>
      </c>
      <c r="U213" s="36" t="s">
        <v>137</v>
      </c>
      <c r="V213" s="36">
        <v>100</v>
      </c>
      <c r="W213" s="36">
        <v>1</v>
      </c>
      <c r="X213" s="102">
        <v>3</v>
      </c>
      <c r="Y213" s="29">
        <v>33</v>
      </c>
      <c r="Z213" s="45">
        <v>4</v>
      </c>
      <c r="AA213" s="45">
        <v>85</v>
      </c>
      <c r="AB213" s="50">
        <v>28675</v>
      </c>
      <c r="AC213" s="50" t="s">
        <v>375</v>
      </c>
      <c r="AD213" s="50">
        <v>100</v>
      </c>
      <c r="AE213" s="42">
        <v>60</v>
      </c>
      <c r="AF213" s="43">
        <v>0.5</v>
      </c>
      <c r="AG213" s="45">
        <v>0</v>
      </c>
      <c r="AH213" s="63">
        <v>0.41399999999999998</v>
      </c>
      <c r="AI213" s="50">
        <v>21711</v>
      </c>
      <c r="AJ213" s="50" t="s">
        <v>425</v>
      </c>
      <c r="AK213" s="50">
        <v>100</v>
      </c>
      <c r="AL213" s="34">
        <v>11</v>
      </c>
      <c r="AM213" s="43">
        <v>0.60093785142857148</v>
      </c>
      <c r="AN213" s="57">
        <v>0.60093785142857148</v>
      </c>
      <c r="AO213" s="57">
        <v>0.46215623999999994</v>
      </c>
      <c r="AP213" s="57">
        <v>0.68986587428571422</v>
      </c>
      <c r="AQ213" s="87">
        <v>0.53722138144329901</v>
      </c>
      <c r="AR213" s="46">
        <v>28766</v>
      </c>
      <c r="AS213" s="46" t="s">
        <v>137</v>
      </c>
      <c r="AT213" s="46">
        <v>100</v>
      </c>
      <c r="AU213" s="44">
        <v>-1</v>
      </c>
      <c r="AV213" s="48">
        <v>-1</v>
      </c>
      <c r="AW213" s="48">
        <v>-1</v>
      </c>
      <c r="AX213" s="48">
        <v>-1</v>
      </c>
      <c r="AY213" s="48">
        <v>-1</v>
      </c>
      <c r="AZ213" s="59">
        <v>2</v>
      </c>
      <c r="BA213" s="43">
        <v>90</v>
      </c>
      <c r="BB213" s="59">
        <v>1</v>
      </c>
      <c r="BC213" s="59">
        <v>-1</v>
      </c>
      <c r="BD213" s="59">
        <v>-1</v>
      </c>
      <c r="BE213" s="59">
        <v>-1</v>
      </c>
      <c r="BF213" s="61">
        <v>7</v>
      </c>
      <c r="BG213" s="59">
        <v>33</v>
      </c>
      <c r="BH213" s="59">
        <v>-1</v>
      </c>
      <c r="BI213" s="59">
        <v>60</v>
      </c>
      <c r="BJ213" s="28">
        <v>1</v>
      </c>
      <c r="BK213" s="56">
        <v>33.073415841584158</v>
      </c>
      <c r="BL213" s="59">
        <v>0.2</v>
      </c>
      <c r="BM213" s="59">
        <v>3</v>
      </c>
      <c r="BN213" s="56">
        <v>29.766074257425743</v>
      </c>
      <c r="BO213" s="59">
        <v>0.15</v>
      </c>
    </row>
    <row r="214" spans="1:67" s="50" customFormat="1" ht="15" customHeight="1" x14ac:dyDescent="0.25">
      <c r="A214" s="50">
        <v>213</v>
      </c>
      <c r="B214" s="36">
        <v>7026</v>
      </c>
      <c r="C214" s="46">
        <v>7026</v>
      </c>
      <c r="D214" s="22" t="s">
        <v>4</v>
      </c>
      <c r="E214" s="38" t="s">
        <v>430</v>
      </c>
      <c r="F214" s="39">
        <v>11.8605</v>
      </c>
      <c r="G214" s="56">
        <v>11.8605</v>
      </c>
      <c r="H214" s="67">
        <v>23.334287899159662</v>
      </c>
      <c r="I214" s="36">
        <v>29.069094488188977</v>
      </c>
      <c r="J214" s="67">
        <v>16.936951747250603</v>
      </c>
      <c r="K214" s="67">
        <v>6.8577366555009363</v>
      </c>
      <c r="L214" s="36">
        <v>28766</v>
      </c>
      <c r="M214" s="36" t="s">
        <v>137</v>
      </c>
      <c r="N214" s="36">
        <v>100</v>
      </c>
      <c r="O214" s="43">
        <v>6.4957635309278361</v>
      </c>
      <c r="P214" s="36">
        <v>16.048356958762891</v>
      </c>
      <c r="Q214" s="43">
        <v>17.304944370731285</v>
      </c>
      <c r="R214" s="43">
        <v>6.9069129465738275</v>
      </c>
      <c r="S214" s="43">
        <v>4.1033998020620359</v>
      </c>
      <c r="T214" s="36">
        <v>28766</v>
      </c>
      <c r="U214" s="36" t="s">
        <v>137</v>
      </c>
      <c r="V214" s="36">
        <v>100</v>
      </c>
      <c r="W214" s="36">
        <v>1</v>
      </c>
      <c r="X214" s="102">
        <v>3</v>
      </c>
      <c r="Y214" s="29">
        <v>28</v>
      </c>
      <c r="Z214" s="45">
        <v>4</v>
      </c>
      <c r="AA214" s="45">
        <v>85</v>
      </c>
      <c r="AB214" s="50">
        <v>28675</v>
      </c>
      <c r="AC214" s="50" t="s">
        <v>375</v>
      </c>
      <c r="AD214" s="50">
        <v>100</v>
      </c>
      <c r="AE214" s="42">
        <v>60</v>
      </c>
      <c r="AF214" s="43">
        <v>0.5</v>
      </c>
      <c r="AG214" s="45">
        <v>0</v>
      </c>
      <c r="AH214" s="63">
        <v>0.10200000000000001</v>
      </c>
      <c r="AI214" s="46">
        <v>26857</v>
      </c>
      <c r="AJ214" s="47" t="s">
        <v>415</v>
      </c>
      <c r="AK214" s="46">
        <v>100</v>
      </c>
      <c r="AL214" s="34">
        <v>11</v>
      </c>
      <c r="AM214" s="43">
        <v>0.59757253781512598</v>
      </c>
      <c r="AN214" s="57">
        <v>0.59757253781512598</v>
      </c>
      <c r="AO214" s="57">
        <v>0.45956811764705879</v>
      </c>
      <c r="AP214" s="57">
        <v>0.68600255462184856</v>
      </c>
      <c r="AQ214" s="87">
        <v>0.5342128865979382</v>
      </c>
      <c r="AR214" s="46">
        <v>28766</v>
      </c>
      <c r="AS214" s="46" t="s">
        <v>137</v>
      </c>
      <c r="AT214" s="46">
        <v>100</v>
      </c>
      <c r="AU214" s="44">
        <v>-1</v>
      </c>
      <c r="AV214" s="48">
        <v>-1</v>
      </c>
      <c r="AW214" s="48">
        <v>-1</v>
      </c>
      <c r="AX214" s="48">
        <v>-1</v>
      </c>
      <c r="AY214" s="48">
        <v>-1</v>
      </c>
      <c r="AZ214" s="59">
        <v>2</v>
      </c>
      <c r="BA214" s="43">
        <v>90</v>
      </c>
      <c r="BB214" s="59">
        <v>1</v>
      </c>
      <c r="BC214" s="59">
        <v>-1</v>
      </c>
      <c r="BD214" s="59">
        <v>-1</v>
      </c>
      <c r="BE214" s="59">
        <v>-1</v>
      </c>
      <c r="BF214" s="61">
        <v>12</v>
      </c>
      <c r="BG214" s="59">
        <v>28</v>
      </c>
      <c r="BH214" s="59">
        <v>-1</v>
      </c>
      <c r="BI214" s="59">
        <v>60</v>
      </c>
      <c r="BJ214" s="28">
        <v>1</v>
      </c>
      <c r="BK214" s="56">
        <v>32.888201320132012</v>
      </c>
      <c r="BL214" s="59">
        <v>0.2</v>
      </c>
      <c r="BM214" s="59">
        <v>3</v>
      </c>
      <c r="BN214" s="56">
        <v>29.599381188118816</v>
      </c>
      <c r="BO214" s="59">
        <v>0.15</v>
      </c>
    </row>
    <row r="215" spans="1:67" s="50" customFormat="1" ht="15" customHeight="1" x14ac:dyDescent="0.25">
      <c r="A215" s="50">
        <v>214</v>
      </c>
      <c r="B215" s="36">
        <v>7027</v>
      </c>
      <c r="C215" s="46">
        <v>7027</v>
      </c>
      <c r="D215" s="22" t="s">
        <v>4</v>
      </c>
      <c r="E215" s="38" t="s">
        <v>431</v>
      </c>
      <c r="F215" s="39">
        <v>6.5643799999999999</v>
      </c>
      <c r="G215" s="56">
        <v>6.5643799999999999</v>
      </c>
      <c r="H215" s="67">
        <v>12.914728114285714</v>
      </c>
      <c r="I215" s="36">
        <v>23.31013779527559</v>
      </c>
      <c r="J215" s="67">
        <v>13.581526566668837</v>
      </c>
      <c r="K215" s="67">
        <v>5.4991319550180542</v>
      </c>
      <c r="L215" s="36">
        <v>28766</v>
      </c>
      <c r="M215" s="36" t="s">
        <v>137</v>
      </c>
      <c r="N215" s="36">
        <v>100</v>
      </c>
      <c r="O215" s="43">
        <v>3.5951823453608251</v>
      </c>
      <c r="P215" s="36">
        <v>8.8822152061855686</v>
      </c>
      <c r="Q215" s="43">
        <v>13.876615179231738</v>
      </c>
      <c r="R215" s="43">
        <v>5.5385657984642425</v>
      </c>
      <c r="S215" s="43">
        <v>3.2904642025927702</v>
      </c>
      <c r="T215" s="36">
        <v>28766</v>
      </c>
      <c r="U215" s="36" t="s">
        <v>137</v>
      </c>
      <c r="V215" s="36">
        <v>100</v>
      </c>
      <c r="W215" s="36">
        <v>1</v>
      </c>
      <c r="X215" s="102">
        <v>3</v>
      </c>
      <c r="Y215" s="29">
        <v>33</v>
      </c>
      <c r="Z215" s="45">
        <v>4</v>
      </c>
      <c r="AA215" s="45">
        <v>85</v>
      </c>
      <c r="AB215" s="50">
        <v>28675</v>
      </c>
      <c r="AC215" s="50" t="s">
        <v>375</v>
      </c>
      <c r="AD215" s="50">
        <v>100</v>
      </c>
      <c r="AE215" s="42">
        <v>60</v>
      </c>
      <c r="AF215" s="43">
        <v>0.5</v>
      </c>
      <c r="AG215" s="45">
        <v>0</v>
      </c>
      <c r="AH215" s="63">
        <v>0</v>
      </c>
      <c r="AI215" s="46">
        <v>505272</v>
      </c>
      <c r="AJ215" s="47" t="s">
        <v>417</v>
      </c>
      <c r="AK215" s="46">
        <v>100</v>
      </c>
      <c r="AL215" s="34">
        <v>11</v>
      </c>
      <c r="AM215" s="43">
        <v>0.5931332262184873</v>
      </c>
      <c r="AN215" s="57">
        <v>0.5931332262184873</v>
      </c>
      <c r="AO215" s="57">
        <v>0.45615402823529405</v>
      </c>
      <c r="AP215" s="57">
        <v>0.68090630453781498</v>
      </c>
      <c r="AQ215" s="87">
        <v>0.53024426804123714</v>
      </c>
      <c r="AR215" s="46">
        <v>28766</v>
      </c>
      <c r="AS215" s="46" t="s">
        <v>137</v>
      </c>
      <c r="AT215" s="46">
        <v>100</v>
      </c>
      <c r="AU215" s="44">
        <v>-1</v>
      </c>
      <c r="AV215" s="48">
        <v>-1</v>
      </c>
      <c r="AW215" s="48">
        <v>-1</v>
      </c>
      <c r="AX215" s="48">
        <v>-1</v>
      </c>
      <c r="AY215" s="48">
        <v>-1</v>
      </c>
      <c r="AZ215" s="59">
        <v>2</v>
      </c>
      <c r="BA215" s="43">
        <v>90</v>
      </c>
      <c r="BB215" s="59">
        <v>1</v>
      </c>
      <c r="BC215" s="59">
        <v>-1</v>
      </c>
      <c r="BD215" s="59">
        <v>-1</v>
      </c>
      <c r="BE215" s="59">
        <v>-1</v>
      </c>
      <c r="BF215" s="61">
        <v>7</v>
      </c>
      <c r="BG215" s="59">
        <v>33</v>
      </c>
      <c r="BH215" s="59">
        <v>-1</v>
      </c>
      <c r="BI215" s="59">
        <v>60</v>
      </c>
      <c r="BJ215" s="28">
        <v>1</v>
      </c>
      <c r="BK215" s="56">
        <v>32.643877887788776</v>
      </c>
      <c r="BL215" s="59">
        <v>0.2</v>
      </c>
      <c r="BM215" s="59">
        <v>3</v>
      </c>
      <c r="BN215" s="56">
        <v>29.379490099009903</v>
      </c>
      <c r="BO215" s="59">
        <v>0.15</v>
      </c>
    </row>
    <row r="216" spans="1:67" s="50" customFormat="1" ht="15" customHeight="1" x14ac:dyDescent="0.25">
      <c r="A216" s="50">
        <v>215</v>
      </c>
      <c r="B216" s="36">
        <v>7028</v>
      </c>
      <c r="C216" s="46">
        <v>7028</v>
      </c>
      <c r="D216" s="22" t="s">
        <v>4</v>
      </c>
      <c r="E216" s="38" t="s">
        <v>432</v>
      </c>
      <c r="F216" s="39">
        <v>22.740300000000001</v>
      </c>
      <c r="G216" s="56">
        <v>22.740300000000001</v>
      </c>
      <c r="H216" s="67">
        <v>44.73915156302521</v>
      </c>
      <c r="I216" s="36">
        <v>36.149606299212593</v>
      </c>
      <c r="J216" s="67">
        <v>21.062373918136263</v>
      </c>
      <c r="K216" s="67">
        <v>8.5281115413059556</v>
      </c>
      <c r="L216" s="36">
        <v>28766</v>
      </c>
      <c r="M216" s="36" t="s">
        <v>137</v>
      </c>
      <c r="N216" s="36">
        <v>100</v>
      </c>
      <c r="O216" s="43">
        <v>12.454416881443301</v>
      </c>
      <c r="P216" s="36">
        <v>30.76973582474227</v>
      </c>
      <c r="Q216" s="43">
        <v>21.520000435028489</v>
      </c>
      <c r="R216" s="43">
        <v>8.5892659595236545</v>
      </c>
      <c r="S216" s="43">
        <v>5.1028864140601202</v>
      </c>
      <c r="T216" s="36">
        <v>28766</v>
      </c>
      <c r="U216" s="36" t="s">
        <v>137</v>
      </c>
      <c r="V216" s="36">
        <v>100</v>
      </c>
      <c r="W216" s="36">
        <v>1</v>
      </c>
      <c r="X216" s="102">
        <v>3</v>
      </c>
      <c r="Y216" s="29">
        <v>17</v>
      </c>
      <c r="Z216" s="45">
        <v>4</v>
      </c>
      <c r="AA216" s="45">
        <v>85</v>
      </c>
      <c r="AB216" s="50">
        <v>28675</v>
      </c>
      <c r="AC216" s="50" t="s">
        <v>375</v>
      </c>
      <c r="AD216" s="50">
        <v>100</v>
      </c>
      <c r="AE216" s="42">
        <v>60</v>
      </c>
      <c r="AF216" s="43">
        <v>0.5</v>
      </c>
      <c r="AG216" s="45">
        <v>0</v>
      </c>
      <c r="AH216" s="63">
        <v>0.73199999999999998</v>
      </c>
      <c r="AI216" s="50">
        <v>41088</v>
      </c>
      <c r="AJ216" s="50" t="s">
        <v>420</v>
      </c>
      <c r="AK216" s="50">
        <v>100</v>
      </c>
      <c r="AL216" s="34">
        <v>11</v>
      </c>
      <c r="AM216" s="43">
        <v>0.59577054789915962</v>
      </c>
      <c r="AN216" s="57">
        <v>0.59577054789915962</v>
      </c>
      <c r="AO216" s="57">
        <v>0.45818228235294112</v>
      </c>
      <c r="AP216" s="57">
        <v>0.68393390252100827</v>
      </c>
      <c r="AQ216" s="87">
        <v>0.53260195876288674</v>
      </c>
      <c r="AR216" s="46">
        <v>28766</v>
      </c>
      <c r="AS216" s="46" t="s">
        <v>137</v>
      </c>
      <c r="AT216" s="46">
        <v>100</v>
      </c>
      <c r="AU216" s="44">
        <v>-1</v>
      </c>
      <c r="AV216" s="48">
        <v>-1</v>
      </c>
      <c r="AW216" s="48">
        <v>-1</v>
      </c>
      <c r="AX216" s="48">
        <v>-1</v>
      </c>
      <c r="AY216" s="48">
        <v>-1</v>
      </c>
      <c r="AZ216" s="59">
        <v>2</v>
      </c>
      <c r="BA216" s="43">
        <v>90</v>
      </c>
      <c r="BB216" s="59">
        <v>1</v>
      </c>
      <c r="BC216" s="59">
        <v>-1</v>
      </c>
      <c r="BD216" s="59">
        <v>-1</v>
      </c>
      <c r="BE216" s="59">
        <v>-1</v>
      </c>
      <c r="BF216" s="61">
        <v>23</v>
      </c>
      <c r="BG216" s="59">
        <v>17</v>
      </c>
      <c r="BH216" s="59">
        <v>-1</v>
      </c>
      <c r="BI216" s="59">
        <v>60</v>
      </c>
      <c r="BJ216" s="28">
        <v>1</v>
      </c>
      <c r="BK216" s="56">
        <v>32.789026402640268</v>
      </c>
      <c r="BL216" s="59">
        <v>0.2</v>
      </c>
      <c r="BM216" s="59">
        <v>3</v>
      </c>
      <c r="BN216" s="56">
        <v>29.510123762376242</v>
      </c>
      <c r="BO216" s="59">
        <v>0.15</v>
      </c>
    </row>
    <row r="217" spans="1:67" s="50" customFormat="1" ht="15" customHeight="1" x14ac:dyDescent="0.25">
      <c r="A217" s="50">
        <v>216</v>
      </c>
      <c r="B217" s="36">
        <v>7029</v>
      </c>
      <c r="C217" s="36">
        <v>7029</v>
      </c>
      <c r="D217" s="22" t="s">
        <v>4</v>
      </c>
      <c r="E217" s="38" t="s">
        <v>433</v>
      </c>
      <c r="F217" s="39">
        <v>14.919600000000001</v>
      </c>
      <c r="G217" s="56">
        <v>14.919600000000001</v>
      </c>
      <c r="H217" s="67">
        <v>29.352745815126053</v>
      </c>
      <c r="I217" s="36">
        <v>48.319881889763778</v>
      </c>
      <c r="J217" s="67">
        <v>28.153319613457409</v>
      </c>
      <c r="K217" s="67">
        <v>11.399220755209466</v>
      </c>
      <c r="L217" s="36">
        <v>28766</v>
      </c>
      <c r="M217" s="36" t="s">
        <v>137</v>
      </c>
      <c r="N217" s="36">
        <v>100</v>
      </c>
      <c r="O217" s="43">
        <v>8.1711726804123721</v>
      </c>
      <c r="P217" s="36">
        <v>20.187603092783508</v>
      </c>
      <c r="Q217" s="43">
        <v>28.765012561447776</v>
      </c>
      <c r="R217" s="43">
        <v>11.480963672154617</v>
      </c>
      <c r="S217" s="43">
        <v>6.820845205985993</v>
      </c>
      <c r="T217" s="36">
        <v>28766</v>
      </c>
      <c r="U217" s="36" t="s">
        <v>137</v>
      </c>
      <c r="V217" s="36">
        <v>100</v>
      </c>
      <c r="W217" s="36">
        <v>1</v>
      </c>
      <c r="X217" s="102">
        <v>3</v>
      </c>
      <c r="Y217" s="29">
        <v>25</v>
      </c>
      <c r="Z217" s="45">
        <v>4</v>
      </c>
      <c r="AA217" s="45">
        <v>85</v>
      </c>
      <c r="AB217" s="50">
        <v>28675</v>
      </c>
      <c r="AC217" s="50" t="s">
        <v>375</v>
      </c>
      <c r="AD217" s="50">
        <v>100</v>
      </c>
      <c r="AE217" s="42">
        <v>60</v>
      </c>
      <c r="AF217" s="66">
        <v>10</v>
      </c>
      <c r="AG217" s="62">
        <v>100</v>
      </c>
      <c r="AH217" s="63">
        <v>2.4300000000000002</v>
      </c>
      <c r="AI217" s="50">
        <v>42058</v>
      </c>
      <c r="AJ217" s="50" t="s">
        <v>421</v>
      </c>
      <c r="AK217" s="58">
        <v>100</v>
      </c>
      <c r="AL217" s="34">
        <v>11</v>
      </c>
      <c r="AM217" s="43">
        <v>0.59845854117647057</v>
      </c>
      <c r="AN217" s="57">
        <v>0.59845854117647057</v>
      </c>
      <c r="AO217" s="57">
        <v>0.46024950588235286</v>
      </c>
      <c r="AP217" s="57">
        <v>0.6870196705882351</v>
      </c>
      <c r="AQ217" s="87">
        <v>0.53500494845360835</v>
      </c>
      <c r="AR217" s="46">
        <v>28766</v>
      </c>
      <c r="AS217" s="46" t="s">
        <v>137</v>
      </c>
      <c r="AT217" s="46">
        <v>100</v>
      </c>
      <c r="AU217" s="44">
        <v>-1</v>
      </c>
      <c r="AV217" s="48">
        <v>-1</v>
      </c>
      <c r="AW217" s="48">
        <v>-1</v>
      </c>
      <c r="AX217" s="48">
        <v>-1</v>
      </c>
      <c r="AY217" s="48">
        <v>-1</v>
      </c>
      <c r="AZ217" s="59">
        <v>2</v>
      </c>
      <c r="BA217" s="43">
        <v>90</v>
      </c>
      <c r="BB217" s="59">
        <v>1</v>
      </c>
      <c r="BC217" s="59">
        <v>-1</v>
      </c>
      <c r="BD217" s="59">
        <v>-1</v>
      </c>
      <c r="BE217" s="59">
        <v>-1</v>
      </c>
      <c r="BF217" s="61">
        <v>15</v>
      </c>
      <c r="BG217" s="59">
        <v>25</v>
      </c>
      <c r="BH217" s="59">
        <v>-1</v>
      </c>
      <c r="BI217" s="59">
        <v>60</v>
      </c>
      <c r="BJ217" s="28">
        <v>1</v>
      </c>
      <c r="BK217" s="56">
        <v>32.936963696369638</v>
      </c>
      <c r="BL217" s="59">
        <v>0.2</v>
      </c>
      <c r="BM217" s="59">
        <v>3</v>
      </c>
      <c r="BN217" s="56">
        <v>29.643267326732676</v>
      </c>
      <c r="BO217" s="59">
        <v>0.15</v>
      </c>
    </row>
    <row r="218" spans="1:67" s="50" customFormat="1" ht="15" customHeight="1" x14ac:dyDescent="0.25">
      <c r="A218" s="50">
        <v>217</v>
      </c>
      <c r="B218" s="52">
        <v>7030</v>
      </c>
      <c r="C218" s="52">
        <v>7030</v>
      </c>
      <c r="D218" s="22" t="s">
        <v>4</v>
      </c>
      <c r="E218" s="39" t="s">
        <v>461</v>
      </c>
      <c r="F218" s="39">
        <v>5.3046100000000003</v>
      </c>
      <c r="G218" s="56">
        <v>5.3046100000000003</v>
      </c>
      <c r="H218" s="67">
        <v>10.436262968067227</v>
      </c>
      <c r="I218" s="36">
        <v>21.468471128608922</v>
      </c>
      <c r="J218" s="67">
        <v>12.508489376586191</v>
      </c>
      <c r="K218" s="67">
        <v>5.0646614209480711</v>
      </c>
      <c r="L218" s="36">
        <v>28766</v>
      </c>
      <c r="M218" s="36" t="s">
        <v>137</v>
      </c>
      <c r="N218" s="36">
        <v>100</v>
      </c>
      <c r="O218" s="43">
        <v>2.9052309922680415</v>
      </c>
      <c r="P218" s="36">
        <v>7.1776295103092789</v>
      </c>
      <c r="Q218" s="43">
        <v>12.7802638900973</v>
      </c>
      <c r="R218" s="43">
        <v>5.1009797103099714</v>
      </c>
      <c r="S218" s="43">
        <v>3.0304941289279448</v>
      </c>
      <c r="T218" s="36">
        <v>28766</v>
      </c>
      <c r="U218" s="36" t="s">
        <v>137</v>
      </c>
      <c r="V218" s="36">
        <v>100</v>
      </c>
      <c r="W218" s="36">
        <v>1</v>
      </c>
      <c r="X218" s="102">
        <v>3</v>
      </c>
      <c r="Y218" s="29">
        <v>55</v>
      </c>
      <c r="Z218" s="45">
        <v>4</v>
      </c>
      <c r="AA218" s="45">
        <v>85</v>
      </c>
      <c r="AB218" s="50">
        <v>28675</v>
      </c>
      <c r="AC218" s="50" t="s">
        <v>375</v>
      </c>
      <c r="AD218" s="50">
        <v>100</v>
      </c>
      <c r="AE218" s="42">
        <v>40</v>
      </c>
      <c r="AF218" s="43">
        <v>0.5</v>
      </c>
      <c r="AG218" s="45">
        <v>0</v>
      </c>
      <c r="AH218" s="63">
        <v>6.8000000000000005E-2</v>
      </c>
      <c r="AI218" s="50">
        <v>42236</v>
      </c>
      <c r="AJ218" s="50" t="s">
        <v>207</v>
      </c>
      <c r="AK218" s="50">
        <v>100</v>
      </c>
      <c r="AL218" s="34">
        <v>17</v>
      </c>
      <c r="AM218" s="43">
        <v>0.9040623885714284</v>
      </c>
      <c r="AN218" s="57">
        <v>0.9040623885714284</v>
      </c>
      <c r="AO218" s="57">
        <v>0.69527667999999987</v>
      </c>
      <c r="AP218" s="57">
        <v>1.0378474057142852</v>
      </c>
      <c r="AQ218" s="87">
        <v>0.80820611340206183</v>
      </c>
      <c r="AR218" s="46">
        <v>28766</v>
      </c>
      <c r="AS218" s="46" t="s">
        <v>137</v>
      </c>
      <c r="AT218" s="46">
        <v>100</v>
      </c>
      <c r="AU218" s="44">
        <v>-1</v>
      </c>
      <c r="AV218" s="48">
        <v>-1</v>
      </c>
      <c r="AW218" s="48">
        <v>-1</v>
      </c>
      <c r="AX218" s="48">
        <v>-1</v>
      </c>
      <c r="AY218" s="48">
        <v>-1</v>
      </c>
      <c r="AZ218" s="59">
        <v>1</v>
      </c>
      <c r="BA218" s="43">
        <v>90</v>
      </c>
      <c r="BB218" s="59">
        <v>1</v>
      </c>
      <c r="BC218" s="59">
        <v>-1</v>
      </c>
      <c r="BD218" s="59">
        <v>-1</v>
      </c>
      <c r="BE218" s="59">
        <v>-1</v>
      </c>
      <c r="BF218" s="61">
        <v>5</v>
      </c>
      <c r="BG218" s="59">
        <v>55</v>
      </c>
      <c r="BH218" s="59">
        <v>-1</v>
      </c>
      <c r="BI218" s="59">
        <v>40</v>
      </c>
      <c r="BJ218" s="28">
        <v>1</v>
      </c>
      <c r="BK218" s="56">
        <v>49.75627887788778</v>
      </c>
      <c r="BL218" s="59">
        <v>0.2</v>
      </c>
      <c r="BM218" s="59">
        <v>3</v>
      </c>
      <c r="BN218" s="56">
        <v>44.780650990099005</v>
      </c>
      <c r="BO218" s="59">
        <v>0.15</v>
      </c>
    </row>
    <row r="219" spans="1:67" s="50" customFormat="1" ht="15" customHeight="1" x14ac:dyDescent="0.25">
      <c r="A219" s="50">
        <v>218</v>
      </c>
      <c r="B219" s="52" t="s">
        <v>522</v>
      </c>
      <c r="C219" s="52">
        <v>917031</v>
      </c>
      <c r="D219" s="22" t="s">
        <v>4</v>
      </c>
      <c r="E219" s="39" t="s">
        <v>460</v>
      </c>
      <c r="F219" s="39">
        <v>14.42</v>
      </c>
      <c r="G219" s="56">
        <v>14.42</v>
      </c>
      <c r="H219" s="67">
        <v>28.369835294117646</v>
      </c>
      <c r="I219" s="36">
        <v>34.200459317585299</v>
      </c>
      <c r="J219" s="67">
        <v>19.926713899915402</v>
      </c>
      <c r="K219" s="67">
        <v>8.0682851539275813</v>
      </c>
      <c r="L219" s="36">
        <v>28766</v>
      </c>
      <c r="M219" s="36" t="s">
        <v>137</v>
      </c>
      <c r="N219" s="36">
        <v>100</v>
      </c>
      <c r="O219" s="43">
        <v>7.8975515463917532</v>
      </c>
      <c r="P219" s="36">
        <v>19.51159793814433</v>
      </c>
      <c r="Q219" s="43">
        <v>20.359665698728264</v>
      </c>
      <c r="R219" s="43">
        <v>8.1261421932279116</v>
      </c>
      <c r="S219" s="43">
        <v>4.8277443953828971</v>
      </c>
      <c r="T219" s="36">
        <v>28766</v>
      </c>
      <c r="U219" s="36" t="s">
        <v>137</v>
      </c>
      <c r="V219" s="36">
        <v>100</v>
      </c>
      <c r="W219" s="36">
        <v>1</v>
      </c>
      <c r="X219" s="102">
        <v>3</v>
      </c>
      <c r="Y219" s="29">
        <v>46</v>
      </c>
      <c r="Z219" s="45">
        <v>4</v>
      </c>
      <c r="AA219" s="45">
        <v>85</v>
      </c>
      <c r="AB219" s="50">
        <v>28675</v>
      </c>
      <c r="AC219" s="50" t="s">
        <v>375</v>
      </c>
      <c r="AD219" s="50">
        <v>100</v>
      </c>
      <c r="AE219" s="42">
        <v>40</v>
      </c>
      <c r="AF219" s="43">
        <v>0.5</v>
      </c>
      <c r="AG219" s="45">
        <v>0</v>
      </c>
      <c r="AH219" s="63">
        <v>0.51600000000000001</v>
      </c>
      <c r="AI219" s="50">
        <v>41976</v>
      </c>
      <c r="AJ219" s="50" t="s">
        <v>209</v>
      </c>
      <c r="AK219" s="50">
        <v>100</v>
      </c>
      <c r="AL219" s="34">
        <v>17</v>
      </c>
      <c r="AM219" s="43">
        <v>0.90579226890756304</v>
      </c>
      <c r="AN219" s="57">
        <v>0.90579226890756304</v>
      </c>
      <c r="AO219" s="57">
        <v>0.69660705882352936</v>
      </c>
      <c r="AP219" s="57">
        <v>1.0398332773109242</v>
      </c>
      <c r="AQ219" s="87">
        <v>0.80975257731958772</v>
      </c>
      <c r="AR219" s="46">
        <v>28766</v>
      </c>
      <c r="AS219" s="46" t="s">
        <v>137</v>
      </c>
      <c r="AT219" s="46">
        <v>100</v>
      </c>
      <c r="AU219" s="44">
        <v>-1</v>
      </c>
      <c r="AV219" s="48">
        <v>-1</v>
      </c>
      <c r="AW219" s="48">
        <v>-1</v>
      </c>
      <c r="AX219" s="48">
        <v>-1</v>
      </c>
      <c r="AY219" s="48">
        <v>-1</v>
      </c>
      <c r="AZ219" s="59">
        <v>1</v>
      </c>
      <c r="BA219" s="43">
        <v>90</v>
      </c>
      <c r="BB219" s="59">
        <v>1</v>
      </c>
      <c r="BC219" s="59">
        <v>-1</v>
      </c>
      <c r="BD219" s="59">
        <v>-1</v>
      </c>
      <c r="BE219" s="59">
        <v>-1</v>
      </c>
      <c r="BF219" s="61">
        <v>14</v>
      </c>
      <c r="BG219" s="59">
        <v>46</v>
      </c>
      <c r="BH219" s="59">
        <v>-1</v>
      </c>
      <c r="BI219" s="59">
        <v>40</v>
      </c>
      <c r="BJ219" s="28">
        <v>1</v>
      </c>
      <c r="BK219" s="56">
        <v>49.851485148514854</v>
      </c>
      <c r="BL219" s="59">
        <v>0.2</v>
      </c>
      <c r="BM219" s="59">
        <v>3</v>
      </c>
      <c r="BN219" s="56">
        <v>44.866336633663366</v>
      </c>
      <c r="BO219" s="59">
        <v>0.15</v>
      </c>
    </row>
    <row r="220" spans="1:67" s="50" customFormat="1" ht="15" customHeight="1" x14ac:dyDescent="0.25">
      <c r="A220" s="50">
        <v>219</v>
      </c>
      <c r="B220" s="52" t="s">
        <v>523</v>
      </c>
      <c r="C220" s="52">
        <v>927031</v>
      </c>
      <c r="D220" s="22" t="s">
        <v>4</v>
      </c>
      <c r="E220" s="39" t="s">
        <v>460</v>
      </c>
      <c r="F220" s="39">
        <v>56.9542</v>
      </c>
      <c r="G220" s="56">
        <v>56.9542</v>
      </c>
      <c r="H220" s="67">
        <v>112.05140591596638</v>
      </c>
      <c r="I220" s="36">
        <v>65.611220472440948</v>
      </c>
      <c r="J220" s="67">
        <v>38.22802515129824</v>
      </c>
      <c r="K220" s="67">
        <v>15.478448144603473</v>
      </c>
      <c r="L220" s="36">
        <v>28766</v>
      </c>
      <c r="M220" s="36" t="s">
        <v>137</v>
      </c>
      <c r="N220" s="36">
        <v>100</v>
      </c>
      <c r="O220" s="43">
        <v>31.192699742268044</v>
      </c>
      <c r="P220" s="36">
        <v>77.064317010309281</v>
      </c>
      <c r="Q220" s="43">
        <v>39.058613292295647</v>
      </c>
      <c r="R220" s="43">
        <v>15.589442880848573</v>
      </c>
      <c r="S220" s="43">
        <v>9.2616943816069952</v>
      </c>
      <c r="T220" s="36">
        <v>28766</v>
      </c>
      <c r="U220" s="36" t="s">
        <v>137</v>
      </c>
      <c r="V220" s="36">
        <v>100</v>
      </c>
      <c r="W220" s="36">
        <v>1</v>
      </c>
      <c r="X220" s="102">
        <v>3</v>
      </c>
      <c r="Y220" s="29">
        <v>3</v>
      </c>
      <c r="Z220" s="45">
        <v>4</v>
      </c>
      <c r="AA220" s="45">
        <v>85</v>
      </c>
      <c r="AB220" s="50">
        <v>28675</v>
      </c>
      <c r="AC220" s="50" t="s">
        <v>375</v>
      </c>
      <c r="AD220" s="50">
        <v>100</v>
      </c>
      <c r="AE220" s="42">
        <v>40</v>
      </c>
      <c r="AF220" s="43">
        <v>0.5</v>
      </c>
      <c r="AG220" s="45">
        <v>0</v>
      </c>
      <c r="AH220" s="63">
        <v>0.51600000000000001</v>
      </c>
      <c r="AI220" s="50">
        <v>41976</v>
      </c>
      <c r="AJ220" s="50" t="s">
        <v>209</v>
      </c>
      <c r="AK220" s="50">
        <v>100</v>
      </c>
      <c r="AL220" s="34">
        <v>16.997324742268045</v>
      </c>
      <c r="AM220" s="43">
        <v>0.89880918319327729</v>
      </c>
      <c r="AN220" s="57">
        <v>0.89880918319327729</v>
      </c>
      <c r="AO220" s="57">
        <v>0.69123665882352925</v>
      </c>
      <c r="AP220" s="57">
        <v>1.0318168201680669</v>
      </c>
      <c r="AQ220" s="87">
        <v>0.80350989690721664</v>
      </c>
      <c r="AR220" s="46">
        <v>28766</v>
      </c>
      <c r="AS220" s="46" t="s">
        <v>137</v>
      </c>
      <c r="AT220" s="46">
        <v>100</v>
      </c>
      <c r="AU220" s="44">
        <v>-1</v>
      </c>
      <c r="AV220" s="48">
        <v>-1</v>
      </c>
      <c r="AW220" s="48">
        <v>-1</v>
      </c>
      <c r="AX220" s="48">
        <v>-1</v>
      </c>
      <c r="AY220" s="48">
        <v>-1</v>
      </c>
      <c r="AZ220" s="59">
        <v>1</v>
      </c>
      <c r="BA220" s="43">
        <v>90</v>
      </c>
      <c r="BB220" s="59">
        <v>1</v>
      </c>
      <c r="BC220" s="59">
        <v>-1</v>
      </c>
      <c r="BD220" s="59">
        <v>-1</v>
      </c>
      <c r="BE220" s="59">
        <v>-1</v>
      </c>
      <c r="BF220" s="61">
        <v>57</v>
      </c>
      <c r="BG220" s="59">
        <v>3</v>
      </c>
      <c r="BH220" s="59">
        <v>-1</v>
      </c>
      <c r="BI220" s="59">
        <v>40</v>
      </c>
      <c r="BJ220" s="28">
        <v>1</v>
      </c>
      <c r="BK220" s="56">
        <v>49.467161716171617</v>
      </c>
      <c r="BL220" s="59">
        <v>0.2</v>
      </c>
      <c r="BM220" s="59">
        <v>3</v>
      </c>
      <c r="BN220" s="56">
        <v>44.520445544554448</v>
      </c>
      <c r="BO220" s="59">
        <v>0.15</v>
      </c>
    </row>
    <row r="221" spans="1:67" s="50" customFormat="1" ht="15" customHeight="1" x14ac:dyDescent="0.25">
      <c r="A221" s="50">
        <v>220</v>
      </c>
      <c r="B221" s="52" t="s">
        <v>524</v>
      </c>
      <c r="C221" s="68">
        <v>917032</v>
      </c>
      <c r="D221" s="22" t="s">
        <v>4</v>
      </c>
      <c r="E221" s="39" t="s">
        <v>462</v>
      </c>
      <c r="F221" s="39">
        <v>8.26633</v>
      </c>
      <c r="G221" s="56">
        <v>8.26633</v>
      </c>
      <c r="H221" s="67">
        <v>16.26313596302521</v>
      </c>
      <c r="I221" s="36">
        <v>33.337598425196852</v>
      </c>
      <c r="J221" s="67">
        <v>19.423972636168411</v>
      </c>
      <c r="K221" s="67">
        <v>7.8647262583199202</v>
      </c>
      <c r="L221" s="36">
        <v>28766</v>
      </c>
      <c r="M221" s="36" t="s">
        <v>137</v>
      </c>
      <c r="N221" s="36">
        <v>100</v>
      </c>
      <c r="O221" s="43">
        <v>4.5273070231958767</v>
      </c>
      <c r="P221" s="36">
        <v>11.185111469072167</v>
      </c>
      <c r="Q221" s="43">
        <v>19.846001272458345</v>
      </c>
      <c r="R221" s="43">
        <v>7.9211235927637151</v>
      </c>
      <c r="S221" s="43">
        <v>4.7059427611258542</v>
      </c>
      <c r="T221" s="36">
        <v>28766</v>
      </c>
      <c r="U221" s="36" t="s">
        <v>137</v>
      </c>
      <c r="V221" s="36">
        <v>100</v>
      </c>
      <c r="W221" s="36">
        <v>1</v>
      </c>
      <c r="X221" s="102">
        <v>3</v>
      </c>
      <c r="Y221" s="29">
        <v>52</v>
      </c>
      <c r="Z221" s="45">
        <v>4</v>
      </c>
      <c r="AA221" s="45">
        <v>85</v>
      </c>
      <c r="AB221" s="50">
        <v>28675</v>
      </c>
      <c r="AC221" s="50" t="s">
        <v>375</v>
      </c>
      <c r="AD221" s="50">
        <v>100</v>
      </c>
      <c r="AE221" s="42">
        <v>40</v>
      </c>
      <c r="AF221" s="43">
        <v>0.5</v>
      </c>
      <c r="AG221" s="45">
        <v>0</v>
      </c>
      <c r="AH221" s="63">
        <v>0.192</v>
      </c>
      <c r="AI221" s="50">
        <v>42269</v>
      </c>
      <c r="AJ221" s="50" t="s">
        <v>206</v>
      </c>
      <c r="AK221" s="50">
        <v>100</v>
      </c>
      <c r="AL221" s="34">
        <v>17</v>
      </c>
      <c r="AM221" s="43">
        <v>0.90348851025210075</v>
      </c>
      <c r="AN221" s="57">
        <v>0.90348851025210075</v>
      </c>
      <c r="AO221" s="57">
        <v>0.69483533411764697</v>
      </c>
      <c r="AP221" s="57">
        <v>1.0371886036974787</v>
      </c>
      <c r="AQ221" s="87">
        <v>0.80769308247422678</v>
      </c>
      <c r="AR221" s="46">
        <v>28766</v>
      </c>
      <c r="AS221" s="46" t="s">
        <v>137</v>
      </c>
      <c r="AT221" s="46">
        <v>100</v>
      </c>
      <c r="AU221" s="44">
        <v>-1</v>
      </c>
      <c r="AV221" s="48">
        <v>-1</v>
      </c>
      <c r="AW221" s="48">
        <v>-1</v>
      </c>
      <c r="AX221" s="48">
        <v>-1</v>
      </c>
      <c r="AY221" s="48">
        <v>-1</v>
      </c>
      <c r="AZ221" s="59">
        <v>1</v>
      </c>
      <c r="BA221" s="43">
        <v>90</v>
      </c>
      <c r="BB221" s="59">
        <v>1</v>
      </c>
      <c r="BC221" s="59">
        <v>-1</v>
      </c>
      <c r="BD221" s="59">
        <v>-1</v>
      </c>
      <c r="BE221" s="59">
        <v>-1</v>
      </c>
      <c r="BF221" s="61">
        <v>8</v>
      </c>
      <c r="BG221" s="59">
        <v>52</v>
      </c>
      <c r="BH221" s="59">
        <v>-1</v>
      </c>
      <c r="BI221" s="59">
        <v>40</v>
      </c>
      <c r="BJ221" s="28">
        <v>1</v>
      </c>
      <c r="BK221" s="56">
        <v>49.724694719471941</v>
      </c>
      <c r="BL221" s="59">
        <v>0.2</v>
      </c>
      <c r="BM221" s="59">
        <v>3</v>
      </c>
      <c r="BN221" s="56">
        <v>44.752225247524748</v>
      </c>
      <c r="BO221" s="59">
        <v>0.15</v>
      </c>
    </row>
    <row r="222" spans="1:67" s="50" customFormat="1" ht="15" customHeight="1" x14ac:dyDescent="0.25">
      <c r="A222" s="50">
        <v>221</v>
      </c>
      <c r="B222" s="52" t="s">
        <v>525</v>
      </c>
      <c r="C222" s="68">
        <v>927032</v>
      </c>
      <c r="D222" s="22" t="s">
        <v>4</v>
      </c>
      <c r="E222" s="39" t="s">
        <v>462</v>
      </c>
      <c r="F222" s="39">
        <v>55.867199999999997</v>
      </c>
      <c r="G222" s="56">
        <v>55.867199999999997</v>
      </c>
      <c r="H222" s="67">
        <v>109.91284759663864</v>
      </c>
      <c r="I222" s="36">
        <v>64.411417322834637</v>
      </c>
      <c r="J222" s="67">
        <v>37.528966291403655</v>
      </c>
      <c r="K222" s="67">
        <v>15.195400661243308</v>
      </c>
      <c r="L222" s="36">
        <v>28766</v>
      </c>
      <c r="M222" s="36" t="s">
        <v>137</v>
      </c>
      <c r="N222" s="36">
        <v>100</v>
      </c>
      <c r="O222" s="43">
        <v>30.597371134020619</v>
      </c>
      <c r="P222" s="36">
        <v>75.593505154639175</v>
      </c>
      <c r="Q222" s="43">
        <v>38.344365837212329</v>
      </c>
      <c r="R222" s="43">
        <v>15.304365686210708</v>
      </c>
      <c r="S222" s="43">
        <v>9.0923299038587011</v>
      </c>
      <c r="T222" s="36">
        <v>28766</v>
      </c>
      <c r="U222" s="36" t="s">
        <v>137</v>
      </c>
      <c r="V222" s="36">
        <v>100</v>
      </c>
      <c r="W222" s="36">
        <v>1</v>
      </c>
      <c r="X222" s="102">
        <v>3</v>
      </c>
      <c r="Y222" s="29">
        <v>4</v>
      </c>
      <c r="Z222" s="45">
        <v>4</v>
      </c>
      <c r="AA222" s="45">
        <v>85</v>
      </c>
      <c r="AB222" s="50">
        <v>28675</v>
      </c>
      <c r="AC222" s="50" t="s">
        <v>375</v>
      </c>
      <c r="AD222" s="50">
        <v>100</v>
      </c>
      <c r="AE222" s="42">
        <v>40</v>
      </c>
      <c r="AF222" s="43">
        <v>0.5</v>
      </c>
      <c r="AG222" s="45">
        <v>0</v>
      </c>
      <c r="AH222" s="63">
        <v>0.192</v>
      </c>
      <c r="AI222" s="50">
        <v>42269</v>
      </c>
      <c r="AJ222" s="50" t="s">
        <v>206</v>
      </c>
      <c r="AK222" s="50">
        <v>100</v>
      </c>
      <c r="AL222" s="34">
        <v>16.972659793814433</v>
      </c>
      <c r="AM222" s="43">
        <v>0.89750491428571411</v>
      </c>
      <c r="AN222" s="57">
        <v>0.89750491428571411</v>
      </c>
      <c r="AO222" s="57">
        <v>0.69023359999999989</v>
      </c>
      <c r="AP222" s="57">
        <v>1.0303195428571426</v>
      </c>
      <c r="AQ222" s="87">
        <v>0.80234391752577328</v>
      </c>
      <c r="AR222" s="46">
        <v>28766</v>
      </c>
      <c r="AS222" s="46" t="s">
        <v>137</v>
      </c>
      <c r="AT222" s="46">
        <v>100</v>
      </c>
      <c r="AU222" s="44">
        <v>-1</v>
      </c>
      <c r="AV222" s="48">
        <v>-1</v>
      </c>
      <c r="AW222" s="48">
        <v>-1</v>
      </c>
      <c r="AX222" s="48">
        <v>-1</v>
      </c>
      <c r="AY222" s="48">
        <v>-1</v>
      </c>
      <c r="AZ222" s="59">
        <v>1</v>
      </c>
      <c r="BA222" s="43">
        <v>90</v>
      </c>
      <c r="BB222" s="59">
        <v>1</v>
      </c>
      <c r="BC222" s="59">
        <v>-1</v>
      </c>
      <c r="BD222" s="59">
        <v>-1</v>
      </c>
      <c r="BE222" s="59">
        <v>-1</v>
      </c>
      <c r="BF222" s="61">
        <v>56</v>
      </c>
      <c r="BG222" s="59">
        <v>4</v>
      </c>
      <c r="BH222" s="59">
        <v>-1</v>
      </c>
      <c r="BI222" s="59">
        <v>40</v>
      </c>
      <c r="BJ222" s="28">
        <v>1</v>
      </c>
      <c r="BK222" s="56">
        <v>49.395379537953787</v>
      </c>
      <c r="BL222" s="59">
        <v>0.2</v>
      </c>
      <c r="BM222" s="59">
        <v>3</v>
      </c>
      <c r="BN222" s="56">
        <v>44.455841584158414</v>
      </c>
      <c r="BO222" s="59">
        <v>0.15</v>
      </c>
    </row>
    <row r="223" spans="1:67" s="50" customFormat="1" ht="15" customHeight="1" x14ac:dyDescent="0.25">
      <c r="A223" s="50">
        <v>222</v>
      </c>
      <c r="B223" s="52" t="s">
        <v>526</v>
      </c>
      <c r="C223" s="68">
        <v>917033</v>
      </c>
      <c r="D223" s="22" t="s">
        <v>4</v>
      </c>
      <c r="E223" s="39" t="s">
        <v>463</v>
      </c>
      <c r="F223" s="39">
        <v>8.9307599999999994</v>
      </c>
      <c r="G223" s="56">
        <v>8.9307599999999994</v>
      </c>
      <c r="H223" s="67">
        <v>17.570332194957981</v>
      </c>
      <c r="I223" s="36">
        <v>34.492454068241464</v>
      </c>
      <c r="J223" s="67">
        <v>20.096843072818373</v>
      </c>
      <c r="K223" s="67">
        <v>8.1371701033917709</v>
      </c>
      <c r="L223" s="36">
        <v>28766</v>
      </c>
      <c r="M223" s="36" t="s">
        <v>137</v>
      </c>
      <c r="N223" s="36">
        <v>100</v>
      </c>
      <c r="O223" s="43">
        <v>4.8912023195876291</v>
      </c>
      <c r="P223" s="36">
        <v>12.084146907216494</v>
      </c>
      <c r="Q223" s="43">
        <v>20.533491303055346</v>
      </c>
      <c r="R223" s="43">
        <v>8.1955211112557205</v>
      </c>
      <c r="S223" s="43">
        <v>4.8689624389147479</v>
      </c>
      <c r="T223" s="36">
        <v>28766</v>
      </c>
      <c r="U223" s="36" t="s">
        <v>137</v>
      </c>
      <c r="V223" s="36">
        <v>100</v>
      </c>
      <c r="W223" s="36">
        <v>1</v>
      </c>
      <c r="X223" s="102">
        <v>3</v>
      </c>
      <c r="Y223" s="29">
        <v>51</v>
      </c>
      <c r="Z223" s="45">
        <v>4</v>
      </c>
      <c r="AA223" s="45">
        <v>85</v>
      </c>
      <c r="AB223" s="50">
        <v>28675</v>
      </c>
      <c r="AC223" s="50" t="s">
        <v>375</v>
      </c>
      <c r="AD223" s="50">
        <v>100</v>
      </c>
      <c r="AE223" s="42">
        <v>40</v>
      </c>
      <c r="AF223" s="43">
        <v>0.5</v>
      </c>
      <c r="AG223" s="45">
        <v>0</v>
      </c>
      <c r="AH223" s="63">
        <v>6.8000000000000005E-2</v>
      </c>
      <c r="AI223" s="50">
        <v>26716</v>
      </c>
      <c r="AJ223" s="50" t="s">
        <v>208</v>
      </c>
      <c r="AK223" s="50">
        <v>100</v>
      </c>
      <c r="AL223" s="34">
        <v>16.9906793814433</v>
      </c>
      <c r="AM223" s="43">
        <v>0.8984577801680671</v>
      </c>
      <c r="AN223" s="57">
        <v>0.8984577801680671</v>
      </c>
      <c r="AO223" s="57">
        <v>0.69096640941176457</v>
      </c>
      <c r="AP223" s="57">
        <v>1.031413415798319</v>
      </c>
      <c r="AQ223" s="87">
        <v>0.80319575257731968</v>
      </c>
      <c r="AR223" s="46">
        <v>28766</v>
      </c>
      <c r="AS223" s="46" t="s">
        <v>137</v>
      </c>
      <c r="AT223" s="46">
        <v>100</v>
      </c>
      <c r="AU223" s="44">
        <v>-1</v>
      </c>
      <c r="AV223" s="48">
        <v>-1</v>
      </c>
      <c r="AW223" s="48">
        <v>-1</v>
      </c>
      <c r="AX223" s="48">
        <v>-1</v>
      </c>
      <c r="AY223" s="48">
        <v>-1</v>
      </c>
      <c r="AZ223" s="59">
        <v>1</v>
      </c>
      <c r="BA223" s="43">
        <v>90</v>
      </c>
      <c r="BB223" s="59">
        <v>1</v>
      </c>
      <c r="BC223" s="59">
        <v>-1</v>
      </c>
      <c r="BD223" s="59">
        <v>-1</v>
      </c>
      <c r="BE223" s="59">
        <v>-1</v>
      </c>
      <c r="BF223" s="61">
        <v>9</v>
      </c>
      <c r="BG223" s="59">
        <v>51</v>
      </c>
      <c r="BH223" s="59">
        <v>-1</v>
      </c>
      <c r="BI223" s="59">
        <v>40</v>
      </c>
      <c r="BJ223" s="28">
        <v>1</v>
      </c>
      <c r="BK223" s="56">
        <v>49.447821782178217</v>
      </c>
      <c r="BL223" s="59">
        <v>0.2</v>
      </c>
      <c r="BM223" s="59">
        <v>3</v>
      </c>
      <c r="BN223" s="56">
        <v>44.503039603960396</v>
      </c>
      <c r="BO223" s="59">
        <v>0.15</v>
      </c>
    </row>
    <row r="224" spans="1:67" s="50" customFormat="1" ht="15" customHeight="1" x14ac:dyDescent="0.25">
      <c r="A224" s="50">
        <v>223</v>
      </c>
      <c r="B224" s="52" t="s">
        <v>527</v>
      </c>
      <c r="C224" s="68">
        <v>927033</v>
      </c>
      <c r="D224" s="22" t="s">
        <v>4</v>
      </c>
      <c r="E224" s="39" t="s">
        <v>463</v>
      </c>
      <c r="F224" s="39">
        <v>54.390500000000003</v>
      </c>
      <c r="G224" s="56">
        <v>54.390500000000003</v>
      </c>
      <c r="H224" s="67">
        <v>107.00759546218487</v>
      </c>
      <c r="I224" s="36">
        <v>52.090551181102363</v>
      </c>
      <c r="J224" s="67">
        <v>30.350279820394352</v>
      </c>
      <c r="K224" s="67">
        <v>12.288765389132989</v>
      </c>
      <c r="L224" s="36">
        <v>28766</v>
      </c>
      <c r="M224" s="36" t="s">
        <v>137</v>
      </c>
      <c r="N224" s="36">
        <v>100</v>
      </c>
      <c r="O224" s="43">
        <v>29.788611469072169</v>
      </c>
      <c r="P224" s="36">
        <v>73.595393041237116</v>
      </c>
      <c r="Q224" s="43">
        <v>31.009706573280546</v>
      </c>
      <c r="R224" s="43">
        <v>12.376887160799116</v>
      </c>
      <c r="S224" s="43">
        <v>7.353113716448429</v>
      </c>
      <c r="T224" s="36">
        <v>28766</v>
      </c>
      <c r="U224" s="36" t="s">
        <v>137</v>
      </c>
      <c r="V224" s="36">
        <v>100</v>
      </c>
      <c r="W224" s="36">
        <v>1</v>
      </c>
      <c r="X224" s="102">
        <v>3</v>
      </c>
      <c r="Y224" s="29">
        <v>6</v>
      </c>
      <c r="Z224" s="45">
        <v>4</v>
      </c>
      <c r="AA224" s="45">
        <v>85</v>
      </c>
      <c r="AB224" s="50">
        <v>28675</v>
      </c>
      <c r="AC224" s="50" t="s">
        <v>375</v>
      </c>
      <c r="AD224" s="50">
        <v>100</v>
      </c>
      <c r="AE224" s="42">
        <v>40</v>
      </c>
      <c r="AF224" s="43">
        <v>0.5</v>
      </c>
      <c r="AG224" s="45">
        <v>0</v>
      </c>
      <c r="AH224" s="63">
        <v>6.8000000000000005E-2</v>
      </c>
      <c r="AI224" s="50">
        <v>26716</v>
      </c>
      <c r="AJ224" s="50" t="s">
        <v>208</v>
      </c>
      <c r="AK224" s="50">
        <v>100</v>
      </c>
      <c r="AL224" s="34">
        <v>17.008698969072199</v>
      </c>
      <c r="AM224" s="43">
        <v>0.90535001680672267</v>
      </c>
      <c r="AN224" s="57">
        <v>0.90535001680672267</v>
      </c>
      <c r="AO224" s="57">
        <v>0.69626694117647059</v>
      </c>
      <c r="AP224" s="57">
        <v>1.0393255798319327</v>
      </c>
      <c r="AQ224" s="87">
        <v>0.80935721649484549</v>
      </c>
      <c r="AR224" s="46">
        <v>28766</v>
      </c>
      <c r="AS224" s="46" t="s">
        <v>137</v>
      </c>
      <c r="AT224" s="46">
        <v>100</v>
      </c>
      <c r="AU224" s="44">
        <v>-1</v>
      </c>
      <c r="AV224" s="48">
        <v>-1</v>
      </c>
      <c r="AW224" s="48">
        <v>-1</v>
      </c>
      <c r="AX224" s="48">
        <v>-1</v>
      </c>
      <c r="AY224" s="48">
        <v>-1</v>
      </c>
      <c r="AZ224" s="59">
        <v>1</v>
      </c>
      <c r="BA224" s="43">
        <v>90</v>
      </c>
      <c r="BB224" s="59">
        <v>1</v>
      </c>
      <c r="BC224" s="59">
        <v>-1</v>
      </c>
      <c r="BD224" s="59">
        <v>-1</v>
      </c>
      <c r="BE224" s="59">
        <v>-1</v>
      </c>
      <c r="BF224" s="61">
        <v>54</v>
      </c>
      <c r="BG224" s="59">
        <v>6</v>
      </c>
      <c r="BH224" s="59">
        <v>-1</v>
      </c>
      <c r="BI224" s="59">
        <v>40</v>
      </c>
      <c r="BJ224" s="28">
        <v>1</v>
      </c>
      <c r="BK224" s="56">
        <v>49.827145214521458</v>
      </c>
      <c r="BL224" s="59">
        <v>0.2</v>
      </c>
      <c r="BM224" s="59">
        <v>3</v>
      </c>
      <c r="BN224" s="56">
        <v>44.844430693069313</v>
      </c>
      <c r="BO224" s="59">
        <v>0.15</v>
      </c>
    </row>
    <row r="225" spans="1:67" s="50" customFormat="1" ht="15" customHeight="1" x14ac:dyDescent="0.25">
      <c r="A225" s="50">
        <v>224</v>
      </c>
      <c r="B225" s="52">
        <v>7034</v>
      </c>
      <c r="C225" s="68">
        <v>7034</v>
      </c>
      <c r="D225" s="22" t="s">
        <v>4</v>
      </c>
      <c r="E225" s="33" t="s">
        <v>471</v>
      </c>
      <c r="F225" s="39">
        <v>2.2720699999999998</v>
      </c>
      <c r="G225" s="56">
        <v>2.2720699999999998</v>
      </c>
      <c r="H225" s="67">
        <v>4.4700590621848733</v>
      </c>
      <c r="I225" s="36">
        <v>18.280150918635169</v>
      </c>
      <c r="J225" s="67">
        <v>10.650831733584953</v>
      </c>
      <c r="K225" s="67">
        <v>4.312499691854816</v>
      </c>
      <c r="L225" s="36">
        <v>28766</v>
      </c>
      <c r="M225" s="36" t="s">
        <v>137</v>
      </c>
      <c r="N225" s="36">
        <v>100</v>
      </c>
      <c r="O225" s="43">
        <v>1.2443682345360825</v>
      </c>
      <c r="P225" s="36">
        <v>3.074321520618557</v>
      </c>
      <c r="Q225" s="43">
        <v>10.882244538579776</v>
      </c>
      <c r="R225" s="43">
        <v>4.3434242885186869</v>
      </c>
      <c r="S225" s="43">
        <v>2.5804301434868986</v>
      </c>
      <c r="T225" s="36">
        <v>28766</v>
      </c>
      <c r="U225" s="36" t="s">
        <v>137</v>
      </c>
      <c r="V225" s="36">
        <v>100</v>
      </c>
      <c r="W225" s="36">
        <v>1</v>
      </c>
      <c r="X225" s="102">
        <v>3</v>
      </c>
      <c r="Y225" s="29">
        <v>58</v>
      </c>
      <c r="Z225" s="45">
        <v>4</v>
      </c>
      <c r="AA225" s="45">
        <v>85</v>
      </c>
      <c r="AB225" s="50">
        <v>28675</v>
      </c>
      <c r="AC225" s="50" t="s">
        <v>375</v>
      </c>
      <c r="AD225" s="50">
        <v>100</v>
      </c>
      <c r="AE225" s="42">
        <v>40</v>
      </c>
      <c r="AF225" s="43">
        <v>0.5</v>
      </c>
      <c r="AG225" s="45">
        <v>0</v>
      </c>
      <c r="AH225" s="63">
        <v>0.192</v>
      </c>
      <c r="AI225" s="50">
        <v>42013</v>
      </c>
      <c r="AJ225" s="50" t="s">
        <v>423</v>
      </c>
      <c r="AK225" s="58">
        <v>100</v>
      </c>
      <c r="AL225" s="34">
        <v>17.026718556700999</v>
      </c>
      <c r="AM225" s="43">
        <v>0.90357456201680664</v>
      </c>
      <c r="AN225" s="57">
        <v>0.90357456201680664</v>
      </c>
      <c r="AO225" s="57">
        <v>0.69490151294117641</v>
      </c>
      <c r="AP225" s="57">
        <v>1.0372873895798318</v>
      </c>
      <c r="AQ225" s="87">
        <v>0.80777001030927842</v>
      </c>
      <c r="AR225" s="46">
        <v>28766</v>
      </c>
      <c r="AS225" s="46" t="s">
        <v>137</v>
      </c>
      <c r="AT225" s="46">
        <v>100</v>
      </c>
      <c r="AU225" s="44">
        <v>-1</v>
      </c>
      <c r="AV225" s="48">
        <v>-1</v>
      </c>
      <c r="AW225" s="48">
        <v>-1</v>
      </c>
      <c r="AX225" s="48">
        <v>-1</v>
      </c>
      <c r="AY225" s="48">
        <v>-1</v>
      </c>
      <c r="AZ225" s="59">
        <v>1</v>
      </c>
      <c r="BA225" s="43">
        <v>90</v>
      </c>
      <c r="BB225" s="59">
        <v>1</v>
      </c>
      <c r="BC225" s="59">
        <v>-1</v>
      </c>
      <c r="BD225" s="59">
        <v>-1</v>
      </c>
      <c r="BE225" s="59">
        <v>-1</v>
      </c>
      <c r="BF225" s="61">
        <v>2</v>
      </c>
      <c r="BG225" s="59">
        <v>58</v>
      </c>
      <c r="BH225" s="59">
        <v>-1</v>
      </c>
      <c r="BI225" s="59">
        <v>40</v>
      </c>
      <c r="BJ225" s="28">
        <v>1</v>
      </c>
      <c r="BK225" s="56">
        <v>49.729430693069304</v>
      </c>
      <c r="BL225" s="59">
        <v>0.2</v>
      </c>
      <c r="BM225" s="59">
        <v>3</v>
      </c>
      <c r="BN225" s="56">
        <v>44.756487623762375</v>
      </c>
      <c r="BO225" s="59">
        <v>0.15</v>
      </c>
    </row>
    <row r="226" spans="1:67" s="50" customFormat="1" ht="15" customHeight="1" x14ac:dyDescent="0.25">
      <c r="A226" s="50">
        <v>225</v>
      </c>
      <c r="B226" s="52">
        <v>7035</v>
      </c>
      <c r="C226" s="68">
        <v>7035</v>
      </c>
      <c r="D226" s="22" t="s">
        <v>4</v>
      </c>
      <c r="E226" s="33" t="s">
        <v>470</v>
      </c>
      <c r="F226" s="39">
        <v>4.7518500000000001</v>
      </c>
      <c r="G226" s="56">
        <v>4.7518500000000001</v>
      </c>
      <c r="H226" s="67">
        <v>9.3487657310924366</v>
      </c>
      <c r="I226" s="36">
        <v>27.403280839895011</v>
      </c>
      <c r="J226" s="67">
        <v>15.966374373657835</v>
      </c>
      <c r="K226" s="67">
        <v>6.4647518887487125</v>
      </c>
      <c r="L226" s="36">
        <v>28766</v>
      </c>
      <c r="M226" s="36" t="s">
        <v>137</v>
      </c>
      <c r="N226" s="36">
        <v>100</v>
      </c>
      <c r="O226" s="43">
        <v>2.6024951675257735</v>
      </c>
      <c r="P226" s="36">
        <v>6.4296939432989699</v>
      </c>
      <c r="Q226" s="43">
        <v>16.313279063528661</v>
      </c>
      <c r="R226" s="43">
        <v>6.5111101169172034</v>
      </c>
      <c r="S226" s="43">
        <v>3.8682531793332462</v>
      </c>
      <c r="T226" s="36">
        <v>28766</v>
      </c>
      <c r="U226" s="36" t="s">
        <v>137</v>
      </c>
      <c r="V226" s="36">
        <v>100</v>
      </c>
      <c r="W226" s="36">
        <v>1</v>
      </c>
      <c r="X226" s="102">
        <v>3</v>
      </c>
      <c r="Y226" s="29">
        <v>55</v>
      </c>
      <c r="Z226" s="45">
        <v>4</v>
      </c>
      <c r="AA226" s="45">
        <v>85</v>
      </c>
      <c r="AB226" s="50">
        <v>28675</v>
      </c>
      <c r="AC226" s="50" t="s">
        <v>375</v>
      </c>
      <c r="AD226" s="50">
        <v>100</v>
      </c>
      <c r="AE226" s="42">
        <v>40</v>
      </c>
      <c r="AF226" s="43">
        <v>0.5</v>
      </c>
      <c r="AG226" s="45">
        <v>0</v>
      </c>
      <c r="AH226" s="63">
        <v>0.27599999999999997</v>
      </c>
      <c r="AI226" s="50">
        <v>21711</v>
      </c>
      <c r="AJ226" s="50" t="s">
        <v>425</v>
      </c>
      <c r="AK226" s="50">
        <v>100</v>
      </c>
      <c r="AL226" s="34">
        <v>17.044738144329902</v>
      </c>
      <c r="AM226" s="43">
        <v>0.89577563361344525</v>
      </c>
      <c r="AN226" s="57">
        <v>0.89577563361344525</v>
      </c>
      <c r="AO226" s="57">
        <v>0.68890368235294108</v>
      </c>
      <c r="AP226" s="57">
        <v>1.0283343596638652</v>
      </c>
      <c r="AQ226" s="87">
        <v>0.80079798969072169</v>
      </c>
      <c r="AR226" s="46">
        <v>28766</v>
      </c>
      <c r="AS226" s="46" t="s">
        <v>137</v>
      </c>
      <c r="AT226" s="46">
        <v>100</v>
      </c>
      <c r="AU226" s="44">
        <v>-1</v>
      </c>
      <c r="AV226" s="48">
        <v>-1</v>
      </c>
      <c r="AW226" s="48">
        <v>-1</v>
      </c>
      <c r="AX226" s="48">
        <v>-1</v>
      </c>
      <c r="AY226" s="48">
        <v>-1</v>
      </c>
      <c r="AZ226" s="59">
        <v>1</v>
      </c>
      <c r="BA226" s="43">
        <v>90</v>
      </c>
      <c r="BB226" s="59">
        <v>1</v>
      </c>
      <c r="BC226" s="59">
        <v>-1</v>
      </c>
      <c r="BD226" s="59">
        <v>-1</v>
      </c>
      <c r="BE226" s="59">
        <v>-1</v>
      </c>
      <c r="BF226" s="61">
        <v>5</v>
      </c>
      <c r="BG226" s="59">
        <v>55</v>
      </c>
      <c r="BH226" s="59">
        <v>-1</v>
      </c>
      <c r="BI226" s="59">
        <v>40</v>
      </c>
      <c r="BJ226" s="28">
        <v>1</v>
      </c>
      <c r="BK226" s="56">
        <v>49.300206270627065</v>
      </c>
      <c r="BL226" s="59">
        <v>0.2</v>
      </c>
      <c r="BM226" s="59">
        <v>3</v>
      </c>
      <c r="BN226" s="56">
        <v>44.370185643564355</v>
      </c>
      <c r="BO226" s="59">
        <v>0.15</v>
      </c>
    </row>
    <row r="227" spans="1:67" s="50" customFormat="1" ht="15" customHeight="1" x14ac:dyDescent="0.25">
      <c r="A227" s="50">
        <v>226</v>
      </c>
      <c r="B227" s="52">
        <v>7036</v>
      </c>
      <c r="C227" s="68">
        <v>7036</v>
      </c>
      <c r="D227" s="22" t="s">
        <v>4</v>
      </c>
      <c r="E227" s="39" t="s">
        <v>465</v>
      </c>
      <c r="F227" s="39">
        <v>20.637</v>
      </c>
      <c r="G227" s="56">
        <v>20.637</v>
      </c>
      <c r="H227" s="67">
        <v>40.601129747899158</v>
      </c>
      <c r="I227" s="36">
        <v>41.986876640419943</v>
      </c>
      <c r="J227" s="67">
        <v>24.463428125203357</v>
      </c>
      <c r="K227" s="67">
        <v>9.905191340032772</v>
      </c>
      <c r="L227" s="36">
        <v>28766</v>
      </c>
      <c r="M227" s="36" t="s">
        <v>137</v>
      </c>
      <c r="N227" s="36">
        <v>100</v>
      </c>
      <c r="O227" s="43">
        <v>11.302480670103094</v>
      </c>
      <c r="P227" s="36">
        <v>27.923775773195882</v>
      </c>
      <c r="Q227" s="43">
        <v>24.994950044227892</v>
      </c>
      <c r="R227" s="43">
        <v>9.9762206893559799</v>
      </c>
      <c r="S227" s="43">
        <v>5.926876785429446</v>
      </c>
      <c r="T227" s="36">
        <v>28766</v>
      </c>
      <c r="U227" s="36" t="s">
        <v>137</v>
      </c>
      <c r="V227" s="36">
        <v>100</v>
      </c>
      <c r="W227" s="36">
        <v>1</v>
      </c>
      <c r="X227" s="102">
        <v>3</v>
      </c>
      <c r="Y227" s="29">
        <v>39</v>
      </c>
      <c r="Z227" s="45">
        <v>4</v>
      </c>
      <c r="AA227" s="45">
        <v>85</v>
      </c>
      <c r="AB227" s="50">
        <v>28675</v>
      </c>
      <c r="AC227" s="50" t="s">
        <v>375</v>
      </c>
      <c r="AD227" s="50">
        <v>100</v>
      </c>
      <c r="AE227" s="42">
        <v>40</v>
      </c>
      <c r="AF227" s="43">
        <v>0.5</v>
      </c>
      <c r="AG227" s="45">
        <v>0</v>
      </c>
      <c r="AH227" s="63">
        <v>6.8000000000000005E-2</v>
      </c>
      <c r="AI227" s="46">
        <v>26857</v>
      </c>
      <c r="AJ227" s="47" t="s">
        <v>415</v>
      </c>
      <c r="AK227" s="46">
        <v>100</v>
      </c>
      <c r="AL227" s="34">
        <v>17</v>
      </c>
      <c r="AM227" s="43">
        <v>0.89405384873949578</v>
      </c>
      <c r="AN227" s="57">
        <v>0.89405384873949578</v>
      </c>
      <c r="AO227" s="57">
        <v>0.68757952941176459</v>
      </c>
      <c r="AP227" s="57">
        <v>1.0263577815126048</v>
      </c>
      <c r="AQ227" s="87">
        <v>0.79925876288659803</v>
      </c>
      <c r="AR227" s="46">
        <v>28766</v>
      </c>
      <c r="AS227" s="46" t="s">
        <v>137</v>
      </c>
      <c r="AT227" s="46">
        <v>100</v>
      </c>
      <c r="AU227" s="44">
        <v>-1</v>
      </c>
      <c r="AV227" s="48">
        <v>-1</v>
      </c>
      <c r="AW227" s="48">
        <v>-1</v>
      </c>
      <c r="AX227" s="48">
        <v>-1</v>
      </c>
      <c r="AY227" s="48">
        <v>-1</v>
      </c>
      <c r="AZ227" s="59">
        <v>1</v>
      </c>
      <c r="BA227" s="43">
        <v>90</v>
      </c>
      <c r="BB227" s="59">
        <v>1</v>
      </c>
      <c r="BC227" s="59">
        <v>-1</v>
      </c>
      <c r="BD227" s="59">
        <v>-1</v>
      </c>
      <c r="BE227" s="59">
        <v>-1</v>
      </c>
      <c r="BF227" s="61">
        <v>21</v>
      </c>
      <c r="BG227" s="59">
        <v>39</v>
      </c>
      <c r="BH227" s="59">
        <v>-1</v>
      </c>
      <c r="BI227" s="59">
        <v>40</v>
      </c>
      <c r="BJ227" s="28">
        <v>1</v>
      </c>
      <c r="BK227" s="56">
        <v>49.205445544554458</v>
      </c>
      <c r="BL227" s="59">
        <v>0.2</v>
      </c>
      <c r="BM227" s="59">
        <v>3</v>
      </c>
      <c r="BN227" s="56">
        <v>44.284900990099004</v>
      </c>
      <c r="BO227" s="59">
        <v>0.15</v>
      </c>
    </row>
    <row r="228" spans="1:67" s="50" customFormat="1" ht="15" customHeight="1" x14ac:dyDescent="0.25">
      <c r="A228" s="50">
        <v>227</v>
      </c>
      <c r="B228" s="52">
        <v>7037</v>
      </c>
      <c r="C228" s="68">
        <v>7037</v>
      </c>
      <c r="D228" s="22" t="s">
        <v>4</v>
      </c>
      <c r="E228" s="39" t="s">
        <v>466</v>
      </c>
      <c r="F228" s="39">
        <v>18.0075</v>
      </c>
      <c r="G228" s="56">
        <v>18.0075</v>
      </c>
      <c r="H228" s="67">
        <v>35.427864705882349</v>
      </c>
      <c r="I228" s="36">
        <v>42.506889763779526</v>
      </c>
      <c r="J228" s="67">
        <v>24.766410978069889</v>
      </c>
      <c r="K228" s="67">
        <v>10.027868469134727</v>
      </c>
      <c r="L228" s="36">
        <v>28766</v>
      </c>
      <c r="M228" s="36" t="s">
        <v>137</v>
      </c>
      <c r="N228" s="36">
        <v>100</v>
      </c>
      <c r="O228" s="43">
        <v>9.862355025773196</v>
      </c>
      <c r="P228" s="36">
        <v>24.365818298969071</v>
      </c>
      <c r="Q228" s="43">
        <v>25.304515867664328</v>
      </c>
      <c r="R228" s="43">
        <v>10.099777526517862</v>
      </c>
      <c r="S228" s="43">
        <v>6.0002819528429114</v>
      </c>
      <c r="T228" s="36">
        <v>28766</v>
      </c>
      <c r="U228" s="36" t="s">
        <v>137</v>
      </c>
      <c r="V228" s="36">
        <v>100</v>
      </c>
      <c r="W228" s="36">
        <v>1</v>
      </c>
      <c r="X228" s="102">
        <v>3</v>
      </c>
      <c r="Y228" s="29">
        <v>42</v>
      </c>
      <c r="Z228" s="45">
        <v>4</v>
      </c>
      <c r="AA228" s="45">
        <v>85</v>
      </c>
      <c r="AB228" s="50">
        <v>28675</v>
      </c>
      <c r="AC228" s="50" t="s">
        <v>375</v>
      </c>
      <c r="AD228" s="50">
        <v>100</v>
      </c>
      <c r="AE228" s="42">
        <v>40</v>
      </c>
      <c r="AF228" s="43">
        <v>0.5</v>
      </c>
      <c r="AG228" s="45">
        <v>0</v>
      </c>
      <c r="AH228" s="63">
        <v>0</v>
      </c>
      <c r="AI228" s="46">
        <v>505272</v>
      </c>
      <c r="AJ228" s="47" t="s">
        <v>417</v>
      </c>
      <c r="AK228" s="46">
        <v>100</v>
      </c>
      <c r="AL228" s="34">
        <v>17.012435567010311</v>
      </c>
      <c r="AM228" s="43">
        <v>0.8996082352941176</v>
      </c>
      <c r="AN228" s="57">
        <v>0.8996082352941176</v>
      </c>
      <c r="AO228" s="57">
        <v>0.69185117647058803</v>
      </c>
      <c r="AP228" s="57">
        <v>1.0327341176470586</v>
      </c>
      <c r="AQ228" s="87">
        <v>0.80422422680412375</v>
      </c>
      <c r="AR228" s="46">
        <v>28766</v>
      </c>
      <c r="AS228" s="46" t="s">
        <v>137</v>
      </c>
      <c r="AT228" s="46">
        <v>100</v>
      </c>
      <c r="AU228" s="44">
        <v>-1</v>
      </c>
      <c r="AV228" s="48">
        <v>-1</v>
      </c>
      <c r="AW228" s="48">
        <v>-1</v>
      </c>
      <c r="AX228" s="48">
        <v>-1</v>
      </c>
      <c r="AY228" s="48">
        <v>-1</v>
      </c>
      <c r="AZ228" s="59">
        <v>1</v>
      </c>
      <c r="BA228" s="43">
        <v>90</v>
      </c>
      <c r="BB228" s="59">
        <v>1</v>
      </c>
      <c r="BC228" s="59">
        <v>-1</v>
      </c>
      <c r="BD228" s="59">
        <v>-1</v>
      </c>
      <c r="BE228" s="59">
        <v>-1</v>
      </c>
      <c r="BF228" s="61">
        <v>18</v>
      </c>
      <c r="BG228" s="59">
        <v>42</v>
      </c>
      <c r="BH228" s="59">
        <v>-1</v>
      </c>
      <c r="BI228" s="59">
        <v>40</v>
      </c>
      <c r="BJ228" s="28">
        <v>1</v>
      </c>
      <c r="BK228" s="56">
        <v>49.511138613861384</v>
      </c>
      <c r="BL228" s="59">
        <v>0.2</v>
      </c>
      <c r="BM228" s="59">
        <v>3</v>
      </c>
      <c r="BN228" s="56">
        <v>44.56002475247525</v>
      </c>
      <c r="BO228" s="59">
        <v>0.15</v>
      </c>
    </row>
    <row r="229" spans="1:67" s="50" customFormat="1" ht="15" customHeight="1" x14ac:dyDescent="0.25">
      <c r="A229" s="50">
        <v>228</v>
      </c>
      <c r="B229" s="52">
        <v>7038</v>
      </c>
      <c r="C229" s="68">
        <v>7038</v>
      </c>
      <c r="D229" s="22" t="s">
        <v>4</v>
      </c>
      <c r="E229" s="33" t="s">
        <v>469</v>
      </c>
      <c r="F229" s="39">
        <v>13.848000000000001</v>
      </c>
      <c r="G229" s="56">
        <v>13.848000000000001</v>
      </c>
      <c r="H229" s="67">
        <v>27.244485378151257</v>
      </c>
      <c r="I229" s="36">
        <v>30.50505249343832</v>
      </c>
      <c r="J229" s="67">
        <v>17.773604965185136</v>
      </c>
      <c r="K229" s="67">
        <v>7.1964958092255049</v>
      </c>
      <c r="L229" s="36">
        <v>28766</v>
      </c>
      <c r="M229" s="36" t="s">
        <v>137</v>
      </c>
      <c r="N229" s="36">
        <v>100</v>
      </c>
      <c r="O229" s="43">
        <v>7.5842783505154658</v>
      </c>
      <c r="P229" s="36">
        <v>18.737628865979385</v>
      </c>
      <c r="Q229" s="43">
        <v>18.159775724684966</v>
      </c>
      <c r="R229" s="43">
        <v>7.2481013155896843</v>
      </c>
      <c r="S229" s="43">
        <v>4.3060999514218183</v>
      </c>
      <c r="T229" s="36">
        <v>28766</v>
      </c>
      <c r="U229" s="36" t="s">
        <v>137</v>
      </c>
      <c r="V229" s="36">
        <v>100</v>
      </c>
      <c r="W229" s="36">
        <v>1</v>
      </c>
      <c r="X229" s="102">
        <v>3</v>
      </c>
      <c r="Y229" s="29">
        <v>46</v>
      </c>
      <c r="Z229" s="45">
        <v>4</v>
      </c>
      <c r="AA229" s="45">
        <v>85</v>
      </c>
      <c r="AB229" s="50">
        <v>28675</v>
      </c>
      <c r="AC229" s="50" t="s">
        <v>375</v>
      </c>
      <c r="AD229" s="50">
        <v>100</v>
      </c>
      <c r="AE229" s="42">
        <v>40</v>
      </c>
      <c r="AF229" s="43">
        <v>0.5</v>
      </c>
      <c r="AG229" s="45">
        <v>0</v>
      </c>
      <c r="AH229" s="63">
        <v>0.48799999999999999</v>
      </c>
      <c r="AI229" s="50">
        <v>41088</v>
      </c>
      <c r="AJ229" s="50" t="s">
        <v>420</v>
      </c>
      <c r="AK229" s="50">
        <v>100</v>
      </c>
      <c r="AL229" s="34">
        <v>16.96721649484536</v>
      </c>
      <c r="AM229" s="43">
        <v>0.89721707563025199</v>
      </c>
      <c r="AN229" s="57">
        <v>0.89721707563025199</v>
      </c>
      <c r="AO229" s="57">
        <v>0.69001223529411759</v>
      </c>
      <c r="AP229" s="57">
        <v>1.0299891092436972</v>
      </c>
      <c r="AQ229" s="87">
        <v>0.80208659793814441</v>
      </c>
      <c r="AR229" s="46">
        <v>28766</v>
      </c>
      <c r="AS229" s="46" t="s">
        <v>137</v>
      </c>
      <c r="AT229" s="46">
        <v>100</v>
      </c>
      <c r="AU229" s="44">
        <v>-1</v>
      </c>
      <c r="AV229" s="48">
        <v>-1</v>
      </c>
      <c r="AW229" s="48">
        <v>-1</v>
      </c>
      <c r="AX229" s="48">
        <v>-1</v>
      </c>
      <c r="AY229" s="48">
        <v>-1</v>
      </c>
      <c r="AZ229" s="59">
        <v>1</v>
      </c>
      <c r="BA229" s="43">
        <v>90</v>
      </c>
      <c r="BB229" s="59">
        <v>1</v>
      </c>
      <c r="BC229" s="59">
        <v>-1</v>
      </c>
      <c r="BD229" s="59">
        <v>-1</v>
      </c>
      <c r="BE229" s="59">
        <v>-1</v>
      </c>
      <c r="BF229" s="61">
        <v>14</v>
      </c>
      <c r="BG229" s="59">
        <v>46</v>
      </c>
      <c r="BH229" s="59">
        <v>-1</v>
      </c>
      <c r="BI229" s="59">
        <v>40</v>
      </c>
      <c r="BJ229" s="28">
        <v>1</v>
      </c>
      <c r="BK229" s="56">
        <v>49.379537953795378</v>
      </c>
      <c r="BL229" s="59">
        <v>0.2</v>
      </c>
      <c r="BM229" s="59">
        <v>3</v>
      </c>
      <c r="BN229" s="56">
        <v>44.441584158415843</v>
      </c>
      <c r="BO229" s="59">
        <v>0.15</v>
      </c>
    </row>
    <row r="230" spans="1:67" s="50" customFormat="1" ht="15" customHeight="1" x14ac:dyDescent="0.25">
      <c r="A230" s="50">
        <v>229</v>
      </c>
      <c r="B230" s="52">
        <v>7039</v>
      </c>
      <c r="C230" s="68">
        <v>7039</v>
      </c>
      <c r="D230" s="22" t="s">
        <v>4</v>
      </c>
      <c r="E230" s="39" t="s">
        <v>467</v>
      </c>
      <c r="F230" s="39">
        <v>9.9200499999999998</v>
      </c>
      <c r="G230" s="56">
        <v>9.9200499999999998</v>
      </c>
      <c r="H230" s="67">
        <v>19.516656352941176</v>
      </c>
      <c r="I230" s="36">
        <v>40.350721784776901</v>
      </c>
      <c r="J230" s="67">
        <v>23.510131287824557</v>
      </c>
      <c r="K230" s="67">
        <v>9.5192034265744407</v>
      </c>
      <c r="L230" s="36">
        <v>28766</v>
      </c>
      <c r="M230" s="36" t="s">
        <v>137</v>
      </c>
      <c r="N230" s="36">
        <v>100</v>
      </c>
      <c r="O230" s="43">
        <v>5.4330170747422688</v>
      </c>
      <c r="P230" s="36">
        <v>13.422748067010311</v>
      </c>
      <c r="Q230" s="43">
        <v>24.02094073099288</v>
      </c>
      <c r="R230" s="43">
        <v>9.5874648868788093</v>
      </c>
      <c r="S230" s="43">
        <v>5.69591680442569</v>
      </c>
      <c r="T230" s="36">
        <v>28766</v>
      </c>
      <c r="U230" s="36" t="s">
        <v>137</v>
      </c>
      <c r="V230" s="36">
        <v>100</v>
      </c>
      <c r="W230" s="36">
        <v>1</v>
      </c>
      <c r="X230" s="102">
        <v>3</v>
      </c>
      <c r="Y230" s="29">
        <v>50</v>
      </c>
      <c r="Z230" s="45">
        <v>4</v>
      </c>
      <c r="AA230" s="45">
        <v>85</v>
      </c>
      <c r="AB230" s="50">
        <v>28675</v>
      </c>
      <c r="AC230" s="50" t="s">
        <v>375</v>
      </c>
      <c r="AD230" s="50">
        <v>100</v>
      </c>
      <c r="AE230" s="42">
        <v>40</v>
      </c>
      <c r="AF230" s="66">
        <v>10</v>
      </c>
      <c r="AG230" s="62">
        <v>100</v>
      </c>
      <c r="AH230" s="63">
        <v>1.62</v>
      </c>
      <c r="AI230" s="50">
        <v>42058</v>
      </c>
      <c r="AJ230" s="50" t="s">
        <v>421</v>
      </c>
      <c r="AK230" s="58">
        <v>100</v>
      </c>
      <c r="AL230" s="34">
        <v>16.987643041237117</v>
      </c>
      <c r="AM230" s="43">
        <v>0.89829722016806723</v>
      </c>
      <c r="AN230" s="57">
        <v>0.89829722016806723</v>
      </c>
      <c r="AO230" s="57">
        <v>0.69084292941176462</v>
      </c>
      <c r="AP230" s="57">
        <v>1.031229095798319</v>
      </c>
      <c r="AQ230" s="87">
        <v>0.80305221649484548</v>
      </c>
      <c r="AR230" s="46">
        <v>28766</v>
      </c>
      <c r="AS230" s="46" t="s">
        <v>137</v>
      </c>
      <c r="AT230" s="46">
        <v>100</v>
      </c>
      <c r="AU230" s="44">
        <v>-1</v>
      </c>
      <c r="AV230" s="48">
        <v>-1</v>
      </c>
      <c r="AW230" s="48">
        <v>-1</v>
      </c>
      <c r="AX230" s="48">
        <v>-1</v>
      </c>
      <c r="AY230" s="48">
        <v>-1</v>
      </c>
      <c r="AZ230" s="59">
        <v>1</v>
      </c>
      <c r="BA230" s="43">
        <v>90</v>
      </c>
      <c r="BB230" s="59">
        <v>1</v>
      </c>
      <c r="BC230" s="59">
        <v>-1</v>
      </c>
      <c r="BD230" s="59">
        <v>-1</v>
      </c>
      <c r="BE230" s="59">
        <v>-1</v>
      </c>
      <c r="BF230" s="61">
        <v>10</v>
      </c>
      <c r="BG230" s="59">
        <v>50</v>
      </c>
      <c r="BH230" s="59">
        <v>-1</v>
      </c>
      <c r="BI230" s="59">
        <v>40</v>
      </c>
      <c r="BJ230" s="28">
        <v>1</v>
      </c>
      <c r="BK230" s="56">
        <v>49.438985148514845</v>
      </c>
      <c r="BL230" s="59">
        <v>0.2</v>
      </c>
      <c r="BM230" s="59">
        <v>3</v>
      </c>
      <c r="BN230" s="56">
        <v>44.495086633663362</v>
      </c>
      <c r="BO230" s="59">
        <v>0.15</v>
      </c>
    </row>
    <row r="231" spans="1:67" s="50" customFormat="1" ht="15" customHeight="1" x14ac:dyDescent="0.25">
      <c r="A231" s="50">
        <v>230</v>
      </c>
      <c r="B231" s="52" t="s">
        <v>296</v>
      </c>
      <c r="C231" s="68">
        <v>917040</v>
      </c>
      <c r="D231" s="22" t="s">
        <v>4</v>
      </c>
      <c r="E231" s="6" t="s">
        <v>17</v>
      </c>
      <c r="F231" s="39">
        <v>22.1</v>
      </c>
      <c r="G231" s="36">
        <v>22.1</v>
      </c>
      <c r="H231" s="36">
        <v>19.573227448878193</v>
      </c>
      <c r="I231" s="36">
        <v>53.445866141732274</v>
      </c>
      <c r="J231" s="36">
        <v>34.664803637189607</v>
      </c>
      <c r="K231" s="36">
        <v>9.8553493841973108</v>
      </c>
      <c r="L231" s="36">
        <v>195176</v>
      </c>
      <c r="M231" s="36" t="s">
        <v>372</v>
      </c>
      <c r="N231" s="36">
        <v>100</v>
      </c>
      <c r="O231" s="36">
        <v>13.884816753926701</v>
      </c>
      <c r="P231" s="36">
        <v>57.761702414676918</v>
      </c>
      <c r="Q231" s="36">
        <v>25.157518532178482</v>
      </c>
      <c r="R231" s="36">
        <v>9.9745855067008318</v>
      </c>
      <c r="S231" s="36">
        <v>4.3651900147476619</v>
      </c>
      <c r="T231" s="36">
        <v>195176</v>
      </c>
      <c r="U231" s="36" t="s">
        <v>372</v>
      </c>
      <c r="V231" s="36">
        <v>100</v>
      </c>
      <c r="W231" s="36">
        <v>-1</v>
      </c>
      <c r="X231" s="102">
        <v>-1</v>
      </c>
      <c r="Y231" s="29">
        <v>1.8560999999999999</v>
      </c>
      <c r="Z231" s="43">
        <v>0.29520000000000002</v>
      </c>
      <c r="AA231" s="36">
        <v>85</v>
      </c>
      <c r="AB231" s="50">
        <v>19092</v>
      </c>
      <c r="AC231" s="50" t="s">
        <v>160</v>
      </c>
      <c r="AD231" s="50">
        <v>100</v>
      </c>
      <c r="AE231" s="42">
        <v>60</v>
      </c>
      <c r="AF231" s="43">
        <v>0.8</v>
      </c>
      <c r="AG231" s="36">
        <v>70</v>
      </c>
      <c r="AH231" s="35">
        <v>0.50454194885910131</v>
      </c>
      <c r="AI231" s="50">
        <v>40450</v>
      </c>
      <c r="AJ231" s="50" t="s">
        <v>148</v>
      </c>
      <c r="AK231" s="50">
        <v>100</v>
      </c>
      <c r="AL231" s="34">
        <v>7</v>
      </c>
      <c r="AM231" s="43">
        <v>0.9</v>
      </c>
      <c r="AN231" s="35">
        <v>5.2124832446721565E-2</v>
      </c>
      <c r="AO231" s="35">
        <v>7.6380942595195955E-2</v>
      </c>
      <c r="AP231" s="35">
        <v>0.15740667224009977</v>
      </c>
      <c r="AQ231" s="84">
        <v>0.15069753539052178</v>
      </c>
      <c r="AR231" s="46">
        <v>195176</v>
      </c>
      <c r="AS231" s="50" t="s">
        <v>372</v>
      </c>
      <c r="AT231" s="50">
        <v>100</v>
      </c>
      <c r="AU231" s="44">
        <v>-1</v>
      </c>
      <c r="AV231" s="48">
        <v>-1</v>
      </c>
      <c r="AW231" s="48">
        <v>-1</v>
      </c>
      <c r="AX231" s="48">
        <v>-1</v>
      </c>
      <c r="AY231" s="48">
        <v>-1</v>
      </c>
      <c r="AZ231" s="45">
        <v>1</v>
      </c>
      <c r="BA231" s="36">
        <v>23</v>
      </c>
      <c r="BB231" s="43">
        <v>1.0433070866141732</v>
      </c>
      <c r="BC231" s="45">
        <v>-1</v>
      </c>
      <c r="BD231" s="45">
        <v>-1</v>
      </c>
      <c r="BE231" s="45">
        <v>-1</v>
      </c>
      <c r="BF231" s="45">
        <v>-1</v>
      </c>
      <c r="BG231" s="45">
        <v>100</v>
      </c>
      <c r="BH231" s="45">
        <v>-1</v>
      </c>
      <c r="BI231" s="45">
        <v>-1</v>
      </c>
      <c r="BJ231" s="28">
        <v>1</v>
      </c>
      <c r="BK231" s="36">
        <v>23</v>
      </c>
      <c r="BL231" s="43">
        <v>0.72834645669291342</v>
      </c>
      <c r="BM231" s="45">
        <v>3</v>
      </c>
      <c r="BN231" s="36">
        <v>23</v>
      </c>
      <c r="BO231" s="43">
        <v>0.72834645669291342</v>
      </c>
    </row>
    <row r="232" spans="1:67" s="50" customFormat="1" ht="15" customHeight="1" x14ac:dyDescent="0.25">
      <c r="A232" s="50">
        <v>231</v>
      </c>
      <c r="B232" s="52" t="s">
        <v>297</v>
      </c>
      <c r="C232" s="68">
        <v>927040</v>
      </c>
      <c r="D232" s="22" t="s">
        <v>4</v>
      </c>
      <c r="E232" s="6" t="s">
        <v>17</v>
      </c>
      <c r="F232" s="39">
        <v>55</v>
      </c>
      <c r="G232" s="36">
        <v>55</v>
      </c>
      <c r="H232" s="36">
        <v>48.711652022095052</v>
      </c>
      <c r="I232" s="36">
        <v>67.323818897637793</v>
      </c>
      <c r="J232" s="36">
        <v>43.665995719920566</v>
      </c>
      <c r="K232" s="36">
        <v>12.414426128956748</v>
      </c>
      <c r="L232" s="36">
        <v>195176</v>
      </c>
      <c r="M232" s="36" t="s">
        <v>372</v>
      </c>
      <c r="N232" s="36">
        <v>100</v>
      </c>
      <c r="O232" s="36">
        <v>34.554973821989527</v>
      </c>
      <c r="P232" s="36">
        <v>143.75084311344932</v>
      </c>
      <c r="Q232" s="36">
        <v>31.690013537863766</v>
      </c>
      <c r="R232" s="36">
        <v>12.564623547335108</v>
      </c>
      <c r="S232" s="36">
        <v>5.4986715198385827</v>
      </c>
      <c r="T232" s="36">
        <v>195176</v>
      </c>
      <c r="U232" s="36" t="s">
        <v>372</v>
      </c>
      <c r="V232" s="36">
        <v>100</v>
      </c>
      <c r="W232" s="36">
        <v>-1</v>
      </c>
      <c r="X232" s="102">
        <v>-1</v>
      </c>
      <c r="Y232" s="29">
        <v>1.3014000000000001</v>
      </c>
      <c r="Z232" s="47">
        <v>0.29520000000000002</v>
      </c>
      <c r="AA232" s="46">
        <v>85</v>
      </c>
      <c r="AB232" s="50">
        <v>19092</v>
      </c>
      <c r="AC232" s="50" t="s">
        <v>160</v>
      </c>
      <c r="AD232" s="50">
        <v>100</v>
      </c>
      <c r="AE232" s="42">
        <v>42</v>
      </c>
      <c r="AF232" s="43">
        <v>0.8</v>
      </c>
      <c r="AG232" s="36">
        <v>70</v>
      </c>
      <c r="AH232" s="35">
        <v>0.35375836013427858</v>
      </c>
      <c r="AI232" s="50">
        <v>40450</v>
      </c>
      <c r="AJ232" s="50" t="s">
        <v>148</v>
      </c>
      <c r="AK232" s="50">
        <v>100</v>
      </c>
      <c r="AL232" s="34">
        <v>17</v>
      </c>
      <c r="AM232" s="43">
        <v>0.9</v>
      </c>
      <c r="AN232" s="35">
        <v>0.12972243369093603</v>
      </c>
      <c r="AO232" s="35">
        <v>0.19008831867582701</v>
      </c>
      <c r="AP232" s="35">
        <v>0.39173606213599488</v>
      </c>
      <c r="AQ232" s="83">
        <v>0.37503911522528033</v>
      </c>
      <c r="AR232" s="46">
        <v>195176</v>
      </c>
      <c r="AS232" s="50" t="s">
        <v>372</v>
      </c>
      <c r="AT232" s="50">
        <v>100</v>
      </c>
      <c r="AU232" s="44">
        <v>-1</v>
      </c>
      <c r="AV232" s="48">
        <v>-1</v>
      </c>
      <c r="AW232" s="48">
        <v>-1</v>
      </c>
      <c r="AX232" s="48">
        <v>-1</v>
      </c>
      <c r="AY232" s="48">
        <v>-1</v>
      </c>
      <c r="AZ232" s="45">
        <v>1</v>
      </c>
      <c r="BA232" s="36">
        <v>58</v>
      </c>
      <c r="BB232" s="43">
        <v>1.0433070866141732</v>
      </c>
      <c r="BC232" s="45">
        <v>-1</v>
      </c>
      <c r="BD232" s="45">
        <v>-1</v>
      </c>
      <c r="BE232" s="45">
        <v>-1</v>
      </c>
      <c r="BF232" s="45">
        <v>-1</v>
      </c>
      <c r="BG232" s="45">
        <v>100</v>
      </c>
      <c r="BH232" s="45">
        <v>-1</v>
      </c>
      <c r="BI232" s="45">
        <v>-1</v>
      </c>
      <c r="BJ232" s="28">
        <v>1</v>
      </c>
      <c r="BK232" s="36">
        <v>58</v>
      </c>
      <c r="BL232" s="43">
        <v>0.72834645669291342</v>
      </c>
      <c r="BM232" s="45">
        <v>3</v>
      </c>
      <c r="BN232" s="36">
        <v>58</v>
      </c>
      <c r="BO232" s="43">
        <v>0.72834645669291342</v>
      </c>
    </row>
    <row r="233" spans="1:67" s="50" customFormat="1" ht="15" customHeight="1" x14ac:dyDescent="0.25">
      <c r="A233" s="50">
        <v>232</v>
      </c>
      <c r="B233" s="52" t="s">
        <v>298</v>
      </c>
      <c r="C233" s="68">
        <v>937040</v>
      </c>
      <c r="D233" s="22" t="s">
        <v>4</v>
      </c>
      <c r="E233" s="6" t="s">
        <v>17</v>
      </c>
      <c r="F233" s="39">
        <v>78</v>
      </c>
      <c r="G233" s="36">
        <v>78</v>
      </c>
      <c r="H233" s="36">
        <v>69.081979231334799</v>
      </c>
      <c r="I233" s="36">
        <v>91.848097112860884</v>
      </c>
      <c r="J233" s="36">
        <v>59.572357615526677</v>
      </c>
      <c r="K233" s="36">
        <v>16.936671676729034</v>
      </c>
      <c r="L233" s="36">
        <v>195176</v>
      </c>
      <c r="M233" s="36" t="s">
        <v>372</v>
      </c>
      <c r="N233" s="36">
        <v>100</v>
      </c>
      <c r="O233" s="36">
        <v>49.005235602094238</v>
      </c>
      <c r="P233" s="36">
        <v>203.86483205180087</v>
      </c>
      <c r="Q233" s="36">
        <v>43.233843364695325</v>
      </c>
      <c r="R233" s="36">
        <v>17.141582023396854</v>
      </c>
      <c r="S233" s="36">
        <v>7.5016914372273842</v>
      </c>
      <c r="T233" s="36">
        <v>195176</v>
      </c>
      <c r="U233" s="36" t="s">
        <v>372</v>
      </c>
      <c r="V233" s="36">
        <v>100</v>
      </c>
      <c r="W233" s="36">
        <v>-1</v>
      </c>
      <c r="X233" s="102">
        <v>-1</v>
      </c>
      <c r="Y233" s="29">
        <v>0.7077</v>
      </c>
      <c r="Z233" s="47">
        <v>0.29520000000000002</v>
      </c>
      <c r="AA233" s="46">
        <v>85</v>
      </c>
      <c r="AB233" s="50">
        <v>19092</v>
      </c>
      <c r="AC233" s="50" t="s">
        <v>160</v>
      </c>
      <c r="AD233" s="50">
        <v>100</v>
      </c>
      <c r="AE233" s="42">
        <v>23</v>
      </c>
      <c r="AF233" s="43">
        <v>0.8</v>
      </c>
      <c r="AG233" s="36">
        <v>70</v>
      </c>
      <c r="AH233" s="35">
        <v>0.19237343742663976</v>
      </c>
      <c r="AI233" s="50">
        <v>40450</v>
      </c>
      <c r="AJ233" s="50" t="s">
        <v>148</v>
      </c>
      <c r="AK233" s="50">
        <v>100</v>
      </c>
      <c r="AL233" s="34">
        <v>24</v>
      </c>
      <c r="AM233" s="43">
        <v>0.9</v>
      </c>
      <c r="AN233" s="35">
        <v>0.183969996870782</v>
      </c>
      <c r="AO233" s="35">
        <v>0.2695797973948092</v>
      </c>
      <c r="AP233" s="35">
        <v>0.5555529608474109</v>
      </c>
      <c r="AQ233" s="83">
        <v>0.53187365431948852</v>
      </c>
      <c r="AR233" s="46">
        <v>195176</v>
      </c>
      <c r="AS233" s="50" t="s">
        <v>372</v>
      </c>
      <c r="AT233" s="50">
        <v>100</v>
      </c>
      <c r="AU233" s="44">
        <v>-1</v>
      </c>
      <c r="AV233" s="48">
        <v>-1</v>
      </c>
      <c r="AW233" s="48">
        <v>-1</v>
      </c>
      <c r="AX233" s="48">
        <v>-1</v>
      </c>
      <c r="AY233" s="48">
        <v>-1</v>
      </c>
      <c r="AZ233" s="45">
        <v>1</v>
      </c>
      <c r="BA233" s="36">
        <v>82</v>
      </c>
      <c r="BB233" s="43">
        <v>1.0433070866141732</v>
      </c>
      <c r="BC233" s="45">
        <v>-1</v>
      </c>
      <c r="BD233" s="45">
        <v>-1</v>
      </c>
      <c r="BE233" s="45">
        <v>-1</v>
      </c>
      <c r="BF233" s="45">
        <v>-1</v>
      </c>
      <c r="BG233" s="45">
        <v>100</v>
      </c>
      <c r="BH233" s="45">
        <v>-1</v>
      </c>
      <c r="BI233" s="45">
        <v>-1</v>
      </c>
      <c r="BJ233" s="28">
        <v>1</v>
      </c>
      <c r="BK233" s="36">
        <v>82</v>
      </c>
      <c r="BL233" s="43">
        <v>0.72834645669291342</v>
      </c>
      <c r="BM233" s="45">
        <v>3</v>
      </c>
      <c r="BN233" s="36">
        <v>82</v>
      </c>
      <c r="BO233" s="43">
        <v>0.72834645669291342</v>
      </c>
    </row>
    <row r="234" spans="1:67" s="50" customFormat="1" ht="15" customHeight="1" x14ac:dyDescent="0.25">
      <c r="A234" s="50">
        <v>233</v>
      </c>
      <c r="B234" s="52" t="s">
        <v>299</v>
      </c>
      <c r="C234" s="69">
        <v>917043</v>
      </c>
      <c r="D234" s="22" t="s">
        <v>4</v>
      </c>
      <c r="E234" s="75" t="s">
        <v>404</v>
      </c>
      <c r="F234" s="39">
        <v>18</v>
      </c>
      <c r="G234" s="36">
        <v>18</v>
      </c>
      <c r="H234" s="36">
        <v>3</v>
      </c>
      <c r="I234" s="43">
        <v>47</v>
      </c>
      <c r="J234" s="36">
        <v>29</v>
      </c>
      <c r="K234" s="36">
        <v>17</v>
      </c>
      <c r="L234" s="36">
        <v>27189</v>
      </c>
      <c r="M234" s="36" t="s">
        <v>401</v>
      </c>
      <c r="N234" s="36">
        <v>100</v>
      </c>
      <c r="O234" s="36">
        <v>8</v>
      </c>
      <c r="P234" s="36">
        <v>21</v>
      </c>
      <c r="Q234" s="36">
        <v>23</v>
      </c>
      <c r="R234" s="36">
        <v>11</v>
      </c>
      <c r="S234" s="36">
        <v>6</v>
      </c>
      <c r="T234" s="45">
        <v>27189</v>
      </c>
      <c r="U234" s="36" t="s">
        <v>401</v>
      </c>
      <c r="V234" s="36">
        <v>100</v>
      </c>
      <c r="W234" s="36">
        <v>1</v>
      </c>
      <c r="X234" s="102">
        <v>4</v>
      </c>
      <c r="Y234" s="81">
        <v>-1</v>
      </c>
      <c r="Z234" s="10">
        <v>-1</v>
      </c>
      <c r="AA234" s="10">
        <v>-1</v>
      </c>
      <c r="AB234" s="10">
        <v>-1</v>
      </c>
      <c r="AC234" s="10">
        <v>-1</v>
      </c>
      <c r="AD234" s="10">
        <v>-1</v>
      </c>
      <c r="AE234" s="42">
        <v>66</v>
      </c>
      <c r="AF234" s="43">
        <v>0.5</v>
      </c>
      <c r="AG234" s="45">
        <v>80</v>
      </c>
      <c r="AH234" s="35">
        <v>0.55000000000000004</v>
      </c>
      <c r="AI234" s="50">
        <v>39369</v>
      </c>
      <c r="AJ234" s="50" t="s">
        <v>391</v>
      </c>
      <c r="AK234" s="50">
        <v>100</v>
      </c>
      <c r="AL234" s="34">
        <v>16.7</v>
      </c>
      <c r="AM234" s="43">
        <v>3</v>
      </c>
      <c r="AN234" s="35">
        <v>0.2</v>
      </c>
      <c r="AO234" s="35">
        <v>0.7</v>
      </c>
      <c r="AP234" s="35">
        <v>0.9</v>
      </c>
      <c r="AQ234" s="83">
        <v>0.8</v>
      </c>
      <c r="AR234" s="46">
        <v>27189</v>
      </c>
      <c r="AS234" s="50" t="s">
        <v>401</v>
      </c>
      <c r="AT234" s="50">
        <v>100</v>
      </c>
      <c r="AU234" s="44">
        <v>-1</v>
      </c>
      <c r="AV234" s="48">
        <v>-1</v>
      </c>
      <c r="AW234" s="48">
        <v>-1</v>
      </c>
      <c r="AX234" s="48">
        <v>-1</v>
      </c>
      <c r="AY234" s="48">
        <v>-1</v>
      </c>
      <c r="AZ234" s="45">
        <v>1</v>
      </c>
      <c r="BA234" s="45">
        <v>20.399999999999999</v>
      </c>
      <c r="BB234" s="35">
        <v>1.8</v>
      </c>
      <c r="BC234" s="45">
        <v>-1</v>
      </c>
      <c r="BD234" s="45">
        <v>-1</v>
      </c>
      <c r="BE234" s="45">
        <v>-1</v>
      </c>
      <c r="BF234" s="45">
        <v>-1</v>
      </c>
      <c r="BG234" s="45">
        <v>100</v>
      </c>
      <c r="BH234" s="45">
        <v>-1</v>
      </c>
      <c r="BI234" s="45">
        <v>-1</v>
      </c>
      <c r="BJ234" s="28">
        <v>1</v>
      </c>
      <c r="BK234" s="45">
        <v>20.399999999999999</v>
      </c>
      <c r="BL234" s="43">
        <v>2</v>
      </c>
      <c r="BM234" s="45">
        <v>3</v>
      </c>
      <c r="BN234" s="45">
        <v>20.399999999999999</v>
      </c>
      <c r="BO234" s="43">
        <v>2</v>
      </c>
    </row>
    <row r="235" spans="1:67" s="50" customFormat="1" ht="15" customHeight="1" x14ac:dyDescent="0.25">
      <c r="A235" s="50">
        <v>234</v>
      </c>
      <c r="B235" s="52" t="s">
        <v>300</v>
      </c>
      <c r="C235" s="69">
        <v>927043</v>
      </c>
      <c r="D235" s="22" t="s">
        <v>4</v>
      </c>
      <c r="E235" s="75" t="s">
        <v>404</v>
      </c>
      <c r="F235" s="39">
        <v>53</v>
      </c>
      <c r="G235" s="36">
        <v>53</v>
      </c>
      <c r="H235" s="36">
        <v>9</v>
      </c>
      <c r="I235" s="43">
        <v>64</v>
      </c>
      <c r="J235" s="36">
        <v>39</v>
      </c>
      <c r="K235" s="36">
        <v>23</v>
      </c>
      <c r="L235" s="36">
        <v>27189</v>
      </c>
      <c r="M235" s="36" t="s">
        <v>401</v>
      </c>
      <c r="N235" s="36">
        <v>100</v>
      </c>
      <c r="O235" s="36">
        <v>25</v>
      </c>
      <c r="P235" s="36">
        <v>63</v>
      </c>
      <c r="Q235" s="36">
        <v>31</v>
      </c>
      <c r="R235" s="36">
        <v>14</v>
      </c>
      <c r="S235" s="36">
        <v>9</v>
      </c>
      <c r="T235" s="45">
        <v>27189</v>
      </c>
      <c r="U235" s="36" t="s">
        <v>401</v>
      </c>
      <c r="V235" s="36">
        <v>100</v>
      </c>
      <c r="W235" s="36">
        <v>1</v>
      </c>
      <c r="X235" s="102">
        <v>4</v>
      </c>
      <c r="Y235" s="81">
        <v>-1</v>
      </c>
      <c r="Z235" s="10">
        <v>-1</v>
      </c>
      <c r="AA235" s="10">
        <v>-1</v>
      </c>
      <c r="AB235" s="10">
        <v>-1</v>
      </c>
      <c r="AC235" s="10">
        <v>-1</v>
      </c>
      <c r="AD235" s="10">
        <v>-1</v>
      </c>
      <c r="AE235" s="42">
        <v>47</v>
      </c>
      <c r="AF235" s="43">
        <v>0.5</v>
      </c>
      <c r="AG235" s="45">
        <v>80</v>
      </c>
      <c r="AH235" s="35">
        <v>0.39</v>
      </c>
      <c r="AI235" s="50">
        <v>39369</v>
      </c>
      <c r="AJ235" s="50" t="s">
        <v>391</v>
      </c>
      <c r="AK235" s="50">
        <v>100</v>
      </c>
      <c r="AL235" s="34">
        <v>50.2</v>
      </c>
      <c r="AM235" s="43">
        <v>3</v>
      </c>
      <c r="AN235" s="35">
        <v>0.5</v>
      </c>
      <c r="AO235" s="35">
        <v>2.1</v>
      </c>
      <c r="AP235" s="35">
        <v>2.6</v>
      </c>
      <c r="AQ235" s="83">
        <v>2.5</v>
      </c>
      <c r="AR235" s="46">
        <v>27189</v>
      </c>
      <c r="AS235" s="50" t="s">
        <v>401</v>
      </c>
      <c r="AT235" s="50">
        <v>100</v>
      </c>
      <c r="AU235" s="44">
        <v>-1</v>
      </c>
      <c r="AV235" s="48">
        <v>-1</v>
      </c>
      <c r="AW235" s="48">
        <v>-1</v>
      </c>
      <c r="AX235" s="48">
        <v>-1</v>
      </c>
      <c r="AY235" s="48">
        <v>-1</v>
      </c>
      <c r="AZ235" s="45">
        <v>1</v>
      </c>
      <c r="BA235" s="45">
        <v>61.5</v>
      </c>
      <c r="BB235" s="35">
        <v>1.8</v>
      </c>
      <c r="BC235" s="45">
        <v>-1</v>
      </c>
      <c r="BD235" s="45">
        <v>-1</v>
      </c>
      <c r="BE235" s="45">
        <v>-1</v>
      </c>
      <c r="BF235" s="45">
        <v>-1</v>
      </c>
      <c r="BG235" s="45">
        <v>100</v>
      </c>
      <c r="BH235" s="45">
        <v>-1</v>
      </c>
      <c r="BI235" s="45">
        <v>-1</v>
      </c>
      <c r="BJ235" s="28">
        <v>1</v>
      </c>
      <c r="BK235" s="45">
        <v>61.5</v>
      </c>
      <c r="BL235" s="43">
        <v>2</v>
      </c>
      <c r="BM235" s="45">
        <v>3</v>
      </c>
      <c r="BN235" s="45">
        <v>61.5</v>
      </c>
      <c r="BO235" s="43">
        <v>2</v>
      </c>
    </row>
    <row r="236" spans="1:67" s="50" customFormat="1" ht="15" customHeight="1" x14ac:dyDescent="0.25">
      <c r="A236" s="50">
        <v>235</v>
      </c>
      <c r="B236" s="52" t="s">
        <v>301</v>
      </c>
      <c r="C236" s="68">
        <v>917061</v>
      </c>
      <c r="D236" s="22" t="s">
        <v>4</v>
      </c>
      <c r="E236" s="11" t="s">
        <v>16</v>
      </c>
      <c r="F236" s="39">
        <v>18.2</v>
      </c>
      <c r="G236" s="36">
        <v>18.2</v>
      </c>
      <c r="H236" s="36">
        <v>12.48</v>
      </c>
      <c r="I236" s="36">
        <v>41.45603674540682</v>
      </c>
      <c r="J236" s="36">
        <v>29.263084761463638</v>
      </c>
      <c r="K236" s="36">
        <v>7.8034892697236371</v>
      </c>
      <c r="L236" s="36">
        <v>28766</v>
      </c>
      <c r="M236" s="36" t="s">
        <v>137</v>
      </c>
      <c r="N236" s="36">
        <v>100</v>
      </c>
      <c r="O236" s="36">
        <v>10.92</v>
      </c>
      <c r="P236" s="36">
        <v>24.439999999999998</v>
      </c>
      <c r="Q236" s="36">
        <v>24.385903967886364</v>
      </c>
      <c r="R236" s="36">
        <v>12.192951983943182</v>
      </c>
      <c r="S236" s="36">
        <v>4.3894627142195457</v>
      </c>
      <c r="T236" s="36">
        <v>28766</v>
      </c>
      <c r="U236" s="36" t="s">
        <v>137</v>
      </c>
      <c r="V236" s="36">
        <v>100</v>
      </c>
      <c r="W236" s="36">
        <v>1</v>
      </c>
      <c r="X236" s="102">
        <v>3</v>
      </c>
      <c r="Y236" s="29">
        <v>51.697500000000005</v>
      </c>
      <c r="Z236" s="47">
        <v>7</v>
      </c>
      <c r="AA236" s="46">
        <v>85</v>
      </c>
      <c r="AB236" s="46">
        <v>28862</v>
      </c>
      <c r="AC236" s="46" t="s">
        <v>376</v>
      </c>
      <c r="AD236" s="46">
        <v>100</v>
      </c>
      <c r="AE236" s="42">
        <v>17</v>
      </c>
      <c r="AF236" s="43">
        <v>1</v>
      </c>
      <c r="AG236" s="36">
        <v>85</v>
      </c>
      <c r="AH236" s="35">
        <v>8.6162500000000003E-2</v>
      </c>
      <c r="AI236" s="46">
        <v>40450</v>
      </c>
      <c r="AJ236" s="46" t="s">
        <v>148</v>
      </c>
      <c r="AK236" s="46">
        <v>100</v>
      </c>
      <c r="AL236" s="34">
        <v>4.68</v>
      </c>
      <c r="AM236" s="43">
        <v>0.75</v>
      </c>
      <c r="AN236" s="35">
        <v>6.2399999999999997E-2</v>
      </c>
      <c r="AO236" s="35">
        <v>7.279999999999999E-2</v>
      </c>
      <c r="AP236" s="35">
        <v>0.20799999999999999</v>
      </c>
      <c r="AQ236" s="83">
        <v>0.31199999999999994</v>
      </c>
      <c r="AR236" s="46">
        <v>28766</v>
      </c>
      <c r="AS236" s="46" t="s">
        <v>137</v>
      </c>
      <c r="AT236" s="46">
        <v>100</v>
      </c>
      <c r="AU236" s="44">
        <v>-1</v>
      </c>
      <c r="AV236" s="48">
        <v>-1</v>
      </c>
      <c r="AW236" s="48">
        <v>-1</v>
      </c>
      <c r="AX236" s="48">
        <v>-1</v>
      </c>
      <c r="AY236" s="48">
        <v>-1</v>
      </c>
      <c r="AZ236" s="45">
        <v>1</v>
      </c>
      <c r="BA236" s="36">
        <v>18.2</v>
      </c>
      <c r="BB236" s="43">
        <v>1</v>
      </c>
      <c r="BC236" s="45">
        <v>-1</v>
      </c>
      <c r="BD236" s="45">
        <v>-1</v>
      </c>
      <c r="BE236" s="45">
        <v>-1</v>
      </c>
      <c r="BF236" s="45">
        <v>100</v>
      </c>
      <c r="BG236" s="45">
        <v>-1</v>
      </c>
      <c r="BH236" s="45">
        <v>-1</v>
      </c>
      <c r="BI236" s="45">
        <v>-1</v>
      </c>
      <c r="BJ236" s="28">
        <v>1</v>
      </c>
      <c r="BK236" s="36">
        <v>16.64</v>
      </c>
      <c r="BL236" s="43">
        <v>1.25</v>
      </c>
      <c r="BM236" s="45">
        <v>3</v>
      </c>
      <c r="BN236" s="36">
        <v>16.64</v>
      </c>
      <c r="BO236" s="43">
        <v>1.25</v>
      </c>
    </row>
    <row r="237" spans="1:67" s="50" customFormat="1" ht="15" customHeight="1" x14ac:dyDescent="0.25">
      <c r="A237" s="50">
        <v>236</v>
      </c>
      <c r="B237" s="52" t="s">
        <v>302</v>
      </c>
      <c r="C237" s="68">
        <v>927061</v>
      </c>
      <c r="D237" s="22" t="s">
        <v>4</v>
      </c>
      <c r="E237" s="11" t="s">
        <v>16</v>
      </c>
      <c r="F237" s="39">
        <v>50.7</v>
      </c>
      <c r="G237" s="36">
        <v>50.7</v>
      </c>
      <c r="H237" s="36">
        <v>34.765714285714289</v>
      </c>
      <c r="I237" s="36">
        <v>49.016404199475069</v>
      </c>
      <c r="J237" s="36">
        <v>34.599814729041221</v>
      </c>
      <c r="K237" s="36">
        <v>9.22661726107766</v>
      </c>
      <c r="L237" s="36">
        <v>28766</v>
      </c>
      <c r="M237" s="36" t="s">
        <v>137</v>
      </c>
      <c r="N237" s="36">
        <v>100</v>
      </c>
      <c r="O237" s="36">
        <v>30.42</v>
      </c>
      <c r="P237" s="36">
        <v>68.082857142857151</v>
      </c>
      <c r="Q237" s="36">
        <v>28.83317894086769</v>
      </c>
      <c r="R237" s="36">
        <v>14.416589470433845</v>
      </c>
      <c r="S237" s="36">
        <v>5.189972209356184</v>
      </c>
      <c r="T237" s="36">
        <v>28766</v>
      </c>
      <c r="U237" s="36" t="s">
        <v>137</v>
      </c>
      <c r="V237" s="36">
        <v>100</v>
      </c>
      <c r="W237" s="36">
        <v>1</v>
      </c>
      <c r="X237" s="102">
        <v>3</v>
      </c>
      <c r="Y237" s="29">
        <v>36.974999999999994</v>
      </c>
      <c r="Z237" s="47">
        <v>7</v>
      </c>
      <c r="AA237" s="46">
        <v>85</v>
      </c>
      <c r="AB237" s="46">
        <v>28862</v>
      </c>
      <c r="AC237" s="46" t="s">
        <v>376</v>
      </c>
      <c r="AD237" s="46">
        <v>100</v>
      </c>
      <c r="AE237" s="42">
        <v>12</v>
      </c>
      <c r="AF237" s="43">
        <v>1</v>
      </c>
      <c r="AG237" s="36">
        <v>85</v>
      </c>
      <c r="AH237" s="35">
        <v>6.1624999999999999E-2</v>
      </c>
      <c r="AI237" s="46">
        <v>40450</v>
      </c>
      <c r="AJ237" s="46" t="s">
        <v>148</v>
      </c>
      <c r="AK237" s="46">
        <v>100</v>
      </c>
      <c r="AL237" s="34">
        <v>13.037142857142857</v>
      </c>
      <c r="AM237" s="43">
        <v>0.75</v>
      </c>
      <c r="AN237" s="35">
        <v>0.17382857142857144</v>
      </c>
      <c r="AO237" s="35">
        <v>0.20280000000000001</v>
      </c>
      <c r="AP237" s="35">
        <v>0.57942857142857151</v>
      </c>
      <c r="AQ237" s="83">
        <v>0.86914285714285733</v>
      </c>
      <c r="AR237" s="46">
        <v>28766</v>
      </c>
      <c r="AS237" s="46" t="s">
        <v>137</v>
      </c>
      <c r="AT237" s="46">
        <v>100</v>
      </c>
      <c r="AU237" s="44">
        <v>-1</v>
      </c>
      <c r="AV237" s="48">
        <v>-1</v>
      </c>
      <c r="AW237" s="48">
        <v>-1</v>
      </c>
      <c r="AX237" s="48">
        <v>-1</v>
      </c>
      <c r="AY237" s="48">
        <v>-1</v>
      </c>
      <c r="AZ237" s="45">
        <v>1</v>
      </c>
      <c r="BA237" s="36">
        <v>50.7</v>
      </c>
      <c r="BB237" s="43">
        <v>1</v>
      </c>
      <c r="BC237" s="45">
        <v>-1</v>
      </c>
      <c r="BD237" s="45">
        <v>-1</v>
      </c>
      <c r="BE237" s="45">
        <v>-1</v>
      </c>
      <c r="BF237" s="45">
        <v>100</v>
      </c>
      <c r="BG237" s="45">
        <v>-1</v>
      </c>
      <c r="BH237" s="45">
        <v>-1</v>
      </c>
      <c r="BI237" s="45">
        <v>-1</v>
      </c>
      <c r="BJ237" s="28">
        <v>1</v>
      </c>
      <c r="BK237" s="36">
        <v>46.354285714285716</v>
      </c>
      <c r="BL237" s="43">
        <v>1.25</v>
      </c>
      <c r="BM237" s="45">
        <v>3</v>
      </c>
      <c r="BN237" s="36">
        <v>46.354285714285716</v>
      </c>
      <c r="BO237" s="43">
        <v>1.25</v>
      </c>
    </row>
    <row r="238" spans="1:67" s="50" customFormat="1" ht="15" customHeight="1" x14ac:dyDescent="0.25">
      <c r="A238" s="50">
        <v>237</v>
      </c>
      <c r="B238" s="52" t="s">
        <v>303</v>
      </c>
      <c r="C238" s="68">
        <v>937061</v>
      </c>
      <c r="D238" s="22" t="s">
        <v>4</v>
      </c>
      <c r="E238" s="11" t="s">
        <v>16</v>
      </c>
      <c r="F238" s="39">
        <v>76.900000000000006</v>
      </c>
      <c r="G238" s="36">
        <v>76.900000000000006</v>
      </c>
      <c r="H238" s="36">
        <v>52.731428571428573</v>
      </c>
      <c r="I238" s="36">
        <v>76.575459317585299</v>
      </c>
      <c r="J238" s="36">
        <v>54.053265400648449</v>
      </c>
      <c r="K238" s="36">
        <v>14.414204106839586</v>
      </c>
      <c r="L238" s="36">
        <v>28766</v>
      </c>
      <c r="M238" s="36" t="s">
        <v>137</v>
      </c>
      <c r="N238" s="36">
        <v>100</v>
      </c>
      <c r="O238" s="36">
        <v>46.140000000000008</v>
      </c>
      <c r="P238" s="36">
        <v>103.2657142857143</v>
      </c>
      <c r="Q238" s="36">
        <v>45.044387833873706</v>
      </c>
      <c r="R238" s="36">
        <v>22.522193916936853</v>
      </c>
      <c r="S238" s="36">
        <v>8.1079898100972674</v>
      </c>
      <c r="T238" s="36">
        <v>28766</v>
      </c>
      <c r="U238" s="36" t="s">
        <v>137</v>
      </c>
      <c r="V238" s="36">
        <v>100</v>
      </c>
      <c r="W238" s="36">
        <v>1</v>
      </c>
      <c r="X238" s="102">
        <v>3</v>
      </c>
      <c r="Y238" s="29">
        <v>17.324999999999996</v>
      </c>
      <c r="Z238" s="47">
        <v>7</v>
      </c>
      <c r="AA238" s="46">
        <v>85</v>
      </c>
      <c r="AB238" s="46">
        <v>28862</v>
      </c>
      <c r="AC238" s="46" t="s">
        <v>376</v>
      </c>
      <c r="AD238" s="46">
        <v>100</v>
      </c>
      <c r="AE238" s="42">
        <v>6</v>
      </c>
      <c r="AF238" s="43">
        <v>1</v>
      </c>
      <c r="AG238" s="36">
        <v>85</v>
      </c>
      <c r="AH238" s="35">
        <v>2.8874999999999994E-2</v>
      </c>
      <c r="AI238" s="46">
        <v>40450</v>
      </c>
      <c r="AJ238" s="46" t="s">
        <v>148</v>
      </c>
      <c r="AK238" s="46">
        <v>100</v>
      </c>
      <c r="AL238" s="34">
        <v>19.774285714285718</v>
      </c>
      <c r="AM238" s="43">
        <v>0.75</v>
      </c>
      <c r="AN238" s="35">
        <v>0.26365714285714287</v>
      </c>
      <c r="AO238" s="35">
        <v>0.30759999999999998</v>
      </c>
      <c r="AP238" s="35">
        <v>0.87885714285714289</v>
      </c>
      <c r="AQ238" s="83">
        <v>1.3182857142857143</v>
      </c>
      <c r="AR238" s="46">
        <v>28766</v>
      </c>
      <c r="AS238" s="46" t="s">
        <v>137</v>
      </c>
      <c r="AT238" s="46">
        <v>100</v>
      </c>
      <c r="AU238" s="44">
        <v>-1</v>
      </c>
      <c r="AV238" s="48">
        <v>-1</v>
      </c>
      <c r="AW238" s="48">
        <v>-1</v>
      </c>
      <c r="AX238" s="48">
        <v>-1</v>
      </c>
      <c r="AY238" s="48">
        <v>-1</v>
      </c>
      <c r="AZ238" s="45">
        <v>1</v>
      </c>
      <c r="BA238" s="36">
        <v>76.900000000000006</v>
      </c>
      <c r="BB238" s="43">
        <v>1</v>
      </c>
      <c r="BC238" s="45">
        <v>-1</v>
      </c>
      <c r="BD238" s="45">
        <v>-1</v>
      </c>
      <c r="BE238" s="45">
        <v>-1</v>
      </c>
      <c r="BF238" s="45">
        <v>100</v>
      </c>
      <c r="BG238" s="45">
        <v>-1</v>
      </c>
      <c r="BH238" s="45">
        <v>-1</v>
      </c>
      <c r="BI238" s="45">
        <v>-1</v>
      </c>
      <c r="BJ238" s="28">
        <v>1</v>
      </c>
      <c r="BK238" s="36">
        <v>70.308571428571426</v>
      </c>
      <c r="BL238" s="43">
        <v>1.25</v>
      </c>
      <c r="BM238" s="45">
        <v>3</v>
      </c>
      <c r="BN238" s="36">
        <v>70.308571428571426</v>
      </c>
      <c r="BO238" s="43">
        <v>1.25</v>
      </c>
    </row>
    <row r="239" spans="1:67" s="50" customFormat="1" ht="15" customHeight="1" x14ac:dyDescent="0.25">
      <c r="A239" s="50">
        <v>238</v>
      </c>
      <c r="B239" s="36">
        <v>7091</v>
      </c>
      <c r="C239" s="46">
        <v>7091</v>
      </c>
      <c r="D239" s="22" t="s">
        <v>4</v>
      </c>
      <c r="E239" s="24" t="s">
        <v>353</v>
      </c>
      <c r="F239" s="39">
        <v>29.33</v>
      </c>
      <c r="G239" s="36">
        <v>17.430817226528504</v>
      </c>
      <c r="H239" s="36">
        <v>26.498277314141333</v>
      </c>
      <c r="I239" s="36">
        <v>53.8</v>
      </c>
      <c r="J239" s="36">
        <v>37.718685363856146</v>
      </c>
      <c r="K239" s="36">
        <v>9.6311146991045344</v>
      </c>
      <c r="L239" s="36">
        <v>18047</v>
      </c>
      <c r="M239" s="36" t="s">
        <v>379</v>
      </c>
      <c r="N239" s="36">
        <v>100</v>
      </c>
      <c r="O239" s="36">
        <v>29.33</v>
      </c>
      <c r="P239" s="36">
        <v>54.087282750172257</v>
      </c>
      <c r="Q239" s="36">
        <v>34.47591364947052</v>
      </c>
      <c r="R239" s="36">
        <v>17.733602240760213</v>
      </c>
      <c r="S239" s="36">
        <v>4.821076728799695</v>
      </c>
      <c r="T239" s="36">
        <v>18047</v>
      </c>
      <c r="U239" s="36" t="s">
        <v>379</v>
      </c>
      <c r="V239" s="36">
        <v>100</v>
      </c>
      <c r="W239" s="36">
        <v>-1</v>
      </c>
      <c r="X239" s="102">
        <v>-1</v>
      </c>
      <c r="Y239" s="29">
        <v>8</v>
      </c>
      <c r="Z239" s="47">
        <v>2.6199850018747699</v>
      </c>
      <c r="AA239" s="46">
        <v>85</v>
      </c>
      <c r="AB239" s="50">
        <v>18148</v>
      </c>
      <c r="AC239" s="50" t="s">
        <v>371</v>
      </c>
      <c r="AD239" s="50">
        <v>100</v>
      </c>
      <c r="AE239" s="42">
        <v>55</v>
      </c>
      <c r="AF239" s="43">
        <v>1.0706392733087906</v>
      </c>
      <c r="AG239" s="36">
        <v>70</v>
      </c>
      <c r="AH239" s="35">
        <v>0.57929975807588996</v>
      </c>
      <c r="AI239" s="50">
        <v>40792</v>
      </c>
      <c r="AJ239" s="50" t="s">
        <v>365</v>
      </c>
      <c r="AK239" s="50">
        <v>100</v>
      </c>
      <c r="AL239" s="34">
        <v>20.319529780564263</v>
      </c>
      <c r="AM239" s="43">
        <v>2.9</v>
      </c>
      <c r="AN239" s="35">
        <v>3.7006935570717901E-2</v>
      </c>
      <c r="AO239" s="35">
        <v>0.44455465277945205</v>
      </c>
      <c r="AP239" s="35">
        <v>0.6465606641431797</v>
      </c>
      <c r="AQ239" s="83">
        <v>1.4647203671110895</v>
      </c>
      <c r="AR239" s="46">
        <v>18047</v>
      </c>
      <c r="AS239" s="46" t="s">
        <v>379</v>
      </c>
      <c r="AT239" s="46">
        <v>100</v>
      </c>
      <c r="AU239" s="44">
        <v>-1</v>
      </c>
      <c r="AV239" s="48">
        <v>-1</v>
      </c>
      <c r="AW239" s="48">
        <v>-1</v>
      </c>
      <c r="AX239" s="48">
        <v>-1</v>
      </c>
      <c r="AY239" s="48">
        <v>-1</v>
      </c>
      <c r="AZ239" s="45">
        <v>1</v>
      </c>
      <c r="BA239" s="36">
        <v>36.094396396396391</v>
      </c>
      <c r="BB239" s="43">
        <v>2.2103487064116987</v>
      </c>
      <c r="BC239" s="45">
        <v>100</v>
      </c>
      <c r="BD239" s="45">
        <v>-1</v>
      </c>
      <c r="BE239" s="45">
        <v>-1</v>
      </c>
      <c r="BF239" s="45">
        <v>-1</v>
      </c>
      <c r="BG239" s="45">
        <v>-1</v>
      </c>
      <c r="BH239" s="45">
        <v>-1</v>
      </c>
      <c r="BI239" s="45">
        <v>-1</v>
      </c>
      <c r="BJ239" s="28">
        <v>1</v>
      </c>
      <c r="BK239" s="36">
        <v>36.041549549549543</v>
      </c>
      <c r="BL239" s="43">
        <v>0.97300337457817776</v>
      </c>
      <c r="BM239" s="45">
        <v>4</v>
      </c>
      <c r="BN239" s="36">
        <v>36.041549549549543</v>
      </c>
      <c r="BO239" s="43">
        <v>0.97300337457817776</v>
      </c>
    </row>
    <row r="240" spans="1:67" s="50" customFormat="1" ht="15" customHeight="1" x14ac:dyDescent="0.25">
      <c r="A240" s="50">
        <v>239</v>
      </c>
      <c r="B240" s="36">
        <v>7100</v>
      </c>
      <c r="C240" s="46">
        <v>7100</v>
      </c>
      <c r="D240" s="22" t="s">
        <v>4</v>
      </c>
      <c r="E240" s="17" t="s">
        <v>134</v>
      </c>
      <c r="F240" s="39">
        <v>14.69</v>
      </c>
      <c r="G240" s="36">
        <v>11.697398581756115</v>
      </c>
      <c r="H240" s="36">
        <v>11.679268497149517</v>
      </c>
      <c r="I240" s="36">
        <v>34.799999999999997</v>
      </c>
      <c r="J240" s="36">
        <v>24.476293065244715</v>
      </c>
      <c r="K240" s="36">
        <v>6.3804938581851136</v>
      </c>
      <c r="L240" s="55" t="s">
        <v>380</v>
      </c>
      <c r="M240" s="36" t="s">
        <v>381</v>
      </c>
      <c r="N240" s="36" t="s">
        <v>156</v>
      </c>
      <c r="O240" s="36">
        <v>8.2575255790395534</v>
      </c>
      <c r="P240" s="36">
        <v>23.423890853419181</v>
      </c>
      <c r="Q240" s="36">
        <v>21.4408029749248</v>
      </c>
      <c r="R240" s="36">
        <v>10.89039341629806</v>
      </c>
      <c r="S240" s="36">
        <v>3.3844713077052098</v>
      </c>
      <c r="T240" s="36" t="s">
        <v>380</v>
      </c>
      <c r="U240" s="36" t="s">
        <v>381</v>
      </c>
      <c r="V240" s="36" t="s">
        <v>156</v>
      </c>
      <c r="W240" s="36">
        <v>-1</v>
      </c>
      <c r="X240" s="102">
        <v>-1</v>
      </c>
      <c r="Y240" s="29">
        <v>35.75</v>
      </c>
      <c r="Z240" s="47">
        <v>7</v>
      </c>
      <c r="AA240" s="46">
        <v>85</v>
      </c>
      <c r="AB240" s="50">
        <v>28862</v>
      </c>
      <c r="AC240" s="50" t="s">
        <v>376</v>
      </c>
      <c r="AD240" s="50">
        <v>100</v>
      </c>
      <c r="AE240" s="42">
        <v>36</v>
      </c>
      <c r="AF240" s="43">
        <v>1.5666666666666667</v>
      </c>
      <c r="AG240" s="36">
        <v>80</v>
      </c>
      <c r="AH240" s="35">
        <v>1.8248507462686567</v>
      </c>
      <c r="AI240" s="50">
        <v>40450</v>
      </c>
      <c r="AJ240" s="50" t="s">
        <v>148</v>
      </c>
      <c r="AK240" s="50">
        <v>100</v>
      </c>
      <c r="AL240" s="34">
        <v>6.9909310842414296</v>
      </c>
      <c r="AM240" s="43">
        <v>1.1456944444444443</v>
      </c>
      <c r="AN240" s="35">
        <v>3.4382348506273565E-2</v>
      </c>
      <c r="AO240" s="35">
        <v>0.14105833129293432</v>
      </c>
      <c r="AP240" s="35">
        <v>0.24619179486610354</v>
      </c>
      <c r="AQ240" s="83">
        <v>0.4937480636874928</v>
      </c>
      <c r="AR240" s="46" t="s">
        <v>380</v>
      </c>
      <c r="AS240" s="50" t="s">
        <v>381</v>
      </c>
      <c r="AT240" s="50" t="s">
        <v>156</v>
      </c>
      <c r="AU240" s="44">
        <v>-1</v>
      </c>
      <c r="AV240" s="48">
        <v>-1</v>
      </c>
      <c r="AW240" s="48">
        <v>-1</v>
      </c>
      <c r="AX240" s="48">
        <v>-1</v>
      </c>
      <c r="AY240" s="48">
        <v>-1</v>
      </c>
      <c r="AZ240" s="45">
        <v>1</v>
      </c>
      <c r="BA240" s="36">
        <v>52.141221221221222</v>
      </c>
      <c r="BB240" s="43">
        <v>0.5</v>
      </c>
      <c r="BC240" s="45">
        <v>-1</v>
      </c>
      <c r="BD240" s="45">
        <v>-1</v>
      </c>
      <c r="BE240" s="45">
        <v>30</v>
      </c>
      <c r="BF240" s="45">
        <v>30</v>
      </c>
      <c r="BG240" s="45">
        <v>-1</v>
      </c>
      <c r="BH240" s="45">
        <v>-1</v>
      </c>
      <c r="BI240" s="45">
        <v>40</v>
      </c>
      <c r="BJ240" s="28">
        <v>2</v>
      </c>
      <c r="BK240" s="36">
        <v>15.751049478049479</v>
      </c>
      <c r="BL240" s="43">
        <v>1.1000000000000001</v>
      </c>
      <c r="BM240" s="45">
        <v>3</v>
      </c>
      <c r="BN240" s="36">
        <v>15.751049478049479</v>
      </c>
      <c r="BO240" s="43">
        <v>2.1</v>
      </c>
    </row>
    <row r="241" spans="1:67" s="50" customFormat="1" ht="15" customHeight="1" x14ac:dyDescent="0.25">
      <c r="A241" s="50">
        <v>240</v>
      </c>
      <c r="B241" s="36">
        <v>7110</v>
      </c>
      <c r="C241" s="46">
        <v>7110</v>
      </c>
      <c r="D241" s="22" t="s">
        <v>4</v>
      </c>
      <c r="E241" s="12" t="s">
        <v>9</v>
      </c>
      <c r="F241" s="39">
        <v>6.37</v>
      </c>
      <c r="G241" s="36">
        <v>6.37</v>
      </c>
      <c r="H241" s="36">
        <v>4.3679999999999994</v>
      </c>
      <c r="I241" s="36">
        <v>25.2</v>
      </c>
      <c r="J241" s="36">
        <v>17.788235294117648</v>
      </c>
      <c r="K241" s="36">
        <v>4.7435294117647056</v>
      </c>
      <c r="L241" s="36">
        <v>28766</v>
      </c>
      <c r="M241" s="36" t="s">
        <v>137</v>
      </c>
      <c r="N241" s="36">
        <v>100</v>
      </c>
      <c r="O241" s="36">
        <v>3.8220000000000001</v>
      </c>
      <c r="P241" s="36">
        <v>8.5540000000000003</v>
      </c>
      <c r="Q241" s="36">
        <v>14.823529411764707</v>
      </c>
      <c r="R241" s="36">
        <v>7.4117647058823533</v>
      </c>
      <c r="S241" s="36">
        <v>2.6682352941176468</v>
      </c>
      <c r="T241" s="36">
        <v>28766</v>
      </c>
      <c r="U241" s="36" t="s">
        <v>137</v>
      </c>
      <c r="V241" s="36">
        <v>100</v>
      </c>
      <c r="W241" s="36">
        <v>1</v>
      </c>
      <c r="X241" s="102">
        <v>3</v>
      </c>
      <c r="Y241" s="29">
        <v>41.5</v>
      </c>
      <c r="Z241" s="47">
        <v>3</v>
      </c>
      <c r="AA241" s="46">
        <v>80</v>
      </c>
      <c r="AB241" s="50">
        <v>28675</v>
      </c>
      <c r="AC241" s="50" t="s">
        <v>375</v>
      </c>
      <c r="AD241" s="50">
        <v>100</v>
      </c>
      <c r="AE241" s="42">
        <v>30</v>
      </c>
      <c r="AF241" s="43">
        <v>1.5666666666666667</v>
      </c>
      <c r="AG241" s="36">
        <v>80</v>
      </c>
      <c r="AH241" s="35">
        <v>1.5349999999999999</v>
      </c>
      <c r="AI241" s="50">
        <v>40450</v>
      </c>
      <c r="AJ241" s="50" t="s">
        <v>148</v>
      </c>
      <c r="AK241" s="50">
        <v>100</v>
      </c>
      <c r="AL241" s="34">
        <v>12.309428571428572</v>
      </c>
      <c r="AM241" s="43">
        <v>0.75</v>
      </c>
      <c r="AN241" s="35">
        <v>0.16412571428571426</v>
      </c>
      <c r="AO241" s="35">
        <v>0.19147999999999996</v>
      </c>
      <c r="AP241" s="35">
        <v>0.54708571428571429</v>
      </c>
      <c r="AQ241" s="83">
        <v>0.82062857142857137</v>
      </c>
      <c r="AR241" s="46">
        <v>28766</v>
      </c>
      <c r="AS241" s="50" t="s">
        <v>137</v>
      </c>
      <c r="AT241" s="50">
        <v>100</v>
      </c>
      <c r="AU241" s="44">
        <v>-1</v>
      </c>
      <c r="AV241" s="48">
        <v>-1</v>
      </c>
      <c r="AW241" s="48">
        <v>-1</v>
      </c>
      <c r="AX241" s="48">
        <v>-1</v>
      </c>
      <c r="AY241" s="48">
        <v>-1</v>
      </c>
      <c r="AZ241" s="45">
        <v>1</v>
      </c>
      <c r="BA241" s="36">
        <v>67.37</v>
      </c>
      <c r="BB241" s="43">
        <v>1</v>
      </c>
      <c r="BC241" s="45">
        <v>-1</v>
      </c>
      <c r="BD241" s="45">
        <v>-1</v>
      </c>
      <c r="BE241" s="45">
        <v>-1</v>
      </c>
      <c r="BF241" s="45">
        <v>70</v>
      </c>
      <c r="BG241" s="45">
        <v>-1</v>
      </c>
      <c r="BH241" s="45">
        <v>-1</v>
      </c>
      <c r="BI241" s="45">
        <v>30</v>
      </c>
      <c r="BJ241" s="28">
        <v>1</v>
      </c>
      <c r="BK241" s="36">
        <v>43.766857142857141</v>
      </c>
      <c r="BL241" s="43">
        <v>1.25</v>
      </c>
      <c r="BM241" s="45">
        <v>3</v>
      </c>
      <c r="BN241" s="36">
        <v>43.766857142857141</v>
      </c>
      <c r="BO241" s="43">
        <v>1.25</v>
      </c>
    </row>
    <row r="242" spans="1:67" s="50" customFormat="1" ht="15" customHeight="1" x14ac:dyDescent="0.25">
      <c r="A242" s="50">
        <v>241</v>
      </c>
      <c r="B242" s="36">
        <v>7113</v>
      </c>
      <c r="C242" s="71">
        <v>7113</v>
      </c>
      <c r="D242" s="22" t="s">
        <v>4</v>
      </c>
      <c r="E242" s="34" t="s">
        <v>408</v>
      </c>
      <c r="F242" s="39">
        <v>4</v>
      </c>
      <c r="G242" s="36">
        <v>4</v>
      </c>
      <c r="H242" s="36">
        <v>1</v>
      </c>
      <c r="I242" s="43">
        <v>25</v>
      </c>
      <c r="J242" s="36">
        <v>16</v>
      </c>
      <c r="K242" s="36">
        <v>9</v>
      </c>
      <c r="L242" s="36">
        <v>27189</v>
      </c>
      <c r="M242" s="36" t="s">
        <v>401</v>
      </c>
      <c r="N242" s="36">
        <v>100</v>
      </c>
      <c r="O242" s="36">
        <v>2</v>
      </c>
      <c r="P242" s="36">
        <v>5</v>
      </c>
      <c r="Q242" s="36">
        <v>12</v>
      </c>
      <c r="R242" s="36">
        <v>6</v>
      </c>
      <c r="S242" s="36">
        <v>3</v>
      </c>
      <c r="T242" s="45">
        <v>27189</v>
      </c>
      <c r="U242" s="36" t="s">
        <v>401</v>
      </c>
      <c r="V242" s="36">
        <v>100</v>
      </c>
      <c r="W242" s="36">
        <v>1</v>
      </c>
      <c r="X242" s="102">
        <v>4</v>
      </c>
      <c r="Y242" s="81">
        <v>-1</v>
      </c>
      <c r="Z242" s="10">
        <v>-1</v>
      </c>
      <c r="AA242" s="10">
        <v>-1</v>
      </c>
      <c r="AB242" s="10">
        <v>-1</v>
      </c>
      <c r="AC242" s="10">
        <v>-1</v>
      </c>
      <c r="AD242" s="10">
        <v>-1</v>
      </c>
      <c r="AE242" s="42">
        <v>73</v>
      </c>
      <c r="AF242" s="43">
        <v>0.5</v>
      </c>
      <c r="AG242" s="45">
        <v>80</v>
      </c>
      <c r="AH242" s="35">
        <v>0.61</v>
      </c>
      <c r="AI242" s="50">
        <v>39369</v>
      </c>
      <c r="AJ242" s="50" t="s">
        <v>391</v>
      </c>
      <c r="AK242" s="50">
        <v>100</v>
      </c>
      <c r="AL242" s="34">
        <v>3.9</v>
      </c>
      <c r="AM242" s="43">
        <v>3</v>
      </c>
      <c r="AN242" s="35">
        <v>0</v>
      </c>
      <c r="AO242" s="35">
        <v>0.2</v>
      </c>
      <c r="AP242" s="35">
        <v>0.2</v>
      </c>
      <c r="AQ242" s="83">
        <v>0.2</v>
      </c>
      <c r="AR242" s="46">
        <v>27189</v>
      </c>
      <c r="AS242" s="50" t="s">
        <v>401</v>
      </c>
      <c r="AT242" s="50">
        <v>100</v>
      </c>
      <c r="AU242" s="44">
        <v>-1</v>
      </c>
      <c r="AV242" s="48">
        <v>-1</v>
      </c>
      <c r="AW242" s="48">
        <v>-1</v>
      </c>
      <c r="AX242" s="48">
        <v>-1</v>
      </c>
      <c r="AY242" s="48">
        <v>-1</v>
      </c>
      <c r="AZ242" s="45">
        <v>1</v>
      </c>
      <c r="BA242" s="45">
        <v>4.8</v>
      </c>
      <c r="BB242" s="35">
        <v>1.8</v>
      </c>
      <c r="BC242" s="45">
        <v>-1</v>
      </c>
      <c r="BD242" s="45">
        <v>-1</v>
      </c>
      <c r="BE242" s="45">
        <v>-1</v>
      </c>
      <c r="BF242" s="45">
        <v>-1</v>
      </c>
      <c r="BG242" s="45">
        <v>100</v>
      </c>
      <c r="BH242" s="45">
        <v>-1</v>
      </c>
      <c r="BI242" s="45">
        <v>-1</v>
      </c>
      <c r="BJ242" s="28">
        <v>1</v>
      </c>
      <c r="BK242" s="45">
        <v>4.8</v>
      </c>
      <c r="BL242" s="43">
        <v>2</v>
      </c>
      <c r="BM242" s="45">
        <v>3</v>
      </c>
      <c r="BN242" s="45">
        <v>4.8</v>
      </c>
      <c r="BO242" s="43">
        <v>2</v>
      </c>
    </row>
    <row r="243" spans="1:67" s="50" customFormat="1" ht="15" customHeight="1" x14ac:dyDescent="0.25">
      <c r="A243" s="50">
        <v>242</v>
      </c>
      <c r="B243" s="36">
        <v>7120</v>
      </c>
      <c r="C243" s="46">
        <v>7120</v>
      </c>
      <c r="D243" s="22" t="s">
        <v>4</v>
      </c>
      <c r="E243" s="13" t="s">
        <v>8</v>
      </c>
      <c r="F243" s="39">
        <v>10.41</v>
      </c>
      <c r="G243" s="36">
        <v>10.41</v>
      </c>
      <c r="H243" s="36">
        <v>7.1382857142857148</v>
      </c>
      <c r="I243" s="36">
        <v>41.5</v>
      </c>
      <c r="J243" s="36">
        <v>29.294117647058822</v>
      </c>
      <c r="K243" s="36">
        <v>7.8117647058823527</v>
      </c>
      <c r="L243" s="36">
        <v>28766</v>
      </c>
      <c r="M243" s="36" t="s">
        <v>137</v>
      </c>
      <c r="N243" s="36">
        <v>100</v>
      </c>
      <c r="O243" s="36">
        <v>6.2459999999999996</v>
      </c>
      <c r="P243" s="36">
        <v>13.979142857142856</v>
      </c>
      <c r="Q243" s="36">
        <v>24.411764705882351</v>
      </c>
      <c r="R243" s="36">
        <v>12.205882352941176</v>
      </c>
      <c r="S243" s="36">
        <v>4.3941176470588239</v>
      </c>
      <c r="T243" s="36">
        <v>28766</v>
      </c>
      <c r="U243" s="36" t="s">
        <v>137</v>
      </c>
      <c r="V243" s="36">
        <v>100</v>
      </c>
      <c r="W243" s="36">
        <v>1</v>
      </c>
      <c r="X243" s="102">
        <v>3</v>
      </c>
      <c r="Y243" s="29">
        <v>11.629999999999995</v>
      </c>
      <c r="Z243" s="47">
        <v>3</v>
      </c>
      <c r="AA243" s="46">
        <v>80</v>
      </c>
      <c r="AB243" s="50">
        <v>28675</v>
      </c>
      <c r="AC243" s="50" t="s">
        <v>375</v>
      </c>
      <c r="AD243" s="50">
        <v>100</v>
      </c>
      <c r="AE243" s="42">
        <v>60</v>
      </c>
      <c r="AF243" s="43">
        <v>1.5666666666666667</v>
      </c>
      <c r="AG243" s="36">
        <v>80</v>
      </c>
      <c r="AH243" s="35">
        <v>3.07</v>
      </c>
      <c r="AI243" s="50">
        <v>40450</v>
      </c>
      <c r="AJ243" s="50" t="s">
        <v>148</v>
      </c>
      <c r="AK243" s="50">
        <v>100</v>
      </c>
      <c r="AL243" s="34">
        <v>5.6674285714285704</v>
      </c>
      <c r="AM243" s="43">
        <v>0.75</v>
      </c>
      <c r="AN243" s="35">
        <v>7.5565714285714264E-2</v>
      </c>
      <c r="AO243" s="35">
        <v>8.8159999999999974E-2</v>
      </c>
      <c r="AP243" s="35">
        <v>0.25188571428571421</v>
      </c>
      <c r="AQ243" s="83">
        <v>0.37782857142857135</v>
      </c>
      <c r="AR243" s="46">
        <v>28766</v>
      </c>
      <c r="AS243" s="50" t="s">
        <v>137</v>
      </c>
      <c r="AT243" s="50">
        <v>100</v>
      </c>
      <c r="AU243" s="44">
        <v>-1</v>
      </c>
      <c r="AV243" s="48">
        <v>-1</v>
      </c>
      <c r="AW243" s="48">
        <v>-1</v>
      </c>
      <c r="AX243" s="48">
        <v>-1</v>
      </c>
      <c r="AY243" s="48">
        <v>-1</v>
      </c>
      <c r="AZ243" s="45">
        <v>1</v>
      </c>
      <c r="BA243" s="36">
        <v>61.039999999999992</v>
      </c>
      <c r="BB243" s="43">
        <v>1</v>
      </c>
      <c r="BC243" s="45">
        <v>-1</v>
      </c>
      <c r="BD243" s="45">
        <v>-1</v>
      </c>
      <c r="BE243" s="45">
        <v>-1</v>
      </c>
      <c r="BF243" s="45">
        <v>40</v>
      </c>
      <c r="BG243" s="45">
        <v>-1</v>
      </c>
      <c r="BH243" s="45">
        <v>-1</v>
      </c>
      <c r="BI243" s="45">
        <v>60</v>
      </c>
      <c r="BJ243" s="28">
        <v>1</v>
      </c>
      <c r="BK243" s="36">
        <v>20.150857142857138</v>
      </c>
      <c r="BL243" s="43">
        <v>1.25</v>
      </c>
      <c r="BM243" s="45">
        <v>3</v>
      </c>
      <c r="BN243" s="36">
        <v>20.150857142857138</v>
      </c>
      <c r="BO243" s="43">
        <v>1.25</v>
      </c>
    </row>
    <row r="244" spans="1:67" s="50" customFormat="1" ht="15" customHeight="1" x14ac:dyDescent="0.25">
      <c r="A244" s="50">
        <v>243</v>
      </c>
      <c r="B244" s="36">
        <v>7123</v>
      </c>
      <c r="C244" s="71">
        <v>7123</v>
      </c>
      <c r="D244" s="22" t="s">
        <v>4</v>
      </c>
      <c r="E244" s="32" t="s">
        <v>403</v>
      </c>
      <c r="F244" s="39">
        <v>6</v>
      </c>
      <c r="G244" s="36">
        <v>6</v>
      </c>
      <c r="H244" s="36">
        <v>1</v>
      </c>
      <c r="I244" s="43">
        <v>32</v>
      </c>
      <c r="J244" s="36">
        <v>20</v>
      </c>
      <c r="K244" s="36">
        <v>12</v>
      </c>
      <c r="L244" s="36">
        <v>27189</v>
      </c>
      <c r="M244" s="36" t="s">
        <v>401</v>
      </c>
      <c r="N244" s="36">
        <v>100</v>
      </c>
      <c r="O244" s="36">
        <v>3</v>
      </c>
      <c r="P244" s="36">
        <v>8</v>
      </c>
      <c r="Q244" s="36">
        <v>16</v>
      </c>
      <c r="R244" s="36">
        <v>7</v>
      </c>
      <c r="S244" s="36">
        <v>4</v>
      </c>
      <c r="T244" s="45">
        <v>27189</v>
      </c>
      <c r="U244" s="36" t="s">
        <v>401</v>
      </c>
      <c r="V244" s="36">
        <v>100</v>
      </c>
      <c r="W244" s="36">
        <v>1</v>
      </c>
      <c r="X244" s="102">
        <v>4</v>
      </c>
      <c r="Y244" s="81">
        <v>-1</v>
      </c>
      <c r="Z244" s="10">
        <v>-1</v>
      </c>
      <c r="AA244" s="10">
        <v>-1</v>
      </c>
      <c r="AB244" s="10">
        <v>-1</v>
      </c>
      <c r="AC244" s="10">
        <v>-1</v>
      </c>
      <c r="AD244" s="10">
        <v>-1</v>
      </c>
      <c r="AE244" s="42">
        <v>73</v>
      </c>
      <c r="AF244" s="43">
        <v>0.5</v>
      </c>
      <c r="AG244" s="45">
        <v>80</v>
      </c>
      <c r="AH244" s="35">
        <v>0.61</v>
      </c>
      <c r="AI244" s="50">
        <v>39369</v>
      </c>
      <c r="AJ244" s="50" t="s">
        <v>391</v>
      </c>
      <c r="AK244" s="50">
        <v>100</v>
      </c>
      <c r="AL244" s="34">
        <v>6.1</v>
      </c>
      <c r="AM244" s="43">
        <v>3</v>
      </c>
      <c r="AN244" s="35">
        <v>0.1</v>
      </c>
      <c r="AO244" s="35">
        <v>0.3</v>
      </c>
      <c r="AP244" s="35">
        <v>0.3</v>
      </c>
      <c r="AQ244" s="83">
        <v>0.3</v>
      </c>
      <c r="AR244" s="46">
        <v>27189</v>
      </c>
      <c r="AS244" s="50" t="s">
        <v>401</v>
      </c>
      <c r="AT244" s="50">
        <v>100</v>
      </c>
      <c r="AU244" s="44">
        <v>-1</v>
      </c>
      <c r="AV244" s="48">
        <v>-1</v>
      </c>
      <c r="AW244" s="48">
        <v>-1</v>
      </c>
      <c r="AX244" s="48">
        <v>-1</v>
      </c>
      <c r="AY244" s="48">
        <v>-1</v>
      </c>
      <c r="AZ244" s="45">
        <v>1</v>
      </c>
      <c r="BA244" s="45">
        <v>7.5</v>
      </c>
      <c r="BB244" s="35">
        <v>1.8</v>
      </c>
      <c r="BC244" s="45">
        <v>-1</v>
      </c>
      <c r="BD244" s="45">
        <v>-1</v>
      </c>
      <c r="BE244" s="45">
        <v>-1</v>
      </c>
      <c r="BF244" s="45">
        <v>-1</v>
      </c>
      <c r="BG244" s="45">
        <v>100</v>
      </c>
      <c r="BH244" s="45">
        <v>-1</v>
      </c>
      <c r="BI244" s="45">
        <v>-1</v>
      </c>
      <c r="BJ244" s="28">
        <v>1</v>
      </c>
      <c r="BK244" s="45">
        <v>7.5</v>
      </c>
      <c r="BL244" s="43">
        <v>2</v>
      </c>
      <c r="BM244" s="45">
        <v>3</v>
      </c>
      <c r="BN244" s="45">
        <v>7.5</v>
      </c>
      <c r="BO244" s="43">
        <v>2</v>
      </c>
    </row>
    <row r="245" spans="1:67" s="50" customFormat="1" ht="15" customHeight="1" x14ac:dyDescent="0.25">
      <c r="A245" s="50">
        <v>244</v>
      </c>
      <c r="B245" s="36">
        <v>7130</v>
      </c>
      <c r="C245" s="46">
        <v>7130</v>
      </c>
      <c r="D245" s="22" t="s">
        <v>4</v>
      </c>
      <c r="E245" s="14" t="s">
        <v>10</v>
      </c>
      <c r="F245" s="39">
        <v>-3</v>
      </c>
      <c r="G245" s="36">
        <v>-3</v>
      </c>
      <c r="H245" s="36">
        <v>-3</v>
      </c>
      <c r="I245" s="36">
        <v>-3</v>
      </c>
      <c r="J245" s="36">
        <v>-3</v>
      </c>
      <c r="K245" s="36">
        <v>-3</v>
      </c>
      <c r="L245" s="45">
        <v>-3</v>
      </c>
      <c r="M245" s="45">
        <v>-3</v>
      </c>
      <c r="N245" s="45">
        <v>-3</v>
      </c>
      <c r="O245" s="36">
        <v>-3</v>
      </c>
      <c r="P245" s="36">
        <v>-3</v>
      </c>
      <c r="Q245" s="36">
        <v>-3</v>
      </c>
      <c r="R245" s="36">
        <v>-3</v>
      </c>
      <c r="S245" s="36">
        <v>-3</v>
      </c>
      <c r="T245" s="45">
        <v>-3</v>
      </c>
      <c r="U245" s="45">
        <v>-3</v>
      </c>
      <c r="V245" s="45">
        <v>-3</v>
      </c>
      <c r="W245" s="45">
        <v>-3</v>
      </c>
      <c r="X245" s="103">
        <v>-3</v>
      </c>
      <c r="Y245" s="29">
        <v>52</v>
      </c>
      <c r="Z245" s="47">
        <v>5</v>
      </c>
      <c r="AA245" s="46">
        <v>85</v>
      </c>
      <c r="AB245" s="50">
        <v>28675</v>
      </c>
      <c r="AC245" s="50" t="s">
        <v>375</v>
      </c>
      <c r="AD245" s="50">
        <v>100</v>
      </c>
      <c r="AE245" s="42">
        <v>36</v>
      </c>
      <c r="AF245" s="43">
        <v>1.4</v>
      </c>
      <c r="AG245" s="36">
        <v>85</v>
      </c>
      <c r="AH245" s="35">
        <v>3.3</v>
      </c>
      <c r="AI245" s="50">
        <v>40450</v>
      </c>
      <c r="AJ245" s="50" t="s">
        <v>148</v>
      </c>
      <c r="AK245" s="50">
        <v>100</v>
      </c>
      <c r="AL245" s="34">
        <v>29.85645933014354</v>
      </c>
      <c r="AM245" s="43">
        <v>0.64688995215311018</v>
      </c>
      <c r="AN245" s="35">
        <v>0.64688995215311018</v>
      </c>
      <c r="AO245" s="35">
        <v>1.3933014354066986</v>
      </c>
      <c r="AP245" s="35">
        <v>0.34832535885167465</v>
      </c>
      <c r="AQ245" s="83">
        <v>0</v>
      </c>
      <c r="AR245" s="50">
        <v>28675</v>
      </c>
      <c r="AS245" s="50" t="s">
        <v>375</v>
      </c>
      <c r="AT245" s="50">
        <v>100</v>
      </c>
      <c r="AU245" s="44">
        <v>-1</v>
      </c>
      <c r="AV245" s="48">
        <v>-1</v>
      </c>
      <c r="AW245" s="48">
        <v>-1</v>
      </c>
      <c r="AX245" s="48">
        <v>-1</v>
      </c>
      <c r="AY245" s="48">
        <v>-1</v>
      </c>
      <c r="AZ245" s="45">
        <v>1</v>
      </c>
      <c r="BA245" s="36">
        <v>70</v>
      </c>
      <c r="BB245" s="43">
        <v>1.3</v>
      </c>
      <c r="BC245" s="45">
        <v>-1</v>
      </c>
      <c r="BD245" s="45">
        <v>-1</v>
      </c>
      <c r="BE245" s="45">
        <v>-1</v>
      </c>
      <c r="BF245" s="45">
        <v>-1</v>
      </c>
      <c r="BG245" s="45">
        <v>70</v>
      </c>
      <c r="BH245" s="45">
        <v>-1</v>
      </c>
      <c r="BI245" s="45">
        <v>30</v>
      </c>
      <c r="BJ245" s="28">
        <v>-1</v>
      </c>
      <c r="BK245" s="48">
        <v>-1</v>
      </c>
      <c r="BL245" s="48">
        <v>-1</v>
      </c>
      <c r="BM245" s="48">
        <v>-1</v>
      </c>
      <c r="BN245" s="48">
        <v>-1</v>
      </c>
      <c r="BO245" s="48">
        <v>-1</v>
      </c>
    </row>
    <row r="246" spans="1:67" s="50" customFormat="1" ht="15" customHeight="1" x14ac:dyDescent="0.25">
      <c r="A246" s="50">
        <v>245</v>
      </c>
      <c r="B246" s="36">
        <v>7133</v>
      </c>
      <c r="C246" s="71">
        <v>7133</v>
      </c>
      <c r="D246" s="22" t="s">
        <v>4</v>
      </c>
      <c r="E246" s="31" t="s">
        <v>405</v>
      </c>
      <c r="F246" s="39">
        <v>-3</v>
      </c>
      <c r="G246" s="45">
        <v>-3</v>
      </c>
      <c r="H246" s="45">
        <v>-3</v>
      </c>
      <c r="I246" s="36">
        <v>-3</v>
      </c>
      <c r="J246" s="45">
        <v>-3</v>
      </c>
      <c r="K246" s="45">
        <v>-3</v>
      </c>
      <c r="L246" s="45">
        <v>-3</v>
      </c>
      <c r="M246" s="45">
        <v>-3</v>
      </c>
      <c r="N246" s="45">
        <v>-3</v>
      </c>
      <c r="O246" s="45">
        <v>-3</v>
      </c>
      <c r="P246" s="45">
        <v>-3</v>
      </c>
      <c r="Q246" s="45">
        <v>-3</v>
      </c>
      <c r="R246" s="45">
        <v>-3</v>
      </c>
      <c r="S246" s="45">
        <v>-3</v>
      </c>
      <c r="T246" s="45">
        <v>-3</v>
      </c>
      <c r="U246" s="45">
        <v>-3</v>
      </c>
      <c r="V246" s="45">
        <v>-3</v>
      </c>
      <c r="W246" s="45">
        <v>-3</v>
      </c>
      <c r="X246" s="103">
        <v>-3</v>
      </c>
      <c r="Y246" s="29">
        <v>75.78</v>
      </c>
      <c r="Z246" s="47">
        <v>5</v>
      </c>
      <c r="AA246" s="47">
        <v>80</v>
      </c>
      <c r="AB246" s="50">
        <v>26417</v>
      </c>
      <c r="AC246" s="50" t="s">
        <v>147</v>
      </c>
      <c r="AD246" s="50">
        <v>100</v>
      </c>
      <c r="AE246" s="42">
        <v>-3</v>
      </c>
      <c r="AF246" s="10">
        <v>-3</v>
      </c>
      <c r="AG246" s="10">
        <v>-3</v>
      </c>
      <c r="AH246" s="10">
        <v>-3</v>
      </c>
      <c r="AI246" s="10">
        <v>-3</v>
      </c>
      <c r="AJ246" s="10">
        <v>-3</v>
      </c>
      <c r="AK246" s="10">
        <v>-3</v>
      </c>
      <c r="AL246" s="34">
        <v>24.846016666666667</v>
      </c>
      <c r="AM246" s="43">
        <v>1.5</v>
      </c>
      <c r="AN246" s="35">
        <v>0.44345333333333353</v>
      </c>
      <c r="AO246" s="35">
        <v>0.79568999999999979</v>
      </c>
      <c r="AP246" s="35">
        <v>0.34381666666666671</v>
      </c>
      <c r="AQ246" s="83">
        <v>7.6545454545454555E-2</v>
      </c>
      <c r="AR246" s="50">
        <v>26417</v>
      </c>
      <c r="AS246" s="50" t="s">
        <v>147</v>
      </c>
      <c r="AT246" s="50">
        <v>100</v>
      </c>
      <c r="AU246" s="44">
        <v>-1</v>
      </c>
      <c r="AV246" s="48">
        <v>-1</v>
      </c>
      <c r="AW246" s="48">
        <v>-1</v>
      </c>
      <c r="AX246" s="48">
        <v>-1</v>
      </c>
      <c r="AY246" s="48">
        <v>-1</v>
      </c>
      <c r="AZ246" s="45">
        <v>1</v>
      </c>
      <c r="BA246" s="45">
        <v>100</v>
      </c>
      <c r="BB246" s="35">
        <v>0.75</v>
      </c>
      <c r="BC246" s="45">
        <v>-1</v>
      </c>
      <c r="BD246" s="45">
        <v>-1</v>
      </c>
      <c r="BE246" s="45">
        <v>-1</v>
      </c>
      <c r="BF246" s="45">
        <v>-1</v>
      </c>
      <c r="BG246" s="45">
        <v>100</v>
      </c>
      <c r="BH246" s="45">
        <v>-1</v>
      </c>
      <c r="BI246" s="45">
        <v>-1</v>
      </c>
      <c r="BJ246" s="28">
        <v>-1</v>
      </c>
      <c r="BK246" s="48">
        <v>-1</v>
      </c>
      <c r="BL246" s="48">
        <v>-1</v>
      </c>
      <c r="BM246" s="48">
        <v>-1</v>
      </c>
      <c r="BN246" s="48">
        <v>-1</v>
      </c>
      <c r="BO246" s="48">
        <v>-1</v>
      </c>
    </row>
    <row r="247" spans="1:67" s="50" customFormat="1" ht="15" customHeight="1" x14ac:dyDescent="0.25">
      <c r="A247" s="50">
        <v>246</v>
      </c>
      <c r="B247" s="36">
        <v>7140</v>
      </c>
      <c r="C247" s="46">
        <v>7140</v>
      </c>
      <c r="D247" s="22" t="s">
        <v>4</v>
      </c>
      <c r="E247" s="15" t="s">
        <v>14</v>
      </c>
      <c r="F247" s="39">
        <v>-3</v>
      </c>
      <c r="G247" s="36">
        <v>-3</v>
      </c>
      <c r="H247" s="36">
        <v>-3</v>
      </c>
      <c r="I247" s="36">
        <v>-3</v>
      </c>
      <c r="J247" s="36">
        <v>-3</v>
      </c>
      <c r="K247" s="36">
        <v>-3</v>
      </c>
      <c r="L247" s="45">
        <v>-3</v>
      </c>
      <c r="M247" s="45">
        <v>-3</v>
      </c>
      <c r="N247" s="45">
        <v>-3</v>
      </c>
      <c r="O247" s="36">
        <v>-3</v>
      </c>
      <c r="P247" s="36">
        <v>-3</v>
      </c>
      <c r="Q247" s="36">
        <v>-3</v>
      </c>
      <c r="R247" s="36">
        <v>-3</v>
      </c>
      <c r="S247" s="36">
        <v>-3</v>
      </c>
      <c r="T247" s="45">
        <v>-3</v>
      </c>
      <c r="U247" s="45">
        <v>-3</v>
      </c>
      <c r="V247" s="45">
        <v>-3</v>
      </c>
      <c r="W247" s="45">
        <v>-3</v>
      </c>
      <c r="X247" s="103">
        <v>-3</v>
      </c>
      <c r="Y247" s="81">
        <v>-3</v>
      </c>
      <c r="Z247" s="19">
        <v>-3</v>
      </c>
      <c r="AA247" s="48">
        <v>-3</v>
      </c>
      <c r="AB247" s="10">
        <v>-3</v>
      </c>
      <c r="AC247" s="10">
        <v>-3</v>
      </c>
      <c r="AD247" s="10">
        <v>-3</v>
      </c>
      <c r="AE247" s="42">
        <v>60</v>
      </c>
      <c r="AF247" s="43">
        <v>1.5666666666666667</v>
      </c>
      <c r="AG247" s="36">
        <v>80</v>
      </c>
      <c r="AH247" s="35">
        <v>3.5587014888943131</v>
      </c>
      <c r="AI247" s="50">
        <v>40450</v>
      </c>
      <c r="AJ247" s="50" t="s">
        <v>148</v>
      </c>
      <c r="AK247" s="50">
        <v>100</v>
      </c>
      <c r="AL247" s="34">
        <v>-3</v>
      </c>
      <c r="AM247" s="48">
        <v>-3</v>
      </c>
      <c r="AN247" s="48">
        <v>-3</v>
      </c>
      <c r="AO247" s="48">
        <v>-3</v>
      </c>
      <c r="AP247" s="48">
        <v>-3</v>
      </c>
      <c r="AQ247" s="48">
        <v>-3</v>
      </c>
      <c r="AR247" s="48">
        <v>-3</v>
      </c>
      <c r="AS247" s="10">
        <v>-3</v>
      </c>
      <c r="AT247" s="10">
        <v>-3</v>
      </c>
      <c r="AU247" s="44">
        <v>-1</v>
      </c>
      <c r="AV247" s="48">
        <v>-1</v>
      </c>
      <c r="AW247" s="48">
        <v>-1</v>
      </c>
      <c r="AX247" s="48">
        <v>-1</v>
      </c>
      <c r="AY247" s="48">
        <v>-1</v>
      </c>
      <c r="AZ247" s="45">
        <v>1</v>
      </c>
      <c r="BA247" s="36">
        <v>43.934586282645839</v>
      </c>
      <c r="BB247" s="43">
        <v>1.2</v>
      </c>
      <c r="BC247" s="45">
        <v>-1</v>
      </c>
      <c r="BD247" s="45">
        <v>-1</v>
      </c>
      <c r="BE247" s="45">
        <v>-1</v>
      </c>
      <c r="BF247" s="45">
        <v>-1</v>
      </c>
      <c r="BG247" s="45">
        <v>-1</v>
      </c>
      <c r="BH247" s="45">
        <v>-1</v>
      </c>
      <c r="BI247" s="45">
        <v>100</v>
      </c>
      <c r="BJ247" s="28">
        <v>-1</v>
      </c>
      <c r="BK247" s="48">
        <v>-1</v>
      </c>
      <c r="BL247" s="48">
        <v>-1</v>
      </c>
      <c r="BM247" s="48">
        <v>-1</v>
      </c>
      <c r="BN247" s="48">
        <v>-1</v>
      </c>
      <c r="BO247" s="48">
        <v>-1</v>
      </c>
    </row>
    <row r="248" spans="1:67" s="50" customFormat="1" ht="15" customHeight="1" x14ac:dyDescent="0.25">
      <c r="A248" s="50">
        <v>247</v>
      </c>
      <c r="B248" s="36">
        <v>7150</v>
      </c>
      <c r="C248" s="46">
        <v>7150</v>
      </c>
      <c r="D248" s="22" t="s">
        <v>4</v>
      </c>
      <c r="E248" s="18" t="s">
        <v>15</v>
      </c>
      <c r="F248" s="39">
        <v>-3</v>
      </c>
      <c r="G248" s="36">
        <v>-3</v>
      </c>
      <c r="H248" s="36">
        <v>-3</v>
      </c>
      <c r="I248" s="36">
        <v>-3</v>
      </c>
      <c r="J248" s="36">
        <v>-3</v>
      </c>
      <c r="K248" s="36">
        <v>-3</v>
      </c>
      <c r="L248" s="45">
        <v>-3</v>
      </c>
      <c r="M248" s="45">
        <v>-3</v>
      </c>
      <c r="N248" s="45">
        <v>-3</v>
      </c>
      <c r="O248" s="36">
        <v>-3</v>
      </c>
      <c r="P248" s="36">
        <v>-3</v>
      </c>
      <c r="Q248" s="36">
        <v>-3</v>
      </c>
      <c r="R248" s="36">
        <v>-3</v>
      </c>
      <c r="S248" s="36">
        <v>-3</v>
      </c>
      <c r="T248" s="45">
        <v>-3</v>
      </c>
      <c r="U248" s="45">
        <v>-3</v>
      </c>
      <c r="V248" s="45">
        <v>-3</v>
      </c>
      <c r="W248" s="45">
        <v>-3</v>
      </c>
      <c r="X248" s="103">
        <v>-3</v>
      </c>
      <c r="Y248" s="29">
        <v>7</v>
      </c>
      <c r="Z248" s="47">
        <v>3</v>
      </c>
      <c r="AA248" s="46">
        <v>80</v>
      </c>
      <c r="AB248" s="50">
        <v>28675</v>
      </c>
      <c r="AC248" s="50" t="s">
        <v>375</v>
      </c>
      <c r="AD248" s="50">
        <v>100</v>
      </c>
      <c r="AE248" s="42">
        <v>7.5</v>
      </c>
      <c r="AF248" s="43">
        <v>1.5666666666666667</v>
      </c>
      <c r="AG248" s="36">
        <v>80</v>
      </c>
      <c r="AH248" s="35">
        <v>0.44483768611178914</v>
      </c>
      <c r="AI248" s="50">
        <v>40450</v>
      </c>
      <c r="AJ248" s="50" t="s">
        <v>148</v>
      </c>
      <c r="AK248" s="50">
        <v>100</v>
      </c>
      <c r="AL248" s="34">
        <v>14.880952380952381</v>
      </c>
      <c r="AM248" s="43">
        <v>0.29761904761904762</v>
      </c>
      <c r="AN248" s="35">
        <v>0.32738095238095244</v>
      </c>
      <c r="AO248" s="35">
        <v>0.74404761904761907</v>
      </c>
      <c r="AP248" s="35">
        <v>0.17857142857142858</v>
      </c>
      <c r="AQ248" s="83">
        <v>0</v>
      </c>
      <c r="AR248" s="46">
        <v>28675</v>
      </c>
      <c r="AS248" s="50" t="s">
        <v>375</v>
      </c>
      <c r="AT248" s="50">
        <v>100</v>
      </c>
      <c r="AU248" s="44">
        <v>-1</v>
      </c>
      <c r="AV248" s="48">
        <v>-1</v>
      </c>
      <c r="AW248" s="48">
        <v>-1</v>
      </c>
      <c r="AX248" s="48">
        <v>-1</v>
      </c>
      <c r="AY248" s="48">
        <v>-1</v>
      </c>
      <c r="AZ248" s="45">
        <v>1</v>
      </c>
      <c r="BA248" s="36">
        <v>12.5</v>
      </c>
      <c r="BB248" s="43">
        <v>1.3</v>
      </c>
      <c r="BC248" s="45">
        <v>-1</v>
      </c>
      <c r="BD248" s="45">
        <v>-1</v>
      </c>
      <c r="BE248" s="45">
        <v>-1</v>
      </c>
      <c r="BF248" s="45">
        <v>-1</v>
      </c>
      <c r="BG248" s="45">
        <v>50</v>
      </c>
      <c r="BH248" s="45">
        <v>-1</v>
      </c>
      <c r="BI248" s="45">
        <v>50</v>
      </c>
      <c r="BJ248" s="28">
        <v>-1</v>
      </c>
      <c r="BK248" s="48">
        <v>-1</v>
      </c>
      <c r="BL248" s="48">
        <v>-1</v>
      </c>
      <c r="BM248" s="48">
        <v>-1</v>
      </c>
      <c r="BN248" s="48">
        <v>-1</v>
      </c>
      <c r="BO248" s="48">
        <v>-1</v>
      </c>
    </row>
    <row r="249" spans="1:67" s="50" customFormat="1" ht="15" customHeight="1" x14ac:dyDescent="0.25">
      <c r="A249" s="50">
        <v>248</v>
      </c>
      <c r="B249" s="52" t="s">
        <v>304</v>
      </c>
      <c r="C249" s="68">
        <v>917160</v>
      </c>
      <c r="D249" s="22" t="s">
        <v>4</v>
      </c>
      <c r="E249" s="74" t="s">
        <v>11</v>
      </c>
      <c r="F249" s="39">
        <v>19.100000000000001</v>
      </c>
      <c r="G249" s="36">
        <v>19.100000000000001</v>
      </c>
      <c r="H249" s="36">
        <v>6.7411764705882353</v>
      </c>
      <c r="I249" s="36">
        <v>48.287073490813647</v>
      </c>
      <c r="J249" s="36">
        <v>28.404160876949202</v>
      </c>
      <c r="K249" s="36">
        <v>10.793581133240696</v>
      </c>
      <c r="L249" s="36">
        <v>29027</v>
      </c>
      <c r="M249" s="36" t="s">
        <v>369</v>
      </c>
      <c r="N249" s="36">
        <v>100</v>
      </c>
      <c r="O249" s="36">
        <v>13.482352941176471</v>
      </c>
      <c r="P249" s="36">
        <v>33.705882352941174</v>
      </c>
      <c r="Q249" s="36">
        <v>28.404160876949202</v>
      </c>
      <c r="R249" s="36">
        <v>11.361664350779682</v>
      </c>
      <c r="S249" s="36">
        <v>5.680832175389841</v>
      </c>
      <c r="T249" s="36">
        <v>29027</v>
      </c>
      <c r="U249" s="36" t="s">
        <v>369</v>
      </c>
      <c r="V249" s="36">
        <v>100</v>
      </c>
      <c r="W249" s="36">
        <v>1</v>
      </c>
      <c r="X249" s="102">
        <v>4</v>
      </c>
      <c r="Y249" s="29">
        <v>45.084300000000006</v>
      </c>
      <c r="Z249" s="47">
        <v>8</v>
      </c>
      <c r="AA249" s="46">
        <v>80</v>
      </c>
      <c r="AB249" s="50">
        <v>18101</v>
      </c>
      <c r="AC249" s="50" t="s">
        <v>374</v>
      </c>
      <c r="AD249" s="50">
        <v>100</v>
      </c>
      <c r="AE249" s="42">
        <v>22</v>
      </c>
      <c r="AF249" s="43">
        <v>1</v>
      </c>
      <c r="AG249" s="36">
        <v>80</v>
      </c>
      <c r="AH249" s="35">
        <v>0.11843040000000002</v>
      </c>
      <c r="AI249" s="50">
        <v>39878</v>
      </c>
      <c r="AJ249" s="50" t="s">
        <v>373</v>
      </c>
      <c r="AK249" s="50">
        <v>100</v>
      </c>
      <c r="AL249" s="34">
        <v>5.6176470588235299</v>
      </c>
      <c r="AM249" s="43">
        <v>0.2247058823529412</v>
      </c>
      <c r="AN249" s="35">
        <v>0.1123529411764706</v>
      </c>
      <c r="AO249" s="35">
        <v>0.1123529411764706</v>
      </c>
      <c r="AP249" s="35">
        <v>0.2247058823529412</v>
      </c>
      <c r="AQ249" s="83">
        <v>0.3370588235294118</v>
      </c>
      <c r="AR249" s="46">
        <v>29027</v>
      </c>
      <c r="AS249" s="46" t="s">
        <v>369</v>
      </c>
      <c r="AT249" s="46">
        <v>100</v>
      </c>
      <c r="AU249" s="44">
        <v>-1</v>
      </c>
      <c r="AV249" s="48">
        <v>-1</v>
      </c>
      <c r="AW249" s="45">
        <v>1</v>
      </c>
      <c r="AX249" s="36">
        <v>20</v>
      </c>
      <c r="AY249" s="45">
        <v>1</v>
      </c>
      <c r="AZ249" s="45">
        <v>1</v>
      </c>
      <c r="BA249" s="36">
        <v>21.347058823529416</v>
      </c>
      <c r="BB249" s="43">
        <v>1.5</v>
      </c>
      <c r="BC249" s="45">
        <v>-1</v>
      </c>
      <c r="BD249" s="45">
        <v>-1</v>
      </c>
      <c r="BE249" s="45">
        <v>-1</v>
      </c>
      <c r="BF249" s="45">
        <v>-1</v>
      </c>
      <c r="BG249" s="45">
        <v>100</v>
      </c>
      <c r="BH249" s="45">
        <v>-1</v>
      </c>
      <c r="BI249" s="45">
        <v>-1</v>
      </c>
      <c r="BJ249" s="28">
        <v>1</v>
      </c>
      <c r="BK249" s="56">
        <v>16.852941176470587</v>
      </c>
      <c r="BL249" s="45">
        <v>1</v>
      </c>
      <c r="BM249" s="59">
        <v>3</v>
      </c>
      <c r="BN249" s="56">
        <v>16.852941176470587</v>
      </c>
      <c r="BO249" s="45">
        <v>0.5</v>
      </c>
    </row>
    <row r="250" spans="1:67" s="50" customFormat="1" ht="15" customHeight="1" x14ac:dyDescent="0.25">
      <c r="A250" s="50">
        <v>249</v>
      </c>
      <c r="B250" s="52" t="s">
        <v>305</v>
      </c>
      <c r="C250" s="68">
        <v>927160</v>
      </c>
      <c r="D250" s="22" t="s">
        <v>4</v>
      </c>
      <c r="E250" s="74" t="s">
        <v>11</v>
      </c>
      <c r="F250" s="39">
        <v>60</v>
      </c>
      <c r="G250" s="36">
        <v>60</v>
      </c>
      <c r="H250" s="36">
        <v>21.176470588235293</v>
      </c>
      <c r="I250" s="36">
        <v>69.782480314960623</v>
      </c>
      <c r="J250" s="36">
        <v>41.048517832329779</v>
      </c>
      <c r="K250" s="36">
        <v>15.598436776285315</v>
      </c>
      <c r="L250" s="36">
        <v>29027</v>
      </c>
      <c r="M250" s="36" t="s">
        <v>369</v>
      </c>
      <c r="N250" s="36">
        <v>100</v>
      </c>
      <c r="O250" s="36">
        <v>42.352941176470587</v>
      </c>
      <c r="P250" s="36">
        <v>105.88235294117648</v>
      </c>
      <c r="Q250" s="36">
        <v>41.048517832329779</v>
      </c>
      <c r="R250" s="36">
        <v>16.419407132931909</v>
      </c>
      <c r="S250" s="36">
        <v>8.2097035664659543</v>
      </c>
      <c r="T250" s="36">
        <v>29027</v>
      </c>
      <c r="U250" s="36" t="s">
        <v>369</v>
      </c>
      <c r="V250" s="36">
        <v>100</v>
      </c>
      <c r="W250" s="36">
        <v>1</v>
      </c>
      <c r="X250" s="102">
        <v>4</v>
      </c>
      <c r="Y250" s="29">
        <v>26.290800000000004</v>
      </c>
      <c r="Z250" s="47">
        <v>8</v>
      </c>
      <c r="AA250" s="46">
        <v>80</v>
      </c>
      <c r="AB250" s="50">
        <v>18101</v>
      </c>
      <c r="AC250" s="50" t="s">
        <v>374</v>
      </c>
      <c r="AD250" s="50">
        <v>100</v>
      </c>
      <c r="AE250" s="42">
        <v>13</v>
      </c>
      <c r="AF250" s="43">
        <v>1</v>
      </c>
      <c r="AG250" s="36">
        <v>80</v>
      </c>
      <c r="AH250" s="35">
        <v>6.906240000000001E-2</v>
      </c>
      <c r="AI250" s="50">
        <v>39878</v>
      </c>
      <c r="AJ250" s="50" t="s">
        <v>373</v>
      </c>
      <c r="AK250" s="50">
        <v>100</v>
      </c>
      <c r="AL250" s="34">
        <v>17.647058823529413</v>
      </c>
      <c r="AM250" s="43">
        <v>0.70588235294117652</v>
      </c>
      <c r="AN250" s="35">
        <v>0.35294117647058826</v>
      </c>
      <c r="AO250" s="35">
        <v>0.35294117647058826</v>
      </c>
      <c r="AP250" s="35">
        <v>0.70588235294117652</v>
      </c>
      <c r="AQ250" s="83">
        <v>1.0588235294117647</v>
      </c>
      <c r="AR250" s="46">
        <v>29027</v>
      </c>
      <c r="AS250" s="46" t="s">
        <v>369</v>
      </c>
      <c r="AT250" s="46">
        <v>100</v>
      </c>
      <c r="AU250" s="44">
        <v>-1</v>
      </c>
      <c r="AV250" s="48">
        <v>-1</v>
      </c>
      <c r="AW250" s="45">
        <v>1</v>
      </c>
      <c r="AX250" s="36">
        <v>20</v>
      </c>
      <c r="AY250" s="45">
        <v>1</v>
      </c>
      <c r="AZ250" s="45">
        <v>1</v>
      </c>
      <c r="BA250" s="36">
        <v>67.058823529411768</v>
      </c>
      <c r="BB250" s="43">
        <v>1.5</v>
      </c>
      <c r="BC250" s="45">
        <v>-1</v>
      </c>
      <c r="BD250" s="45">
        <v>-1</v>
      </c>
      <c r="BE250" s="45">
        <v>-1</v>
      </c>
      <c r="BF250" s="45">
        <v>-1</v>
      </c>
      <c r="BG250" s="45">
        <v>100</v>
      </c>
      <c r="BH250" s="45">
        <v>-1</v>
      </c>
      <c r="BI250" s="45">
        <v>-1</v>
      </c>
      <c r="BJ250" s="28">
        <v>1</v>
      </c>
      <c r="BK250" s="56">
        <v>52.941176470588232</v>
      </c>
      <c r="BL250" s="45">
        <v>1</v>
      </c>
      <c r="BM250" s="59">
        <v>3</v>
      </c>
      <c r="BN250" s="56">
        <v>52.941176470588232</v>
      </c>
      <c r="BO250" s="45">
        <v>0.5</v>
      </c>
    </row>
    <row r="251" spans="1:67" s="50" customFormat="1" ht="15" customHeight="1" x14ac:dyDescent="0.25">
      <c r="A251" s="50">
        <v>250</v>
      </c>
      <c r="B251" s="36">
        <v>7180</v>
      </c>
      <c r="C251" s="46">
        <v>7180</v>
      </c>
      <c r="D251" s="22" t="s">
        <v>4</v>
      </c>
      <c r="E251" s="16" t="s">
        <v>13</v>
      </c>
      <c r="F251" s="39">
        <v>-3</v>
      </c>
      <c r="G251" s="36">
        <v>-3</v>
      </c>
      <c r="H251" s="36">
        <v>-3</v>
      </c>
      <c r="I251" s="36">
        <v>-3</v>
      </c>
      <c r="J251" s="36">
        <v>-3</v>
      </c>
      <c r="K251" s="36">
        <v>-3</v>
      </c>
      <c r="L251" s="45">
        <v>-3</v>
      </c>
      <c r="M251" s="45">
        <v>-3</v>
      </c>
      <c r="N251" s="45">
        <v>-3</v>
      </c>
      <c r="O251" s="36">
        <v>-3</v>
      </c>
      <c r="P251" s="36">
        <v>-3</v>
      </c>
      <c r="Q251" s="36">
        <v>-3</v>
      </c>
      <c r="R251" s="36">
        <v>-3</v>
      </c>
      <c r="S251" s="36">
        <v>-3</v>
      </c>
      <c r="T251" s="45">
        <v>-3</v>
      </c>
      <c r="U251" s="45">
        <v>-3</v>
      </c>
      <c r="V251" s="45">
        <v>-3</v>
      </c>
      <c r="W251" s="45">
        <v>-3</v>
      </c>
      <c r="X251" s="103">
        <v>-3</v>
      </c>
      <c r="Y251" s="81">
        <v>-1</v>
      </c>
      <c r="Z251" s="10">
        <v>-1</v>
      </c>
      <c r="AA251" s="10">
        <v>-1</v>
      </c>
      <c r="AB251" s="10">
        <v>-1</v>
      </c>
      <c r="AC251" s="10">
        <v>-1</v>
      </c>
      <c r="AD251" s="10">
        <v>-1</v>
      </c>
      <c r="AE251" s="42">
        <v>72</v>
      </c>
      <c r="AF251" s="43">
        <v>3</v>
      </c>
      <c r="AG251" s="36">
        <v>70</v>
      </c>
      <c r="AH251" s="35">
        <v>2.16</v>
      </c>
      <c r="AI251" s="50">
        <v>39878</v>
      </c>
      <c r="AJ251" s="50" t="s">
        <v>373</v>
      </c>
      <c r="AK251" s="50">
        <v>100</v>
      </c>
      <c r="AL251" s="34">
        <v>-1</v>
      </c>
      <c r="AM251" s="48">
        <v>-1</v>
      </c>
      <c r="AN251" s="48">
        <v>-1</v>
      </c>
      <c r="AO251" s="48">
        <v>-1</v>
      </c>
      <c r="AP251" s="48">
        <v>-1</v>
      </c>
      <c r="AQ251" s="48">
        <v>-1</v>
      </c>
      <c r="AR251" s="48">
        <v>-1</v>
      </c>
      <c r="AS251" s="48">
        <v>-1</v>
      </c>
      <c r="AT251" s="48">
        <v>-1</v>
      </c>
      <c r="AU251" s="44">
        <v>-1</v>
      </c>
      <c r="AV251" s="48">
        <v>-1</v>
      </c>
      <c r="AW251" s="48">
        <v>-1</v>
      </c>
      <c r="AX251" s="48">
        <v>-1</v>
      </c>
      <c r="AY251" s="48">
        <v>-1</v>
      </c>
      <c r="AZ251" s="45">
        <v>1</v>
      </c>
      <c r="BA251" s="36">
        <v>72</v>
      </c>
      <c r="BB251" s="43">
        <v>2</v>
      </c>
      <c r="BC251" s="45">
        <v>-1</v>
      </c>
      <c r="BD251" s="45">
        <v>-1</v>
      </c>
      <c r="BE251" s="45">
        <v>-1</v>
      </c>
      <c r="BF251" s="45">
        <v>-1</v>
      </c>
      <c r="BG251" s="45">
        <v>-1</v>
      </c>
      <c r="BH251" s="45">
        <v>-1</v>
      </c>
      <c r="BI251" s="45">
        <v>100</v>
      </c>
      <c r="BJ251" s="28">
        <v>-1</v>
      </c>
      <c r="BK251" s="48">
        <v>-1</v>
      </c>
      <c r="BL251" s="48">
        <v>-1</v>
      </c>
      <c r="BM251" s="48">
        <v>-1</v>
      </c>
      <c r="BN251" s="48">
        <v>-1</v>
      </c>
      <c r="BO251" s="48">
        <v>-1</v>
      </c>
    </row>
    <row r="252" spans="1:67" s="50" customFormat="1" ht="15" customHeight="1" x14ac:dyDescent="0.25">
      <c r="A252" s="50">
        <v>251</v>
      </c>
      <c r="B252" s="36">
        <v>8010</v>
      </c>
      <c r="C252" s="46">
        <v>8010</v>
      </c>
      <c r="D252" s="36" t="s">
        <v>3</v>
      </c>
      <c r="E252" s="25" t="s">
        <v>410</v>
      </c>
      <c r="F252" s="39">
        <v>-3</v>
      </c>
      <c r="G252" s="45">
        <v>-3</v>
      </c>
      <c r="H252" s="45">
        <v>-3</v>
      </c>
      <c r="I252" s="36">
        <v>-3</v>
      </c>
      <c r="J252" s="45">
        <v>-3</v>
      </c>
      <c r="K252" s="45">
        <v>-3</v>
      </c>
      <c r="L252" s="45">
        <v>-3</v>
      </c>
      <c r="M252" s="45">
        <v>-3</v>
      </c>
      <c r="N252" s="45">
        <v>-3</v>
      </c>
      <c r="O252" s="45">
        <v>-3</v>
      </c>
      <c r="P252" s="45">
        <v>-3</v>
      </c>
      <c r="Q252" s="45">
        <v>-3</v>
      </c>
      <c r="R252" s="45">
        <v>-3</v>
      </c>
      <c r="S252" s="45">
        <v>-3</v>
      </c>
      <c r="T252" s="45">
        <v>-3</v>
      </c>
      <c r="U252" s="45">
        <v>-3</v>
      </c>
      <c r="V252" s="45">
        <v>-3</v>
      </c>
      <c r="W252" s="45">
        <v>-3</v>
      </c>
      <c r="X252" s="103">
        <v>-3</v>
      </c>
      <c r="Y252" s="81">
        <v>-3</v>
      </c>
      <c r="Z252" s="10">
        <v>-3</v>
      </c>
      <c r="AA252" s="48">
        <v>-3</v>
      </c>
      <c r="AB252" s="10">
        <v>-3</v>
      </c>
      <c r="AC252" s="10">
        <v>-3</v>
      </c>
      <c r="AD252" s="10">
        <v>-3</v>
      </c>
      <c r="AE252" s="42">
        <v>100</v>
      </c>
      <c r="AF252" s="43">
        <v>0.5</v>
      </c>
      <c r="AG252" s="36">
        <v>0</v>
      </c>
      <c r="AH252" s="35">
        <v>0.17</v>
      </c>
      <c r="AI252" s="50">
        <v>42236</v>
      </c>
      <c r="AJ252" s="50" t="s">
        <v>207</v>
      </c>
      <c r="AK252" s="50">
        <v>100</v>
      </c>
      <c r="AL252" s="34">
        <v>-3</v>
      </c>
      <c r="AM252" s="48">
        <v>-3</v>
      </c>
      <c r="AN252" s="48">
        <v>-3</v>
      </c>
      <c r="AO252" s="48">
        <v>-3</v>
      </c>
      <c r="AP252" s="48">
        <v>-3</v>
      </c>
      <c r="AQ252" s="48">
        <v>-3</v>
      </c>
      <c r="AR252" s="48">
        <v>-3</v>
      </c>
      <c r="AS252" s="48">
        <v>-3</v>
      </c>
      <c r="AT252" s="48">
        <v>-3</v>
      </c>
      <c r="AU252" s="44">
        <v>-1</v>
      </c>
      <c r="AV252" s="48">
        <v>-1</v>
      </c>
      <c r="AW252" s="48">
        <v>-1</v>
      </c>
      <c r="AX252" s="48">
        <v>-1</v>
      </c>
      <c r="AY252" s="48">
        <v>-1</v>
      </c>
      <c r="AZ252" s="45">
        <v>2</v>
      </c>
      <c r="BA252" s="45">
        <v>65</v>
      </c>
      <c r="BB252" s="35">
        <v>0.5</v>
      </c>
      <c r="BC252" s="53">
        <v>-1</v>
      </c>
      <c r="BD252" s="53">
        <v>-1</v>
      </c>
      <c r="BE252" s="53">
        <v>-1</v>
      </c>
      <c r="BF252" s="53">
        <v>-1</v>
      </c>
      <c r="BG252" s="53">
        <v>-1</v>
      </c>
      <c r="BH252" s="53">
        <v>-1</v>
      </c>
      <c r="BI252" s="45">
        <v>100</v>
      </c>
      <c r="BJ252" s="28">
        <v>-1</v>
      </c>
      <c r="BK252" s="48">
        <v>-1</v>
      </c>
      <c r="BL252" s="48">
        <v>-1</v>
      </c>
      <c r="BM252" s="48">
        <v>-1</v>
      </c>
      <c r="BN252" s="48">
        <v>-1</v>
      </c>
      <c r="BO252" s="48">
        <v>-1</v>
      </c>
    </row>
    <row r="253" spans="1:67" s="50" customFormat="1" ht="15" customHeight="1" x14ac:dyDescent="0.25">
      <c r="A253" s="50">
        <v>252</v>
      </c>
      <c r="B253" s="36">
        <v>8012</v>
      </c>
      <c r="C253" s="46">
        <v>8012</v>
      </c>
      <c r="D253" s="36" t="s">
        <v>3</v>
      </c>
      <c r="E253" s="25" t="s">
        <v>412</v>
      </c>
      <c r="F253" s="39">
        <v>-3</v>
      </c>
      <c r="G253" s="45">
        <v>-3</v>
      </c>
      <c r="H253" s="45">
        <v>-3</v>
      </c>
      <c r="I253" s="36">
        <v>-3</v>
      </c>
      <c r="J253" s="45">
        <v>-3</v>
      </c>
      <c r="K253" s="45">
        <v>-3</v>
      </c>
      <c r="L253" s="45">
        <v>-3</v>
      </c>
      <c r="M253" s="45">
        <v>-3</v>
      </c>
      <c r="N253" s="45">
        <v>-3</v>
      </c>
      <c r="O253" s="45">
        <v>-3</v>
      </c>
      <c r="P253" s="45">
        <v>-3</v>
      </c>
      <c r="Q253" s="45">
        <v>-3</v>
      </c>
      <c r="R253" s="45">
        <v>-3</v>
      </c>
      <c r="S253" s="45">
        <v>-3</v>
      </c>
      <c r="T253" s="45">
        <v>-3</v>
      </c>
      <c r="U253" s="45">
        <v>-3</v>
      </c>
      <c r="V253" s="45">
        <v>-3</v>
      </c>
      <c r="W253" s="45">
        <v>-3</v>
      </c>
      <c r="X253" s="103">
        <v>-3</v>
      </c>
      <c r="Y253" s="81">
        <v>-3</v>
      </c>
      <c r="Z253" s="10">
        <v>-3</v>
      </c>
      <c r="AA253" s="48">
        <v>-3</v>
      </c>
      <c r="AB253" s="10">
        <v>-3</v>
      </c>
      <c r="AC253" s="10">
        <v>-3</v>
      </c>
      <c r="AD253" s="10">
        <v>-3</v>
      </c>
      <c r="AE253" s="42">
        <v>100</v>
      </c>
      <c r="AF253" s="66">
        <v>0.5</v>
      </c>
      <c r="AG253" s="62">
        <v>0</v>
      </c>
      <c r="AH253" s="63">
        <v>0.48</v>
      </c>
      <c r="AI253" s="50">
        <v>42269</v>
      </c>
      <c r="AJ253" s="50" t="s">
        <v>206</v>
      </c>
      <c r="AK253" s="50">
        <v>100</v>
      </c>
      <c r="AL253" s="34">
        <v>-3</v>
      </c>
      <c r="AM253" s="48">
        <v>-3</v>
      </c>
      <c r="AN253" s="48">
        <v>-3</v>
      </c>
      <c r="AO253" s="48">
        <v>-3</v>
      </c>
      <c r="AP253" s="48">
        <v>-3</v>
      </c>
      <c r="AQ253" s="48">
        <v>-3</v>
      </c>
      <c r="AR253" s="48">
        <v>-3</v>
      </c>
      <c r="AS253" s="10">
        <v>-3</v>
      </c>
      <c r="AT253" s="10">
        <v>-3</v>
      </c>
      <c r="AU253" s="44">
        <v>-1</v>
      </c>
      <c r="AV253" s="48">
        <v>-1</v>
      </c>
      <c r="AW253" s="48">
        <v>-1</v>
      </c>
      <c r="AX253" s="48">
        <v>-1</v>
      </c>
      <c r="AY253" s="48">
        <v>-1</v>
      </c>
      <c r="AZ253" s="45">
        <v>2</v>
      </c>
      <c r="BA253" s="45">
        <v>65</v>
      </c>
      <c r="BB253" s="35">
        <v>0.5</v>
      </c>
      <c r="BC253" s="53">
        <v>-1</v>
      </c>
      <c r="BD253" s="53">
        <v>-1</v>
      </c>
      <c r="BE253" s="53">
        <v>-1</v>
      </c>
      <c r="BF253" s="53">
        <v>-1</v>
      </c>
      <c r="BG253" s="53">
        <v>-1</v>
      </c>
      <c r="BH253" s="53">
        <v>-1</v>
      </c>
      <c r="BI253" s="45">
        <v>100</v>
      </c>
      <c r="BJ253" s="28">
        <v>-1</v>
      </c>
      <c r="BK253" s="48">
        <v>-1</v>
      </c>
      <c r="BL253" s="48">
        <v>-1</v>
      </c>
      <c r="BM253" s="48">
        <v>-1</v>
      </c>
      <c r="BN253" s="48">
        <v>-1</v>
      </c>
      <c r="BO253" s="48">
        <v>-1</v>
      </c>
    </row>
    <row r="254" spans="1:67" s="50" customFormat="1" ht="15" customHeight="1" x14ac:dyDescent="0.25">
      <c r="A254" s="50">
        <v>253</v>
      </c>
      <c r="B254" s="36">
        <v>8013</v>
      </c>
      <c r="C254" s="46">
        <v>8013</v>
      </c>
      <c r="D254" s="36" t="s">
        <v>3</v>
      </c>
      <c r="E254" s="25" t="s">
        <v>413</v>
      </c>
      <c r="F254" s="39">
        <v>-3</v>
      </c>
      <c r="G254" s="45">
        <v>-3</v>
      </c>
      <c r="H254" s="45">
        <v>-3</v>
      </c>
      <c r="I254" s="36">
        <v>-3</v>
      </c>
      <c r="J254" s="45">
        <v>-3</v>
      </c>
      <c r="K254" s="45">
        <v>-3</v>
      </c>
      <c r="L254" s="45">
        <v>-3</v>
      </c>
      <c r="M254" s="45">
        <v>-3</v>
      </c>
      <c r="N254" s="45">
        <v>-3</v>
      </c>
      <c r="O254" s="45">
        <v>-3</v>
      </c>
      <c r="P254" s="45">
        <v>-3</v>
      </c>
      <c r="Q254" s="45">
        <v>-3</v>
      </c>
      <c r="R254" s="45">
        <v>-3</v>
      </c>
      <c r="S254" s="45">
        <v>-3</v>
      </c>
      <c r="T254" s="45">
        <v>-3</v>
      </c>
      <c r="U254" s="45">
        <v>-3</v>
      </c>
      <c r="V254" s="45">
        <v>-3</v>
      </c>
      <c r="W254" s="45">
        <v>-3</v>
      </c>
      <c r="X254" s="103">
        <v>-3</v>
      </c>
      <c r="Y254" s="81">
        <v>-3</v>
      </c>
      <c r="Z254" s="10">
        <v>-3</v>
      </c>
      <c r="AA254" s="48">
        <v>-3</v>
      </c>
      <c r="AB254" s="10">
        <v>-3</v>
      </c>
      <c r="AC254" s="10">
        <v>-3</v>
      </c>
      <c r="AD254" s="10">
        <v>-3</v>
      </c>
      <c r="AE254" s="42">
        <v>100</v>
      </c>
      <c r="AF254" s="43">
        <v>0.5</v>
      </c>
      <c r="AG254" s="45">
        <v>0</v>
      </c>
      <c r="AH254" s="35">
        <v>0.17</v>
      </c>
      <c r="AI254" s="50">
        <v>26716</v>
      </c>
      <c r="AJ254" s="50" t="s">
        <v>208</v>
      </c>
      <c r="AK254" s="50">
        <v>100</v>
      </c>
      <c r="AL254" s="34">
        <v>-3</v>
      </c>
      <c r="AM254" s="48">
        <v>-3</v>
      </c>
      <c r="AN254" s="48">
        <v>-3</v>
      </c>
      <c r="AO254" s="48">
        <v>-3</v>
      </c>
      <c r="AP254" s="48">
        <v>-3</v>
      </c>
      <c r="AQ254" s="48">
        <v>-3</v>
      </c>
      <c r="AR254" s="48">
        <v>-3</v>
      </c>
      <c r="AS254" s="10">
        <v>-3</v>
      </c>
      <c r="AT254" s="10">
        <v>-3</v>
      </c>
      <c r="AU254" s="44">
        <v>-1</v>
      </c>
      <c r="AV254" s="48">
        <v>-1</v>
      </c>
      <c r="AW254" s="48">
        <v>-1</v>
      </c>
      <c r="AX254" s="48">
        <v>-1</v>
      </c>
      <c r="AY254" s="48">
        <v>-1</v>
      </c>
      <c r="AZ254" s="45">
        <v>2</v>
      </c>
      <c r="BA254" s="45">
        <v>65</v>
      </c>
      <c r="BB254" s="35">
        <v>0.5</v>
      </c>
      <c r="BC254" s="53">
        <v>-1</v>
      </c>
      <c r="BD254" s="53">
        <v>-1</v>
      </c>
      <c r="BE254" s="53">
        <v>-1</v>
      </c>
      <c r="BF254" s="53">
        <v>-1</v>
      </c>
      <c r="BG254" s="53">
        <v>-1</v>
      </c>
      <c r="BH254" s="53">
        <v>-1</v>
      </c>
      <c r="BI254" s="45">
        <v>100</v>
      </c>
      <c r="BJ254" s="28">
        <v>-1</v>
      </c>
      <c r="BK254" s="48">
        <v>-1</v>
      </c>
      <c r="BL254" s="48">
        <v>-1</v>
      </c>
      <c r="BM254" s="48">
        <v>-1</v>
      </c>
      <c r="BN254" s="48">
        <v>-1</v>
      </c>
      <c r="BO254" s="48">
        <v>-1</v>
      </c>
    </row>
    <row r="255" spans="1:67" s="50" customFormat="1" ht="15" customHeight="1" x14ac:dyDescent="0.25">
      <c r="A255" s="50">
        <v>254</v>
      </c>
      <c r="B255" s="36">
        <v>8015</v>
      </c>
      <c r="C255" s="46">
        <v>8015</v>
      </c>
      <c r="D255" s="36" t="s">
        <v>3</v>
      </c>
      <c r="E255" s="9" t="s">
        <v>424</v>
      </c>
      <c r="F255" s="39">
        <v>-3</v>
      </c>
      <c r="G255" s="45">
        <v>-3</v>
      </c>
      <c r="H255" s="45">
        <v>-3</v>
      </c>
      <c r="I255" s="36">
        <v>-3</v>
      </c>
      <c r="J255" s="45">
        <v>-3</v>
      </c>
      <c r="K255" s="45">
        <v>-3</v>
      </c>
      <c r="L255" s="45">
        <v>-3</v>
      </c>
      <c r="M255" s="45">
        <v>-3</v>
      </c>
      <c r="N255" s="45">
        <v>-3</v>
      </c>
      <c r="O255" s="45">
        <v>-3</v>
      </c>
      <c r="P255" s="45">
        <v>-3</v>
      </c>
      <c r="Q255" s="45">
        <v>-3</v>
      </c>
      <c r="R255" s="45">
        <v>-3</v>
      </c>
      <c r="S255" s="45">
        <v>-3</v>
      </c>
      <c r="T255" s="45">
        <v>-3</v>
      </c>
      <c r="U255" s="45">
        <v>-3</v>
      </c>
      <c r="V255" s="45">
        <v>-3</v>
      </c>
      <c r="W255" s="45">
        <v>-3</v>
      </c>
      <c r="X255" s="103">
        <v>-3</v>
      </c>
      <c r="Y255" s="81">
        <v>-3</v>
      </c>
      <c r="Z255" s="10">
        <v>-3</v>
      </c>
      <c r="AA255" s="48">
        <v>-3</v>
      </c>
      <c r="AB255" s="10">
        <v>-3</v>
      </c>
      <c r="AC255" s="10">
        <v>-3</v>
      </c>
      <c r="AD255" s="10">
        <v>-3</v>
      </c>
      <c r="AE255" s="42">
        <v>100</v>
      </c>
      <c r="AF255" s="66">
        <v>0.5</v>
      </c>
      <c r="AG255" s="62">
        <v>0</v>
      </c>
      <c r="AH255" s="63">
        <v>0.69</v>
      </c>
      <c r="AI255" s="50">
        <v>21711</v>
      </c>
      <c r="AJ255" s="50" t="s">
        <v>425</v>
      </c>
      <c r="AK255" s="50">
        <v>100</v>
      </c>
      <c r="AL255" s="34">
        <v>-3</v>
      </c>
      <c r="AM255" s="48">
        <v>-3</v>
      </c>
      <c r="AN255" s="48">
        <v>-3</v>
      </c>
      <c r="AO255" s="48">
        <v>-3</v>
      </c>
      <c r="AP255" s="48">
        <v>-3</v>
      </c>
      <c r="AQ255" s="48">
        <v>-3</v>
      </c>
      <c r="AR255" s="48">
        <v>-3</v>
      </c>
      <c r="AS255" s="10">
        <v>-3</v>
      </c>
      <c r="AT255" s="10">
        <v>-3</v>
      </c>
      <c r="AU255" s="44">
        <v>-1</v>
      </c>
      <c r="AV255" s="48">
        <v>-1</v>
      </c>
      <c r="AW255" s="48">
        <v>-1</v>
      </c>
      <c r="AX255" s="48">
        <v>-1</v>
      </c>
      <c r="AY255" s="48">
        <v>-1</v>
      </c>
      <c r="AZ255" s="45">
        <v>2</v>
      </c>
      <c r="BA255" s="45">
        <v>65</v>
      </c>
      <c r="BB255" s="35">
        <v>0.5</v>
      </c>
      <c r="BC255" s="53">
        <v>-1</v>
      </c>
      <c r="BD255" s="53">
        <v>-1</v>
      </c>
      <c r="BE255" s="53">
        <v>-1</v>
      </c>
      <c r="BF255" s="53">
        <v>-1</v>
      </c>
      <c r="BG255" s="53">
        <v>-1</v>
      </c>
      <c r="BH255" s="53">
        <v>-1</v>
      </c>
      <c r="BI255" s="45">
        <v>100</v>
      </c>
      <c r="BJ255" s="28">
        <v>-1</v>
      </c>
      <c r="BK255" s="48">
        <v>-1</v>
      </c>
      <c r="BL255" s="48">
        <v>-1</v>
      </c>
      <c r="BM255" s="48">
        <v>-1</v>
      </c>
      <c r="BN255" s="48">
        <v>-1</v>
      </c>
      <c r="BO255" s="48">
        <v>-1</v>
      </c>
    </row>
    <row r="256" spans="1:67" s="50" customFormat="1" ht="15" customHeight="1" x14ac:dyDescent="0.25">
      <c r="A256" s="50">
        <v>255</v>
      </c>
      <c r="B256" s="36">
        <v>8019</v>
      </c>
      <c r="C256" s="46">
        <v>8019</v>
      </c>
      <c r="D256" s="36" t="s">
        <v>3</v>
      </c>
      <c r="E256" s="9" t="s">
        <v>448</v>
      </c>
      <c r="F256" s="39">
        <v>-3</v>
      </c>
      <c r="G256" s="45">
        <v>-3</v>
      </c>
      <c r="H256" s="45">
        <v>-3</v>
      </c>
      <c r="I256" s="36">
        <v>-3</v>
      </c>
      <c r="J256" s="45">
        <v>-3</v>
      </c>
      <c r="K256" s="45">
        <v>-3</v>
      </c>
      <c r="L256" s="45">
        <v>-3</v>
      </c>
      <c r="M256" s="45">
        <v>-3</v>
      </c>
      <c r="N256" s="45">
        <v>-3</v>
      </c>
      <c r="O256" s="45">
        <v>-3</v>
      </c>
      <c r="P256" s="45">
        <v>-3</v>
      </c>
      <c r="Q256" s="45">
        <v>-3</v>
      </c>
      <c r="R256" s="45">
        <v>-3</v>
      </c>
      <c r="S256" s="45">
        <v>-3</v>
      </c>
      <c r="T256" s="45">
        <v>-3</v>
      </c>
      <c r="U256" s="45">
        <v>-3</v>
      </c>
      <c r="V256" s="45">
        <v>-3</v>
      </c>
      <c r="W256" s="45">
        <v>-3</v>
      </c>
      <c r="X256" s="103">
        <v>-3</v>
      </c>
      <c r="Y256" s="81">
        <v>-3</v>
      </c>
      <c r="Z256" s="10">
        <v>-3</v>
      </c>
      <c r="AA256" s="48">
        <v>-3</v>
      </c>
      <c r="AB256" s="10">
        <v>-3</v>
      </c>
      <c r="AC256" s="10">
        <v>-3</v>
      </c>
      <c r="AD256" s="10">
        <v>-3</v>
      </c>
      <c r="AE256" s="42">
        <v>100</v>
      </c>
      <c r="AF256" s="43">
        <v>0.5</v>
      </c>
      <c r="AG256" s="45">
        <v>0</v>
      </c>
      <c r="AH256" s="35">
        <v>0.48</v>
      </c>
      <c r="AI256" s="50">
        <v>36611</v>
      </c>
      <c r="AJ256" s="50" t="s">
        <v>435</v>
      </c>
      <c r="AK256" s="50">
        <v>100</v>
      </c>
      <c r="AL256" s="34">
        <v>-3</v>
      </c>
      <c r="AM256" s="48">
        <v>-3</v>
      </c>
      <c r="AN256" s="48">
        <v>-3</v>
      </c>
      <c r="AO256" s="48">
        <v>-3</v>
      </c>
      <c r="AP256" s="48">
        <v>-3</v>
      </c>
      <c r="AQ256" s="48">
        <v>-3</v>
      </c>
      <c r="AR256" s="48">
        <v>-3</v>
      </c>
      <c r="AS256" s="10">
        <v>-3</v>
      </c>
      <c r="AT256" s="10">
        <v>-3</v>
      </c>
      <c r="AU256" s="44">
        <v>-1</v>
      </c>
      <c r="AV256" s="48">
        <v>-1</v>
      </c>
      <c r="AW256" s="48">
        <v>-1</v>
      </c>
      <c r="AX256" s="48">
        <v>-1</v>
      </c>
      <c r="AY256" s="48">
        <v>-1</v>
      </c>
      <c r="AZ256" s="45">
        <v>2</v>
      </c>
      <c r="BA256" s="45">
        <v>65</v>
      </c>
      <c r="BB256" s="35">
        <v>0.5</v>
      </c>
      <c r="BC256" s="53">
        <v>-1</v>
      </c>
      <c r="BD256" s="53">
        <v>-1</v>
      </c>
      <c r="BE256" s="53">
        <v>-1</v>
      </c>
      <c r="BF256" s="53">
        <v>-1</v>
      </c>
      <c r="BG256" s="53">
        <v>-1</v>
      </c>
      <c r="BH256" s="53">
        <v>-1</v>
      </c>
      <c r="BI256" s="45">
        <v>100</v>
      </c>
      <c r="BJ256" s="28">
        <v>-1</v>
      </c>
      <c r="BK256" s="48">
        <v>-1</v>
      </c>
      <c r="BL256" s="48">
        <v>-1</v>
      </c>
      <c r="BM256" s="48">
        <v>-1</v>
      </c>
      <c r="BN256" s="48">
        <v>-1</v>
      </c>
      <c r="BO256" s="48">
        <v>-1</v>
      </c>
    </row>
    <row r="257" spans="1:67" s="50" customFormat="1" ht="15" customHeight="1" x14ac:dyDescent="0.25">
      <c r="A257" s="50">
        <v>256</v>
      </c>
      <c r="B257" s="36">
        <v>8020</v>
      </c>
      <c r="C257" s="46">
        <v>8020</v>
      </c>
      <c r="D257" s="36" t="s">
        <v>3</v>
      </c>
      <c r="E257" s="38" t="s">
        <v>427</v>
      </c>
      <c r="F257" s="39">
        <v>-1</v>
      </c>
      <c r="G257" s="36">
        <v>-1</v>
      </c>
      <c r="H257" s="36">
        <v>-1</v>
      </c>
      <c r="I257" s="36">
        <v>-1</v>
      </c>
      <c r="J257" s="36">
        <v>-1</v>
      </c>
      <c r="K257" s="36">
        <v>-1</v>
      </c>
      <c r="L257" s="36">
        <v>-1</v>
      </c>
      <c r="M257" s="36">
        <v>-1</v>
      </c>
      <c r="N257" s="36">
        <v>-1</v>
      </c>
      <c r="O257" s="36">
        <v>-1</v>
      </c>
      <c r="P257" s="36">
        <v>-1</v>
      </c>
      <c r="Q257" s="36">
        <v>-1</v>
      </c>
      <c r="R257" s="36">
        <v>-1</v>
      </c>
      <c r="S257" s="36">
        <v>-1</v>
      </c>
      <c r="T257" s="36">
        <v>-1</v>
      </c>
      <c r="U257" s="36">
        <v>-1</v>
      </c>
      <c r="V257" s="36">
        <v>-1</v>
      </c>
      <c r="W257" s="36">
        <v>-1</v>
      </c>
      <c r="X257" s="102">
        <v>-1</v>
      </c>
      <c r="Y257" s="29">
        <v>40</v>
      </c>
      <c r="Z257" s="47">
        <v>3</v>
      </c>
      <c r="AA257" s="46">
        <v>75</v>
      </c>
      <c r="AB257" s="50">
        <v>29051</v>
      </c>
      <c r="AC257" s="50" t="s">
        <v>152</v>
      </c>
      <c r="AD257" s="50">
        <v>100</v>
      </c>
      <c r="AE257" s="42">
        <v>60</v>
      </c>
      <c r="AF257" s="43">
        <v>0.5</v>
      </c>
      <c r="AG257" s="45">
        <v>0</v>
      </c>
      <c r="AH257" s="35">
        <v>0.10200000000000001</v>
      </c>
      <c r="AI257" s="50">
        <v>42236</v>
      </c>
      <c r="AJ257" s="50" t="s">
        <v>207</v>
      </c>
      <c r="AK257" s="50">
        <v>100</v>
      </c>
      <c r="AL257" s="34">
        <v>0.62211981558629104</v>
      </c>
      <c r="AM257" s="43">
        <v>0.1</v>
      </c>
      <c r="AN257" s="35">
        <v>9.4799209994101505E-2</v>
      </c>
      <c r="AO257" s="35">
        <v>0.18959841998820301</v>
      </c>
      <c r="AP257" s="35">
        <v>0</v>
      </c>
      <c r="AQ257" s="84">
        <v>0</v>
      </c>
      <c r="AR257" s="46">
        <v>29051</v>
      </c>
      <c r="AS257" s="50" t="s">
        <v>152</v>
      </c>
      <c r="AT257" s="50">
        <v>100</v>
      </c>
      <c r="AU257" s="44">
        <v>-1</v>
      </c>
      <c r="AV257" s="48">
        <v>-1</v>
      </c>
      <c r="AW257" s="48">
        <v>-1</v>
      </c>
      <c r="AX257" s="48">
        <v>-1</v>
      </c>
      <c r="AY257" s="48">
        <v>-1</v>
      </c>
      <c r="AZ257" s="45">
        <v>2</v>
      </c>
      <c r="BA257" s="45">
        <v>78</v>
      </c>
      <c r="BB257" s="35">
        <v>0.6</v>
      </c>
      <c r="BC257" s="53">
        <v>-1</v>
      </c>
      <c r="BD257" s="53">
        <v>-1</v>
      </c>
      <c r="BE257" s="53">
        <v>-1</v>
      </c>
      <c r="BF257" s="53">
        <v>-1</v>
      </c>
      <c r="BG257" s="53">
        <v>40</v>
      </c>
      <c r="BH257" s="53">
        <v>-1</v>
      </c>
      <c r="BI257" s="45">
        <v>60</v>
      </c>
      <c r="BJ257" s="28">
        <v>-1</v>
      </c>
      <c r="BK257" s="48">
        <v>-1</v>
      </c>
      <c r="BL257" s="48">
        <v>-1</v>
      </c>
      <c r="BM257" s="48">
        <v>-1</v>
      </c>
      <c r="BN257" s="48">
        <v>-1</v>
      </c>
      <c r="BO257" s="48">
        <v>-1</v>
      </c>
    </row>
    <row r="258" spans="1:67" s="50" customFormat="1" ht="15" customHeight="1" x14ac:dyDescent="0.25">
      <c r="A258" s="50">
        <v>257</v>
      </c>
      <c r="B258" s="36">
        <v>8022</v>
      </c>
      <c r="C258" s="46">
        <v>8022</v>
      </c>
      <c r="D258" s="36" t="s">
        <v>3</v>
      </c>
      <c r="E258" s="38" t="s">
        <v>428</v>
      </c>
      <c r="F258" s="39">
        <v>-1</v>
      </c>
      <c r="G258" s="36">
        <v>-1</v>
      </c>
      <c r="H258" s="36">
        <v>-1</v>
      </c>
      <c r="I258" s="36">
        <v>-1</v>
      </c>
      <c r="J258" s="36">
        <v>-1</v>
      </c>
      <c r="K258" s="36">
        <v>-1</v>
      </c>
      <c r="L258" s="36">
        <v>-1</v>
      </c>
      <c r="M258" s="36">
        <v>-1</v>
      </c>
      <c r="N258" s="36">
        <v>-1</v>
      </c>
      <c r="O258" s="36">
        <v>-1</v>
      </c>
      <c r="P258" s="36">
        <v>-1</v>
      </c>
      <c r="Q258" s="36">
        <v>-1</v>
      </c>
      <c r="R258" s="36">
        <v>-1</v>
      </c>
      <c r="S258" s="36">
        <v>-1</v>
      </c>
      <c r="T258" s="36">
        <v>-1</v>
      </c>
      <c r="U258" s="36">
        <v>-1</v>
      </c>
      <c r="V258" s="36">
        <v>-1</v>
      </c>
      <c r="W258" s="36">
        <v>-1</v>
      </c>
      <c r="X258" s="102">
        <v>-1</v>
      </c>
      <c r="Y258" s="29">
        <v>40</v>
      </c>
      <c r="Z258" s="47">
        <v>3</v>
      </c>
      <c r="AA258" s="46">
        <v>75</v>
      </c>
      <c r="AB258" s="50">
        <v>29051</v>
      </c>
      <c r="AC258" s="50" t="s">
        <v>152</v>
      </c>
      <c r="AD258" s="50">
        <v>100</v>
      </c>
      <c r="AE258" s="42">
        <v>60</v>
      </c>
      <c r="AF258" s="43">
        <v>0.5</v>
      </c>
      <c r="AG258" s="45">
        <v>0</v>
      </c>
      <c r="AH258" s="35">
        <v>0.28799999999999998</v>
      </c>
      <c r="AI258" s="50">
        <v>42269</v>
      </c>
      <c r="AJ258" s="50" t="s">
        <v>206</v>
      </c>
      <c r="AK258" s="50">
        <v>100</v>
      </c>
      <c r="AL258" s="34">
        <v>0.62211981558629104</v>
      </c>
      <c r="AM258" s="43">
        <v>0.1</v>
      </c>
      <c r="AN258" s="35">
        <v>9.4799209994101505E-2</v>
      </c>
      <c r="AO258" s="35">
        <v>0.18959841998820301</v>
      </c>
      <c r="AP258" s="35">
        <v>0</v>
      </c>
      <c r="AQ258" s="84">
        <v>0</v>
      </c>
      <c r="AR258" s="46">
        <v>29051</v>
      </c>
      <c r="AS258" s="50" t="s">
        <v>152</v>
      </c>
      <c r="AT258" s="50">
        <v>100</v>
      </c>
      <c r="AU258" s="44">
        <v>-1</v>
      </c>
      <c r="AV258" s="48">
        <v>-1</v>
      </c>
      <c r="AW258" s="48">
        <v>-1</v>
      </c>
      <c r="AX258" s="48">
        <v>-1</v>
      </c>
      <c r="AY258" s="48">
        <v>-1</v>
      </c>
      <c r="AZ258" s="45">
        <v>2</v>
      </c>
      <c r="BA258" s="45">
        <v>78</v>
      </c>
      <c r="BB258" s="35">
        <v>0.6</v>
      </c>
      <c r="BC258" s="53">
        <v>-1</v>
      </c>
      <c r="BD258" s="53">
        <v>-1</v>
      </c>
      <c r="BE258" s="53">
        <v>-1</v>
      </c>
      <c r="BF258" s="53">
        <v>-1</v>
      </c>
      <c r="BG258" s="53">
        <v>40</v>
      </c>
      <c r="BH258" s="53">
        <v>-1</v>
      </c>
      <c r="BI258" s="45">
        <v>60</v>
      </c>
      <c r="BJ258" s="28">
        <v>-1</v>
      </c>
      <c r="BK258" s="48">
        <v>-1</v>
      </c>
      <c r="BL258" s="48">
        <v>-1</v>
      </c>
      <c r="BM258" s="48">
        <v>-1</v>
      </c>
      <c r="BN258" s="48">
        <v>-1</v>
      </c>
      <c r="BO258" s="48">
        <v>-1</v>
      </c>
    </row>
    <row r="259" spans="1:67" s="50" customFormat="1" ht="15" customHeight="1" x14ac:dyDescent="0.25">
      <c r="A259" s="50">
        <v>258</v>
      </c>
      <c r="B259" s="36">
        <v>8023</v>
      </c>
      <c r="C259" s="36">
        <v>8023</v>
      </c>
      <c r="D259" s="36" t="s">
        <v>3</v>
      </c>
      <c r="E259" s="38" t="s">
        <v>429</v>
      </c>
      <c r="F259" s="39">
        <v>-1</v>
      </c>
      <c r="G259" s="36">
        <v>-1</v>
      </c>
      <c r="H259" s="36">
        <v>-1</v>
      </c>
      <c r="I259" s="36">
        <v>-1</v>
      </c>
      <c r="J259" s="36">
        <v>-1</v>
      </c>
      <c r="K259" s="36">
        <v>-1</v>
      </c>
      <c r="L259" s="36">
        <v>-1</v>
      </c>
      <c r="M259" s="36">
        <v>-1</v>
      </c>
      <c r="N259" s="36">
        <v>-1</v>
      </c>
      <c r="O259" s="36">
        <v>-1</v>
      </c>
      <c r="P259" s="36">
        <v>-1</v>
      </c>
      <c r="Q259" s="36">
        <v>-1</v>
      </c>
      <c r="R259" s="36">
        <v>-1</v>
      </c>
      <c r="S259" s="36">
        <v>-1</v>
      </c>
      <c r="T259" s="36">
        <v>-1</v>
      </c>
      <c r="U259" s="36">
        <v>-1</v>
      </c>
      <c r="V259" s="36">
        <v>-1</v>
      </c>
      <c r="W259" s="36">
        <v>-1</v>
      </c>
      <c r="X259" s="102">
        <v>-1</v>
      </c>
      <c r="Y259" s="29">
        <v>40</v>
      </c>
      <c r="Z259" s="47">
        <v>3</v>
      </c>
      <c r="AA259" s="46">
        <v>75</v>
      </c>
      <c r="AB259" s="50">
        <v>29051</v>
      </c>
      <c r="AC259" s="50" t="s">
        <v>152</v>
      </c>
      <c r="AD259" s="50">
        <v>100</v>
      </c>
      <c r="AE259" s="42">
        <v>60</v>
      </c>
      <c r="AF259" s="43">
        <v>0.5</v>
      </c>
      <c r="AG259" s="45">
        <v>0</v>
      </c>
      <c r="AH259" s="35">
        <v>0.10200000000000001</v>
      </c>
      <c r="AI259" s="50">
        <v>26716</v>
      </c>
      <c r="AJ259" s="50" t="s">
        <v>208</v>
      </c>
      <c r="AK259" s="50">
        <v>100</v>
      </c>
      <c r="AL259" s="34">
        <v>0.62211981558629104</v>
      </c>
      <c r="AM259" s="43">
        <v>0.1</v>
      </c>
      <c r="AN259" s="35">
        <v>9.4799209994101505E-2</v>
      </c>
      <c r="AO259" s="35">
        <v>0.18959841998820301</v>
      </c>
      <c r="AP259" s="35">
        <v>0</v>
      </c>
      <c r="AQ259" s="83">
        <v>0</v>
      </c>
      <c r="AR259" s="46">
        <v>29051</v>
      </c>
      <c r="AS259" s="50" t="s">
        <v>152</v>
      </c>
      <c r="AT259" s="50">
        <v>100</v>
      </c>
      <c r="AU259" s="44">
        <v>-1</v>
      </c>
      <c r="AV259" s="48">
        <v>-1</v>
      </c>
      <c r="AW259" s="48">
        <v>-1</v>
      </c>
      <c r="AX259" s="48">
        <v>-1</v>
      </c>
      <c r="AY259" s="48">
        <v>-1</v>
      </c>
      <c r="AZ259" s="45">
        <v>2</v>
      </c>
      <c r="BA259" s="45">
        <v>78</v>
      </c>
      <c r="BB259" s="35">
        <v>0.6</v>
      </c>
      <c r="BC259" s="53">
        <v>-1</v>
      </c>
      <c r="BD259" s="53">
        <v>-1</v>
      </c>
      <c r="BE259" s="53">
        <v>-1</v>
      </c>
      <c r="BF259" s="53">
        <v>-1</v>
      </c>
      <c r="BG259" s="53">
        <v>40</v>
      </c>
      <c r="BH259" s="53">
        <v>-1</v>
      </c>
      <c r="BI259" s="45">
        <v>60</v>
      </c>
      <c r="BJ259" s="28">
        <v>-1</v>
      </c>
      <c r="BK259" s="48">
        <v>-1</v>
      </c>
      <c r="BL259" s="48">
        <v>-1</v>
      </c>
      <c r="BM259" s="48">
        <v>-1</v>
      </c>
      <c r="BN259" s="48">
        <v>-1</v>
      </c>
      <c r="BO259" s="48">
        <v>-1</v>
      </c>
    </row>
    <row r="260" spans="1:67" s="50" customFormat="1" ht="15" customHeight="1" x14ac:dyDescent="0.25">
      <c r="A260" s="50">
        <v>259</v>
      </c>
      <c r="B260" s="36">
        <v>8029</v>
      </c>
      <c r="C260" s="36">
        <v>8029</v>
      </c>
      <c r="D260" s="36" t="s">
        <v>3</v>
      </c>
      <c r="E260" s="38" t="s">
        <v>434</v>
      </c>
      <c r="F260" s="39">
        <v>-1</v>
      </c>
      <c r="G260" s="36">
        <v>-1</v>
      </c>
      <c r="H260" s="36">
        <v>-1</v>
      </c>
      <c r="I260" s="36">
        <v>-1</v>
      </c>
      <c r="J260" s="36">
        <v>-1</v>
      </c>
      <c r="K260" s="36">
        <v>-1</v>
      </c>
      <c r="L260" s="36">
        <v>-1</v>
      </c>
      <c r="M260" s="36">
        <v>-1</v>
      </c>
      <c r="N260" s="36">
        <v>-1</v>
      </c>
      <c r="O260" s="36">
        <v>-1</v>
      </c>
      <c r="P260" s="36">
        <v>-1</v>
      </c>
      <c r="Q260" s="36">
        <v>-1</v>
      </c>
      <c r="R260" s="36">
        <v>-1</v>
      </c>
      <c r="S260" s="36">
        <v>-1</v>
      </c>
      <c r="T260" s="36">
        <v>-1</v>
      </c>
      <c r="U260" s="36">
        <v>-1</v>
      </c>
      <c r="V260" s="36">
        <v>-1</v>
      </c>
      <c r="W260" s="36">
        <v>-1</v>
      </c>
      <c r="X260" s="102">
        <v>-1</v>
      </c>
      <c r="Y260" s="29">
        <v>40</v>
      </c>
      <c r="Z260" s="47">
        <v>3</v>
      </c>
      <c r="AA260" s="46">
        <v>75</v>
      </c>
      <c r="AB260" s="50">
        <v>29051</v>
      </c>
      <c r="AC260" s="50" t="s">
        <v>152</v>
      </c>
      <c r="AD260" s="50">
        <v>100</v>
      </c>
      <c r="AE260" s="42">
        <v>60</v>
      </c>
      <c r="AF260" s="43">
        <v>0.5</v>
      </c>
      <c r="AG260" s="45">
        <v>0</v>
      </c>
      <c r="AH260" s="35">
        <v>0.28799999999999998</v>
      </c>
      <c r="AI260" s="50">
        <v>36611</v>
      </c>
      <c r="AJ260" s="50" t="s">
        <v>435</v>
      </c>
      <c r="AK260" s="50">
        <v>100</v>
      </c>
      <c r="AL260" s="34">
        <v>0.62211981558629104</v>
      </c>
      <c r="AM260" s="43">
        <v>0.1</v>
      </c>
      <c r="AN260" s="35">
        <v>9.4799209994101505E-2</v>
      </c>
      <c r="AO260" s="35">
        <v>0.18959841998820301</v>
      </c>
      <c r="AP260" s="35">
        <v>0</v>
      </c>
      <c r="AQ260" s="83">
        <v>0</v>
      </c>
      <c r="AR260" s="46">
        <v>29051</v>
      </c>
      <c r="AS260" s="50" t="s">
        <v>152</v>
      </c>
      <c r="AT260" s="50">
        <v>100</v>
      </c>
      <c r="AU260" s="44">
        <v>-1</v>
      </c>
      <c r="AV260" s="48">
        <v>-1</v>
      </c>
      <c r="AW260" s="48">
        <v>-1</v>
      </c>
      <c r="AX260" s="48">
        <v>-1</v>
      </c>
      <c r="AY260" s="48">
        <v>-1</v>
      </c>
      <c r="AZ260" s="45">
        <v>2</v>
      </c>
      <c r="BA260" s="45">
        <v>78</v>
      </c>
      <c r="BB260" s="35">
        <v>0.6</v>
      </c>
      <c r="BC260" s="53">
        <v>-1</v>
      </c>
      <c r="BD260" s="53">
        <v>-1</v>
      </c>
      <c r="BE260" s="53">
        <v>-1</v>
      </c>
      <c r="BF260" s="53">
        <v>-1</v>
      </c>
      <c r="BG260" s="53">
        <v>40</v>
      </c>
      <c r="BH260" s="53">
        <v>-1</v>
      </c>
      <c r="BI260" s="45">
        <v>60</v>
      </c>
      <c r="BJ260" s="28">
        <v>-1</v>
      </c>
      <c r="BK260" s="48">
        <v>-1</v>
      </c>
      <c r="BL260" s="48">
        <v>-1</v>
      </c>
      <c r="BM260" s="48">
        <v>-1</v>
      </c>
      <c r="BN260" s="48">
        <v>-1</v>
      </c>
      <c r="BO260" s="48">
        <v>-1</v>
      </c>
    </row>
    <row r="261" spans="1:67" s="50" customFormat="1" ht="15" customHeight="1" x14ac:dyDescent="0.25">
      <c r="A261" s="50">
        <v>260</v>
      </c>
      <c r="B261" s="36">
        <v>8030</v>
      </c>
      <c r="C261" s="36">
        <v>8030</v>
      </c>
      <c r="D261" s="36" t="s">
        <v>3</v>
      </c>
      <c r="E261" s="39" t="s">
        <v>461</v>
      </c>
      <c r="F261" s="39">
        <v>-1</v>
      </c>
      <c r="G261" s="36">
        <v>-1</v>
      </c>
      <c r="H261" s="36">
        <v>-1</v>
      </c>
      <c r="I261" s="36">
        <v>-1</v>
      </c>
      <c r="J261" s="36">
        <v>-1</v>
      </c>
      <c r="K261" s="36">
        <v>-1</v>
      </c>
      <c r="L261" s="36">
        <v>-1</v>
      </c>
      <c r="M261" s="36">
        <v>-1</v>
      </c>
      <c r="N261" s="36">
        <v>-1</v>
      </c>
      <c r="O261" s="36">
        <v>-1</v>
      </c>
      <c r="P261" s="36">
        <v>-1</v>
      </c>
      <c r="Q261" s="36">
        <v>-1</v>
      </c>
      <c r="R261" s="36">
        <v>-1</v>
      </c>
      <c r="S261" s="36">
        <v>-1</v>
      </c>
      <c r="T261" s="36">
        <v>-1</v>
      </c>
      <c r="U261" s="36">
        <v>-1</v>
      </c>
      <c r="V261" s="36">
        <v>-1</v>
      </c>
      <c r="W261" s="36">
        <v>-1</v>
      </c>
      <c r="X261" s="102">
        <v>-1</v>
      </c>
      <c r="Y261" s="29">
        <v>60</v>
      </c>
      <c r="Z261" s="47">
        <v>3</v>
      </c>
      <c r="AA261" s="46">
        <v>75</v>
      </c>
      <c r="AB261" s="50">
        <v>29051</v>
      </c>
      <c r="AC261" s="50" t="s">
        <v>152</v>
      </c>
      <c r="AD261" s="50">
        <v>100</v>
      </c>
      <c r="AE261" s="42">
        <v>40</v>
      </c>
      <c r="AF261" s="43">
        <v>0.5</v>
      </c>
      <c r="AG261" s="45">
        <v>0</v>
      </c>
      <c r="AH261" s="35">
        <v>6.8000000000000005E-2</v>
      </c>
      <c r="AI261" s="50">
        <v>42236</v>
      </c>
      <c r="AJ261" s="50" t="s">
        <v>207</v>
      </c>
      <c r="AK261" s="50">
        <v>100</v>
      </c>
      <c r="AL261" s="34">
        <v>0.93317972337943655</v>
      </c>
      <c r="AM261" s="43">
        <v>0.1</v>
      </c>
      <c r="AN261" s="35">
        <v>0.14219881499115222</v>
      </c>
      <c r="AO261" s="35">
        <v>0.28439762998230445</v>
      </c>
      <c r="AP261" s="35">
        <v>0</v>
      </c>
      <c r="AQ261" s="83">
        <v>0</v>
      </c>
      <c r="AR261" s="46">
        <v>29051</v>
      </c>
      <c r="AS261" s="50" t="s">
        <v>152</v>
      </c>
      <c r="AT261" s="50">
        <v>100</v>
      </c>
      <c r="AU261" s="44">
        <v>-1</v>
      </c>
      <c r="AV261" s="48">
        <v>-1</v>
      </c>
      <c r="AW261" s="48">
        <v>-1</v>
      </c>
      <c r="AX261" s="48">
        <v>-1</v>
      </c>
      <c r="AY261" s="48">
        <v>-1</v>
      </c>
      <c r="AZ261" s="45">
        <v>1</v>
      </c>
      <c r="BA261" s="45">
        <v>84</v>
      </c>
      <c r="BB261" s="35">
        <v>0.7</v>
      </c>
      <c r="BC261" s="53">
        <v>-1</v>
      </c>
      <c r="BD261" s="53">
        <v>-1</v>
      </c>
      <c r="BE261" s="53">
        <v>-1</v>
      </c>
      <c r="BF261" s="53">
        <v>-1</v>
      </c>
      <c r="BG261" s="53">
        <v>60</v>
      </c>
      <c r="BH261" s="53">
        <v>-1</v>
      </c>
      <c r="BI261" s="45">
        <v>40</v>
      </c>
      <c r="BJ261" s="28">
        <v>-1</v>
      </c>
      <c r="BK261" s="48">
        <v>-1</v>
      </c>
      <c r="BL261" s="48">
        <v>-1</v>
      </c>
      <c r="BM261" s="48">
        <v>-1</v>
      </c>
      <c r="BN261" s="48">
        <v>-1</v>
      </c>
      <c r="BO261" s="48">
        <v>-1</v>
      </c>
    </row>
    <row r="262" spans="1:67" s="50" customFormat="1" ht="15" customHeight="1" x14ac:dyDescent="0.25">
      <c r="A262" s="50">
        <v>261</v>
      </c>
      <c r="B262" s="36">
        <v>8032</v>
      </c>
      <c r="C262" s="46">
        <v>8032</v>
      </c>
      <c r="D262" s="36" t="s">
        <v>3</v>
      </c>
      <c r="E262" s="39" t="s">
        <v>462</v>
      </c>
      <c r="F262" s="39">
        <v>-1</v>
      </c>
      <c r="G262" s="36">
        <v>-1</v>
      </c>
      <c r="H262" s="36">
        <v>-1</v>
      </c>
      <c r="I262" s="36">
        <v>-1</v>
      </c>
      <c r="J262" s="36">
        <v>-1</v>
      </c>
      <c r="K262" s="36">
        <v>-1</v>
      </c>
      <c r="L262" s="36">
        <v>-1</v>
      </c>
      <c r="M262" s="36">
        <v>-1</v>
      </c>
      <c r="N262" s="36">
        <v>-1</v>
      </c>
      <c r="O262" s="36">
        <v>-1</v>
      </c>
      <c r="P262" s="36">
        <v>-1</v>
      </c>
      <c r="Q262" s="36">
        <v>-1</v>
      </c>
      <c r="R262" s="36">
        <v>-1</v>
      </c>
      <c r="S262" s="36">
        <v>-1</v>
      </c>
      <c r="T262" s="36">
        <v>-1</v>
      </c>
      <c r="U262" s="36">
        <v>-1</v>
      </c>
      <c r="V262" s="36">
        <v>-1</v>
      </c>
      <c r="W262" s="36">
        <v>-1</v>
      </c>
      <c r="X262" s="102">
        <v>-1</v>
      </c>
      <c r="Y262" s="29">
        <v>60</v>
      </c>
      <c r="Z262" s="47">
        <v>3</v>
      </c>
      <c r="AA262" s="46">
        <v>75</v>
      </c>
      <c r="AB262" s="50">
        <v>29051</v>
      </c>
      <c r="AC262" s="50" t="s">
        <v>152</v>
      </c>
      <c r="AD262" s="50">
        <v>100</v>
      </c>
      <c r="AE262" s="42">
        <v>40</v>
      </c>
      <c r="AF262" s="43">
        <v>0.5</v>
      </c>
      <c r="AG262" s="45">
        <v>0</v>
      </c>
      <c r="AH262" s="35">
        <v>0.192</v>
      </c>
      <c r="AI262" s="50">
        <v>42269</v>
      </c>
      <c r="AJ262" s="50" t="s">
        <v>206</v>
      </c>
      <c r="AK262" s="50">
        <v>100</v>
      </c>
      <c r="AL262" s="34">
        <v>0.93317972337943655</v>
      </c>
      <c r="AM262" s="43">
        <v>0.1</v>
      </c>
      <c r="AN262" s="35">
        <v>0.14219881499115222</v>
      </c>
      <c r="AO262" s="35">
        <v>0.28439762998230445</v>
      </c>
      <c r="AP262" s="35">
        <v>0</v>
      </c>
      <c r="AQ262" s="83">
        <v>0</v>
      </c>
      <c r="AR262" s="46">
        <v>29051</v>
      </c>
      <c r="AS262" s="50" t="s">
        <v>152</v>
      </c>
      <c r="AT262" s="50">
        <v>100</v>
      </c>
      <c r="AU262" s="44">
        <v>-1</v>
      </c>
      <c r="AV262" s="48">
        <v>-1</v>
      </c>
      <c r="AW262" s="48">
        <v>-1</v>
      </c>
      <c r="AX262" s="48">
        <v>-1</v>
      </c>
      <c r="AY262" s="48">
        <v>-1</v>
      </c>
      <c r="AZ262" s="45">
        <v>1</v>
      </c>
      <c r="BA262" s="45">
        <v>84</v>
      </c>
      <c r="BB262" s="35">
        <v>0.7</v>
      </c>
      <c r="BC262" s="53">
        <v>-1</v>
      </c>
      <c r="BD262" s="53">
        <v>-1</v>
      </c>
      <c r="BE262" s="53">
        <v>-1</v>
      </c>
      <c r="BF262" s="53">
        <v>-1</v>
      </c>
      <c r="BG262" s="53">
        <v>60</v>
      </c>
      <c r="BH262" s="53">
        <v>-1</v>
      </c>
      <c r="BI262" s="45">
        <v>40</v>
      </c>
      <c r="BJ262" s="28">
        <v>-1</v>
      </c>
      <c r="BK262" s="48">
        <v>-1</v>
      </c>
      <c r="BL262" s="48">
        <v>-1</v>
      </c>
      <c r="BM262" s="48">
        <v>-1</v>
      </c>
      <c r="BN262" s="48">
        <v>-1</v>
      </c>
      <c r="BO262" s="48">
        <v>-1</v>
      </c>
    </row>
    <row r="263" spans="1:67" s="50" customFormat="1" ht="15" customHeight="1" x14ac:dyDescent="0.25">
      <c r="A263" s="50">
        <v>262</v>
      </c>
      <c r="B263" s="36">
        <v>8033</v>
      </c>
      <c r="C263" s="46">
        <v>8033</v>
      </c>
      <c r="D263" s="36" t="s">
        <v>3</v>
      </c>
      <c r="E263" s="39" t="s">
        <v>463</v>
      </c>
      <c r="F263" s="39">
        <v>-1</v>
      </c>
      <c r="G263" s="36">
        <v>-1</v>
      </c>
      <c r="H263" s="36">
        <v>-1</v>
      </c>
      <c r="I263" s="36">
        <v>-1</v>
      </c>
      <c r="J263" s="36">
        <v>-1</v>
      </c>
      <c r="K263" s="36">
        <v>-1</v>
      </c>
      <c r="L263" s="36">
        <v>-1</v>
      </c>
      <c r="M263" s="36">
        <v>-1</v>
      </c>
      <c r="N263" s="36">
        <v>-1</v>
      </c>
      <c r="O263" s="36">
        <v>-1</v>
      </c>
      <c r="P263" s="36">
        <v>-1</v>
      </c>
      <c r="Q263" s="36">
        <v>-1</v>
      </c>
      <c r="R263" s="36">
        <v>-1</v>
      </c>
      <c r="S263" s="36">
        <v>-1</v>
      </c>
      <c r="T263" s="36">
        <v>-1</v>
      </c>
      <c r="U263" s="36">
        <v>-1</v>
      </c>
      <c r="V263" s="36">
        <v>-1</v>
      </c>
      <c r="W263" s="36">
        <v>-1</v>
      </c>
      <c r="X263" s="102">
        <v>-1</v>
      </c>
      <c r="Y263" s="29">
        <v>60</v>
      </c>
      <c r="Z263" s="47">
        <v>3</v>
      </c>
      <c r="AA263" s="46">
        <v>75</v>
      </c>
      <c r="AB263" s="50">
        <v>29051</v>
      </c>
      <c r="AC263" s="50" t="s">
        <v>152</v>
      </c>
      <c r="AD263" s="50">
        <v>100</v>
      </c>
      <c r="AE263" s="42">
        <v>40</v>
      </c>
      <c r="AF263" s="43">
        <v>0.5</v>
      </c>
      <c r="AG263" s="45">
        <v>0</v>
      </c>
      <c r="AH263" s="35">
        <v>6.8000000000000005E-2</v>
      </c>
      <c r="AI263" s="50">
        <v>26716</v>
      </c>
      <c r="AJ263" s="50" t="s">
        <v>208</v>
      </c>
      <c r="AK263" s="50">
        <v>100</v>
      </c>
      <c r="AL263" s="34">
        <v>0.93317972337943655</v>
      </c>
      <c r="AM263" s="43">
        <v>0.1</v>
      </c>
      <c r="AN263" s="35">
        <v>0.14219881499115222</v>
      </c>
      <c r="AO263" s="35">
        <v>0.28439762998230445</v>
      </c>
      <c r="AP263" s="35">
        <v>0</v>
      </c>
      <c r="AQ263" s="83">
        <v>0</v>
      </c>
      <c r="AR263" s="46">
        <v>29051</v>
      </c>
      <c r="AS263" s="50" t="s">
        <v>152</v>
      </c>
      <c r="AT263" s="50">
        <v>100</v>
      </c>
      <c r="AU263" s="44">
        <v>-1</v>
      </c>
      <c r="AV263" s="48">
        <v>-1</v>
      </c>
      <c r="AW263" s="48">
        <v>-1</v>
      </c>
      <c r="AX263" s="48">
        <v>-1</v>
      </c>
      <c r="AY263" s="48">
        <v>-1</v>
      </c>
      <c r="AZ263" s="45">
        <v>1</v>
      </c>
      <c r="BA263" s="45">
        <v>84</v>
      </c>
      <c r="BB263" s="35">
        <v>0.7</v>
      </c>
      <c r="BC263" s="53">
        <v>-1</v>
      </c>
      <c r="BD263" s="53">
        <v>-1</v>
      </c>
      <c r="BE263" s="53">
        <v>-1</v>
      </c>
      <c r="BF263" s="53">
        <v>-1</v>
      </c>
      <c r="BG263" s="53">
        <v>60</v>
      </c>
      <c r="BH263" s="53">
        <v>-1</v>
      </c>
      <c r="BI263" s="45">
        <v>40</v>
      </c>
      <c r="BJ263" s="28">
        <v>-1</v>
      </c>
      <c r="BK263" s="48">
        <v>-1</v>
      </c>
      <c r="BL263" s="48">
        <v>-1</v>
      </c>
      <c r="BM263" s="48">
        <v>-1</v>
      </c>
      <c r="BN263" s="48">
        <v>-1</v>
      </c>
      <c r="BO263" s="48">
        <v>-1</v>
      </c>
    </row>
    <row r="264" spans="1:67" s="50" customFormat="1" ht="15" customHeight="1" x14ac:dyDescent="0.25">
      <c r="A264" s="50">
        <v>263</v>
      </c>
      <c r="B264" s="36">
        <v>8035</v>
      </c>
      <c r="C264" s="46">
        <v>8035</v>
      </c>
      <c r="D264" s="36" t="s">
        <v>3</v>
      </c>
      <c r="E264" s="33" t="s">
        <v>470</v>
      </c>
      <c r="F264" s="39">
        <v>-1</v>
      </c>
      <c r="G264" s="36">
        <v>-1</v>
      </c>
      <c r="H264" s="36">
        <v>-1</v>
      </c>
      <c r="I264" s="36">
        <v>-1</v>
      </c>
      <c r="J264" s="36">
        <v>-1</v>
      </c>
      <c r="K264" s="36">
        <v>-1</v>
      </c>
      <c r="L264" s="36">
        <v>-1</v>
      </c>
      <c r="M264" s="36">
        <v>-1</v>
      </c>
      <c r="N264" s="36">
        <v>-1</v>
      </c>
      <c r="O264" s="36">
        <v>-1</v>
      </c>
      <c r="P264" s="36">
        <v>-1</v>
      </c>
      <c r="Q264" s="36">
        <v>-1</v>
      </c>
      <c r="R264" s="36">
        <v>-1</v>
      </c>
      <c r="S264" s="36">
        <v>-1</v>
      </c>
      <c r="T264" s="36">
        <v>-1</v>
      </c>
      <c r="U264" s="36">
        <v>-1</v>
      </c>
      <c r="V264" s="36">
        <v>-1</v>
      </c>
      <c r="W264" s="36">
        <v>-1</v>
      </c>
      <c r="X264" s="102">
        <v>-1</v>
      </c>
      <c r="Y264" s="29">
        <v>60</v>
      </c>
      <c r="Z264" s="47">
        <v>3</v>
      </c>
      <c r="AA264" s="46">
        <v>75</v>
      </c>
      <c r="AB264" s="50">
        <v>29051</v>
      </c>
      <c r="AC264" s="50" t="s">
        <v>152</v>
      </c>
      <c r="AD264" s="50">
        <v>100</v>
      </c>
      <c r="AE264" s="42">
        <v>40</v>
      </c>
      <c r="AF264" s="43">
        <v>0.5</v>
      </c>
      <c r="AG264" s="45">
        <v>0</v>
      </c>
      <c r="AH264" s="35">
        <v>0.27599999999999997</v>
      </c>
      <c r="AI264" s="50">
        <v>21711</v>
      </c>
      <c r="AJ264" s="50" t="s">
        <v>425</v>
      </c>
      <c r="AK264" s="50">
        <v>100</v>
      </c>
      <c r="AL264" s="34">
        <v>0.93317972337943655</v>
      </c>
      <c r="AM264" s="43">
        <v>0.1</v>
      </c>
      <c r="AN264" s="35">
        <v>0.14219881499115222</v>
      </c>
      <c r="AO264" s="35">
        <v>0.28439762998230445</v>
      </c>
      <c r="AP264" s="35">
        <v>0</v>
      </c>
      <c r="AQ264" s="83">
        <v>0</v>
      </c>
      <c r="AR264" s="46">
        <v>29051</v>
      </c>
      <c r="AS264" s="50" t="s">
        <v>152</v>
      </c>
      <c r="AT264" s="50">
        <v>100</v>
      </c>
      <c r="AU264" s="44">
        <v>-1</v>
      </c>
      <c r="AV264" s="48">
        <v>-1</v>
      </c>
      <c r="AW264" s="48">
        <v>-1</v>
      </c>
      <c r="AX264" s="48">
        <v>-1</v>
      </c>
      <c r="AY264" s="48">
        <v>-1</v>
      </c>
      <c r="AZ264" s="45">
        <v>1</v>
      </c>
      <c r="BA264" s="45">
        <v>84</v>
      </c>
      <c r="BB264" s="35">
        <v>0.7</v>
      </c>
      <c r="BC264" s="53">
        <v>-1</v>
      </c>
      <c r="BD264" s="53">
        <v>-1</v>
      </c>
      <c r="BE264" s="53">
        <v>-1</v>
      </c>
      <c r="BF264" s="53">
        <v>-1</v>
      </c>
      <c r="BG264" s="53">
        <v>60</v>
      </c>
      <c r="BH264" s="53">
        <v>-1</v>
      </c>
      <c r="BI264" s="45">
        <v>40</v>
      </c>
      <c r="BJ264" s="28">
        <v>-1</v>
      </c>
      <c r="BK264" s="48">
        <v>-1</v>
      </c>
      <c r="BL264" s="48">
        <v>-1</v>
      </c>
      <c r="BM264" s="48">
        <v>-1</v>
      </c>
      <c r="BN264" s="48">
        <v>-1</v>
      </c>
      <c r="BO264" s="48">
        <v>-1</v>
      </c>
    </row>
    <row r="265" spans="1:67" s="50" customFormat="1" ht="15" customHeight="1" x14ac:dyDescent="0.25">
      <c r="A265" s="50">
        <v>264</v>
      </c>
      <c r="B265" s="36">
        <v>8036</v>
      </c>
      <c r="C265" s="71">
        <v>8036</v>
      </c>
      <c r="D265" s="36" t="s">
        <v>3</v>
      </c>
      <c r="E265" s="33" t="s">
        <v>464</v>
      </c>
      <c r="F265" s="39">
        <v>9</v>
      </c>
      <c r="G265" s="36">
        <v>9</v>
      </c>
      <c r="H265" s="36">
        <v>2</v>
      </c>
      <c r="I265" s="36">
        <v>31</v>
      </c>
      <c r="J265" s="36">
        <v>19</v>
      </c>
      <c r="K265" s="36">
        <v>11</v>
      </c>
      <c r="L265" s="36">
        <v>27189</v>
      </c>
      <c r="M265" s="36" t="s">
        <v>401</v>
      </c>
      <c r="N265" s="36">
        <v>100</v>
      </c>
      <c r="O265" s="36">
        <v>4</v>
      </c>
      <c r="P265" s="36">
        <v>11</v>
      </c>
      <c r="Q265" s="36">
        <v>15</v>
      </c>
      <c r="R265" s="36">
        <v>7</v>
      </c>
      <c r="S265" s="36">
        <v>4</v>
      </c>
      <c r="T265" s="36">
        <v>27189</v>
      </c>
      <c r="U265" s="36" t="s">
        <v>401</v>
      </c>
      <c r="V265" s="36">
        <v>100</v>
      </c>
      <c r="W265" s="36">
        <v>1</v>
      </c>
      <c r="X265" s="102">
        <v>4</v>
      </c>
      <c r="Y265" s="29">
        <v>41</v>
      </c>
      <c r="Z265" s="47">
        <v>1</v>
      </c>
      <c r="AA265" s="46">
        <v>90</v>
      </c>
      <c r="AB265" s="50">
        <v>28675</v>
      </c>
      <c r="AC265" s="50" t="s">
        <v>375</v>
      </c>
      <c r="AD265" s="50">
        <v>100</v>
      </c>
      <c r="AE265" s="42">
        <v>30</v>
      </c>
      <c r="AF265" s="43">
        <v>0.5</v>
      </c>
      <c r="AG265" s="45">
        <v>0</v>
      </c>
      <c r="AH265" s="35">
        <v>5.1000000000000004E-2</v>
      </c>
      <c r="AI265" s="50">
        <v>42236</v>
      </c>
      <c r="AJ265" s="50" t="s">
        <v>207</v>
      </c>
      <c r="AK265" s="50">
        <v>100</v>
      </c>
      <c r="AL265" s="34">
        <v>8.5714285714285712</v>
      </c>
      <c r="AM265" s="43">
        <v>3</v>
      </c>
      <c r="AN265" s="35">
        <v>8.5714285714285715E-2</v>
      </c>
      <c r="AO265" s="35">
        <v>0.35357142857142854</v>
      </c>
      <c r="AP265" s="35">
        <v>0.45000000000000007</v>
      </c>
      <c r="AQ265" s="83">
        <v>0.42857142857142855</v>
      </c>
      <c r="AR265" s="46">
        <v>27189</v>
      </c>
      <c r="AS265" s="50" t="s">
        <v>401</v>
      </c>
      <c r="AT265" s="50">
        <v>100</v>
      </c>
      <c r="AU265" s="44">
        <v>-1</v>
      </c>
      <c r="AV265" s="48">
        <v>-1</v>
      </c>
      <c r="AW265" s="48">
        <v>-1</v>
      </c>
      <c r="AX265" s="48">
        <v>-1</v>
      </c>
      <c r="AY265" s="48">
        <v>-1</v>
      </c>
      <c r="AZ265" s="45">
        <v>1</v>
      </c>
      <c r="BA265" s="45">
        <v>10.5</v>
      </c>
      <c r="BB265" s="35">
        <v>1.8</v>
      </c>
      <c r="BC265" s="53">
        <v>-1</v>
      </c>
      <c r="BD265" s="53">
        <v>-1</v>
      </c>
      <c r="BE265" s="53">
        <v>-1</v>
      </c>
      <c r="BF265" s="53">
        <v>-1</v>
      </c>
      <c r="BG265" s="53">
        <v>100</v>
      </c>
      <c r="BH265" s="53">
        <v>-1</v>
      </c>
      <c r="BI265" s="45">
        <v>-1</v>
      </c>
      <c r="BJ265" s="28">
        <v>1</v>
      </c>
      <c r="BK265" s="53">
        <v>10.5</v>
      </c>
      <c r="BL265" s="54">
        <v>2</v>
      </c>
      <c r="BM265" s="45">
        <v>3</v>
      </c>
      <c r="BN265" s="53">
        <v>10.5</v>
      </c>
      <c r="BO265" s="54">
        <v>2</v>
      </c>
    </row>
    <row r="266" spans="1:67" s="50" customFormat="1" ht="15" customHeight="1" x14ac:dyDescent="0.25">
      <c r="A266" s="50">
        <v>265</v>
      </c>
      <c r="B266" s="36">
        <v>8038</v>
      </c>
      <c r="C266" s="46">
        <v>8038</v>
      </c>
      <c r="D266" s="36" t="s">
        <v>3</v>
      </c>
      <c r="E266" s="33" t="s">
        <v>469</v>
      </c>
      <c r="F266" s="39">
        <v>-1</v>
      </c>
      <c r="G266" s="36">
        <v>-1</v>
      </c>
      <c r="H266" s="36">
        <v>-1</v>
      </c>
      <c r="I266" s="36">
        <v>-1</v>
      </c>
      <c r="J266" s="36">
        <v>-1</v>
      </c>
      <c r="K266" s="36">
        <v>-1</v>
      </c>
      <c r="L266" s="36">
        <v>-1</v>
      </c>
      <c r="M266" s="36">
        <v>-1</v>
      </c>
      <c r="N266" s="36">
        <v>-1</v>
      </c>
      <c r="O266" s="36">
        <v>-1</v>
      </c>
      <c r="P266" s="36">
        <v>-1</v>
      </c>
      <c r="Q266" s="36">
        <v>-1</v>
      </c>
      <c r="R266" s="36">
        <v>-1</v>
      </c>
      <c r="S266" s="36">
        <v>-1</v>
      </c>
      <c r="T266" s="36">
        <v>-1</v>
      </c>
      <c r="U266" s="36">
        <v>-1</v>
      </c>
      <c r="V266" s="36">
        <v>-1</v>
      </c>
      <c r="W266" s="36">
        <v>-1</v>
      </c>
      <c r="X266" s="102">
        <v>-1</v>
      </c>
      <c r="Y266" s="29">
        <v>60</v>
      </c>
      <c r="Z266" s="47">
        <v>3</v>
      </c>
      <c r="AA266" s="46">
        <v>75</v>
      </c>
      <c r="AB266" s="50">
        <v>29051</v>
      </c>
      <c r="AC266" s="50" t="s">
        <v>152</v>
      </c>
      <c r="AD266" s="50">
        <v>100</v>
      </c>
      <c r="AE266" s="42">
        <v>40</v>
      </c>
      <c r="AF266" s="43">
        <v>0.5</v>
      </c>
      <c r="AG266" s="45">
        <v>0</v>
      </c>
      <c r="AH266" s="35">
        <v>0.48799999999999999</v>
      </c>
      <c r="AI266" s="50">
        <v>41088</v>
      </c>
      <c r="AJ266" s="50" t="s">
        <v>420</v>
      </c>
      <c r="AK266" s="50">
        <v>100</v>
      </c>
      <c r="AL266" s="34">
        <v>0.93317972337943655</v>
      </c>
      <c r="AM266" s="43">
        <v>0.1</v>
      </c>
      <c r="AN266" s="35">
        <v>0.14219881499115222</v>
      </c>
      <c r="AO266" s="35">
        <v>0.28439762998230445</v>
      </c>
      <c r="AP266" s="35">
        <v>0</v>
      </c>
      <c r="AQ266" s="83">
        <v>0</v>
      </c>
      <c r="AR266" s="46">
        <v>29051</v>
      </c>
      <c r="AS266" s="50" t="s">
        <v>152</v>
      </c>
      <c r="AT266" s="50">
        <v>100</v>
      </c>
      <c r="AU266" s="44">
        <v>-1</v>
      </c>
      <c r="AV266" s="48">
        <v>-1</v>
      </c>
      <c r="AW266" s="48">
        <v>-1</v>
      </c>
      <c r="AX266" s="48">
        <v>-1</v>
      </c>
      <c r="AY266" s="48">
        <v>-1</v>
      </c>
      <c r="AZ266" s="45">
        <v>1</v>
      </c>
      <c r="BA266" s="45">
        <v>84</v>
      </c>
      <c r="BB266" s="35">
        <v>0.7</v>
      </c>
      <c r="BC266" s="53">
        <v>-1</v>
      </c>
      <c r="BD266" s="53">
        <v>-1</v>
      </c>
      <c r="BE266" s="53">
        <v>-1</v>
      </c>
      <c r="BF266" s="53">
        <v>-1</v>
      </c>
      <c r="BG266" s="53">
        <v>60</v>
      </c>
      <c r="BH266" s="53">
        <v>-1</v>
      </c>
      <c r="BI266" s="45">
        <v>40</v>
      </c>
      <c r="BJ266" s="28">
        <v>-1</v>
      </c>
      <c r="BK266" s="48">
        <v>-1</v>
      </c>
      <c r="BL266" s="48">
        <v>-1</v>
      </c>
      <c r="BM266" s="48">
        <v>-1</v>
      </c>
      <c r="BN266" s="48">
        <v>-1</v>
      </c>
      <c r="BO266" s="48">
        <v>-1</v>
      </c>
    </row>
    <row r="267" spans="1:67" s="50" customFormat="1" ht="15" customHeight="1" x14ac:dyDescent="0.25">
      <c r="A267" s="50">
        <v>266</v>
      </c>
      <c r="B267" s="36">
        <v>8039</v>
      </c>
      <c r="C267" s="46">
        <v>8039</v>
      </c>
      <c r="D267" s="36" t="s">
        <v>3</v>
      </c>
      <c r="E267" s="39" t="s">
        <v>468</v>
      </c>
      <c r="F267" s="39">
        <v>-1</v>
      </c>
      <c r="G267" s="36">
        <v>-1</v>
      </c>
      <c r="H267" s="36">
        <v>-1</v>
      </c>
      <c r="I267" s="36">
        <v>-1</v>
      </c>
      <c r="J267" s="36">
        <v>-1</v>
      </c>
      <c r="K267" s="36">
        <v>-1</v>
      </c>
      <c r="L267" s="36">
        <v>-1</v>
      </c>
      <c r="M267" s="36">
        <v>-1</v>
      </c>
      <c r="N267" s="36">
        <v>-1</v>
      </c>
      <c r="O267" s="36">
        <v>-1</v>
      </c>
      <c r="P267" s="36">
        <v>-1</v>
      </c>
      <c r="Q267" s="36">
        <v>-1</v>
      </c>
      <c r="R267" s="36">
        <v>-1</v>
      </c>
      <c r="S267" s="36">
        <v>-1</v>
      </c>
      <c r="T267" s="36">
        <v>-1</v>
      </c>
      <c r="U267" s="36">
        <v>-1</v>
      </c>
      <c r="V267" s="36">
        <v>-1</v>
      </c>
      <c r="W267" s="36">
        <v>-1</v>
      </c>
      <c r="X267" s="102">
        <v>-1</v>
      </c>
      <c r="Y267" s="29">
        <v>60</v>
      </c>
      <c r="Z267" s="43">
        <v>3</v>
      </c>
      <c r="AA267" s="46">
        <v>75</v>
      </c>
      <c r="AB267" s="50">
        <v>29051</v>
      </c>
      <c r="AC267" s="50" t="s">
        <v>152</v>
      </c>
      <c r="AD267" s="50">
        <v>100</v>
      </c>
      <c r="AE267" s="42">
        <v>40</v>
      </c>
      <c r="AF267" s="43">
        <v>0.5</v>
      </c>
      <c r="AG267" s="45">
        <v>0</v>
      </c>
      <c r="AH267" s="35">
        <v>0.192</v>
      </c>
      <c r="AI267" s="50">
        <v>36611</v>
      </c>
      <c r="AJ267" s="50" t="s">
        <v>435</v>
      </c>
      <c r="AK267" s="50">
        <v>100</v>
      </c>
      <c r="AL267" s="34">
        <v>0.93317972337943655</v>
      </c>
      <c r="AM267" s="43">
        <v>0.1</v>
      </c>
      <c r="AN267" s="35">
        <v>0.14219881499115222</v>
      </c>
      <c r="AO267" s="35">
        <v>0.28439762998230445</v>
      </c>
      <c r="AP267" s="35">
        <v>0</v>
      </c>
      <c r="AQ267" s="83">
        <v>0</v>
      </c>
      <c r="AR267" s="46">
        <v>29051</v>
      </c>
      <c r="AS267" s="50" t="s">
        <v>152</v>
      </c>
      <c r="AT267" s="50">
        <v>100</v>
      </c>
      <c r="AU267" s="44">
        <v>-1</v>
      </c>
      <c r="AV267" s="48">
        <v>-1</v>
      </c>
      <c r="AW267" s="48">
        <v>-1</v>
      </c>
      <c r="AX267" s="48">
        <v>-1</v>
      </c>
      <c r="AY267" s="48">
        <v>-1</v>
      </c>
      <c r="AZ267" s="45">
        <v>1</v>
      </c>
      <c r="BA267" s="45">
        <v>84</v>
      </c>
      <c r="BB267" s="35">
        <v>0.7</v>
      </c>
      <c r="BC267" s="53">
        <v>-1</v>
      </c>
      <c r="BD267" s="53">
        <v>-1</v>
      </c>
      <c r="BE267" s="53">
        <v>-1</v>
      </c>
      <c r="BF267" s="53">
        <v>-1</v>
      </c>
      <c r="BG267" s="53">
        <v>60</v>
      </c>
      <c r="BH267" s="53">
        <v>-1</v>
      </c>
      <c r="BI267" s="45">
        <v>40</v>
      </c>
      <c r="BJ267" s="28">
        <v>-1</v>
      </c>
      <c r="BK267" s="48">
        <v>-1</v>
      </c>
      <c r="BL267" s="48">
        <v>-1</v>
      </c>
      <c r="BM267" s="48">
        <v>-1</v>
      </c>
      <c r="BN267" s="48">
        <v>-1</v>
      </c>
      <c r="BO267" s="48">
        <v>-1</v>
      </c>
    </row>
    <row r="268" spans="1:67" s="50" customFormat="1" ht="15" customHeight="1" x14ac:dyDescent="0.25">
      <c r="A268" s="50">
        <v>267</v>
      </c>
      <c r="B268" s="36">
        <v>8040</v>
      </c>
      <c r="C268" s="46">
        <v>8040</v>
      </c>
      <c r="D268" s="36" t="s">
        <v>3</v>
      </c>
      <c r="E268" s="6" t="s">
        <v>17</v>
      </c>
      <c r="F268" s="39">
        <v>33.03</v>
      </c>
      <c r="G268" s="56">
        <v>33.03</v>
      </c>
      <c r="H268" s="67">
        <v>25.740620689655174</v>
      </c>
      <c r="I268" s="36">
        <v>82.21653543307086</v>
      </c>
      <c r="J268" s="67">
        <v>48.785287409898281</v>
      </c>
      <c r="K268" s="67">
        <v>19.120124519318804</v>
      </c>
      <c r="L268" s="36">
        <v>19464</v>
      </c>
      <c r="M268" s="36" t="s">
        <v>155</v>
      </c>
      <c r="N268" s="36">
        <v>100</v>
      </c>
      <c r="O268" s="43">
        <v>18.808462382445143</v>
      </c>
      <c r="P268" s="36">
        <v>38.943301880877748</v>
      </c>
      <c r="Q268" s="43">
        <v>52.684634016413902</v>
      </c>
      <c r="R268" s="43">
        <v>29.870849078590332</v>
      </c>
      <c r="S268" s="43">
        <v>10.208408300178123</v>
      </c>
      <c r="T268" s="36">
        <v>19464</v>
      </c>
      <c r="U268" s="36" t="s">
        <v>155</v>
      </c>
      <c r="V268" s="36">
        <v>100</v>
      </c>
      <c r="W268" s="36">
        <v>1</v>
      </c>
      <c r="X268" s="102">
        <v>2</v>
      </c>
      <c r="Y268" s="29">
        <v>29.239699484536086</v>
      </c>
      <c r="Z268" s="45">
        <v>6.5</v>
      </c>
      <c r="AA268" s="47">
        <v>85</v>
      </c>
      <c r="AB268" s="50">
        <v>23700</v>
      </c>
      <c r="AC268" s="50" t="s">
        <v>393</v>
      </c>
      <c r="AD268" s="50">
        <v>100</v>
      </c>
      <c r="AE268" s="42">
        <v>23</v>
      </c>
      <c r="AF268" s="43">
        <v>1.7</v>
      </c>
      <c r="AG268" s="45">
        <v>75</v>
      </c>
      <c r="AH268" s="64">
        <v>0.22</v>
      </c>
      <c r="AI268" s="50">
        <v>39369</v>
      </c>
      <c r="AJ268" s="50" t="s">
        <v>391</v>
      </c>
      <c r="AK268" s="50">
        <v>100</v>
      </c>
      <c r="AL268" s="34">
        <v>7</v>
      </c>
      <c r="AM268" s="43">
        <v>0.8</v>
      </c>
      <c r="AN268" s="35">
        <v>0.17809278996865205</v>
      </c>
      <c r="AO268" s="35">
        <v>0.2950956112852664</v>
      </c>
      <c r="AP268" s="35">
        <v>0.57155360501567409</v>
      </c>
      <c r="AQ268" s="84">
        <v>0.68752100313479636</v>
      </c>
      <c r="AR268" s="46">
        <v>19464</v>
      </c>
      <c r="AS268" s="50" t="s">
        <v>155</v>
      </c>
      <c r="AT268" s="50">
        <v>100</v>
      </c>
      <c r="AU268" s="44">
        <v>-1</v>
      </c>
      <c r="AV268" s="48">
        <v>-1</v>
      </c>
      <c r="AW268" s="48">
        <v>-1</v>
      </c>
      <c r="AX268" s="48">
        <v>-1</v>
      </c>
      <c r="AY268" s="48">
        <v>-1</v>
      </c>
      <c r="AZ268" s="45">
        <v>1</v>
      </c>
      <c r="BA268" s="43">
        <v>36</v>
      </c>
      <c r="BB268" s="35">
        <v>1.2</v>
      </c>
      <c r="BC268" s="45">
        <v>-1</v>
      </c>
      <c r="BD268" s="45">
        <v>-1</v>
      </c>
      <c r="BE268" s="45">
        <v>-1</v>
      </c>
      <c r="BF268" s="45">
        <v>-1</v>
      </c>
      <c r="BG268" s="45">
        <v>100</v>
      </c>
      <c r="BH268" s="45">
        <v>-1</v>
      </c>
      <c r="BI268" s="45">
        <v>-1</v>
      </c>
      <c r="BJ268" s="28">
        <v>1</v>
      </c>
      <c r="BK268" s="56">
        <v>29.731904636198646</v>
      </c>
      <c r="BL268" s="45">
        <v>0.6</v>
      </c>
      <c r="BM268" s="45">
        <v>3</v>
      </c>
      <c r="BN268" s="56">
        <v>23.780946048506848</v>
      </c>
      <c r="BO268" s="45">
        <v>0.3</v>
      </c>
    </row>
    <row r="269" spans="1:67" s="50" customFormat="1" ht="15" customHeight="1" x14ac:dyDescent="0.25">
      <c r="A269" s="50">
        <v>268</v>
      </c>
      <c r="B269" s="36">
        <v>8043</v>
      </c>
      <c r="C269" s="71">
        <v>8043</v>
      </c>
      <c r="D269" s="36" t="s">
        <v>3</v>
      </c>
      <c r="E269" s="75" t="s">
        <v>404</v>
      </c>
      <c r="F269" s="39">
        <v>30</v>
      </c>
      <c r="G269" s="36">
        <v>30</v>
      </c>
      <c r="H269" s="36">
        <v>5</v>
      </c>
      <c r="I269" s="43">
        <v>42</v>
      </c>
      <c r="J269" s="36">
        <v>26</v>
      </c>
      <c r="K269" s="36">
        <v>15</v>
      </c>
      <c r="L269" s="36">
        <v>27189</v>
      </c>
      <c r="M269" s="36" t="s">
        <v>401</v>
      </c>
      <c r="N269" s="36">
        <v>100</v>
      </c>
      <c r="O269" s="36">
        <v>14</v>
      </c>
      <c r="P269" s="36">
        <v>36</v>
      </c>
      <c r="Q269" s="36">
        <v>21</v>
      </c>
      <c r="R269" s="36">
        <v>10</v>
      </c>
      <c r="S269" s="36">
        <v>6</v>
      </c>
      <c r="T269" s="45">
        <v>27189</v>
      </c>
      <c r="U269" s="36" t="s">
        <v>401</v>
      </c>
      <c r="V269" s="36">
        <v>100</v>
      </c>
      <c r="W269" s="36">
        <v>1</v>
      </c>
      <c r="X269" s="102">
        <v>4</v>
      </c>
      <c r="Y269" s="81">
        <v>-1</v>
      </c>
      <c r="Z269" s="48">
        <v>-1</v>
      </c>
      <c r="AA269" s="10">
        <v>-1</v>
      </c>
      <c r="AB269" s="10">
        <v>-1</v>
      </c>
      <c r="AC269" s="10">
        <v>-1</v>
      </c>
      <c r="AD269" s="10">
        <v>-1</v>
      </c>
      <c r="AE269" s="42">
        <v>66</v>
      </c>
      <c r="AF269" s="43">
        <v>0.5</v>
      </c>
      <c r="AG269" s="45">
        <v>80</v>
      </c>
      <c r="AH269" s="65">
        <v>0.55000000000000004</v>
      </c>
      <c r="AI269" s="50">
        <v>39369</v>
      </c>
      <c r="AJ269" s="50" t="s">
        <v>391</v>
      </c>
      <c r="AK269" s="50">
        <v>100</v>
      </c>
      <c r="AL269" s="34">
        <v>28.6</v>
      </c>
      <c r="AM269" s="43">
        <v>3</v>
      </c>
      <c r="AN269" s="35">
        <v>0.3</v>
      </c>
      <c r="AO269" s="35">
        <v>1.2</v>
      </c>
      <c r="AP269" s="35">
        <v>1.5</v>
      </c>
      <c r="AQ269" s="84">
        <v>1.4</v>
      </c>
      <c r="AR269" s="46">
        <v>27189</v>
      </c>
      <c r="AS269" s="50" t="s">
        <v>401</v>
      </c>
      <c r="AT269" s="50">
        <v>100</v>
      </c>
      <c r="AU269" s="44">
        <v>-1</v>
      </c>
      <c r="AV269" s="48">
        <v>-1</v>
      </c>
      <c r="AW269" s="48">
        <v>-1</v>
      </c>
      <c r="AX269" s="48">
        <v>-1</v>
      </c>
      <c r="AY269" s="48">
        <v>-1</v>
      </c>
      <c r="AZ269" s="45">
        <v>1</v>
      </c>
      <c r="BA269" s="45">
        <v>35</v>
      </c>
      <c r="BB269" s="35">
        <v>1.8</v>
      </c>
      <c r="BC269" s="45">
        <v>-1</v>
      </c>
      <c r="BD269" s="45">
        <v>-1</v>
      </c>
      <c r="BE269" s="45">
        <v>-1</v>
      </c>
      <c r="BF269" s="45">
        <v>-1</v>
      </c>
      <c r="BG269" s="45">
        <v>100</v>
      </c>
      <c r="BH269" s="45">
        <v>-1</v>
      </c>
      <c r="BI269" s="45">
        <v>-1</v>
      </c>
      <c r="BJ269" s="28">
        <v>1</v>
      </c>
      <c r="BK269" s="45">
        <v>35</v>
      </c>
      <c r="BL269" s="43">
        <v>2</v>
      </c>
      <c r="BM269" s="45">
        <v>3</v>
      </c>
      <c r="BN269" s="45">
        <v>35</v>
      </c>
      <c r="BO269" s="43">
        <v>2</v>
      </c>
    </row>
    <row r="270" spans="1:67" s="50" customFormat="1" ht="15" customHeight="1" x14ac:dyDescent="0.25">
      <c r="A270" s="50">
        <v>269</v>
      </c>
      <c r="B270" s="52" t="s">
        <v>306</v>
      </c>
      <c r="C270" s="68">
        <v>918061</v>
      </c>
      <c r="D270" s="36" t="s">
        <v>3</v>
      </c>
      <c r="E270" s="11" t="s">
        <v>16</v>
      </c>
      <c r="F270" s="39">
        <v>18.7</v>
      </c>
      <c r="G270" s="56">
        <v>18.7</v>
      </c>
      <c r="H270" s="67">
        <v>14.573103448275862</v>
      </c>
      <c r="I270" s="36">
        <v>49.517388451443566</v>
      </c>
      <c r="J270" s="67">
        <v>29.382410906353403</v>
      </c>
      <c r="K270" s="67">
        <v>11.515671732893852</v>
      </c>
      <c r="L270" s="36">
        <v>19478</v>
      </c>
      <c r="M270" s="36" t="s">
        <v>352</v>
      </c>
      <c r="N270" s="36">
        <v>100</v>
      </c>
      <c r="O270" s="43">
        <v>10.648448275862069</v>
      </c>
      <c r="P270" s="36">
        <v>22.047827586206896</v>
      </c>
      <c r="Q270" s="43">
        <v>31.730910020364785</v>
      </c>
      <c r="R270" s="43">
        <v>17.990619884525533</v>
      </c>
      <c r="S270" s="43">
        <v>6.1483218261168728</v>
      </c>
      <c r="T270" s="36">
        <v>19478</v>
      </c>
      <c r="U270" s="36" t="s">
        <v>352</v>
      </c>
      <c r="V270" s="36">
        <v>100</v>
      </c>
      <c r="W270" s="36">
        <v>1</v>
      </c>
      <c r="X270" s="102">
        <v>2</v>
      </c>
      <c r="Y270" s="29">
        <v>43.491786597938145</v>
      </c>
      <c r="Z270" s="45">
        <v>6.5</v>
      </c>
      <c r="AA270" s="47">
        <v>85</v>
      </c>
      <c r="AB270" s="50">
        <v>23571</v>
      </c>
      <c r="AC270" s="50" t="s">
        <v>161</v>
      </c>
      <c r="AD270" s="50">
        <v>100</v>
      </c>
      <c r="AE270" s="42">
        <v>34</v>
      </c>
      <c r="AF270" s="43">
        <v>1.7</v>
      </c>
      <c r="AG270" s="45">
        <v>75</v>
      </c>
      <c r="AH270" s="64">
        <v>0.32</v>
      </c>
      <c r="AI270" s="50">
        <v>39369</v>
      </c>
      <c r="AJ270" s="50" t="s">
        <v>391</v>
      </c>
      <c r="AK270" s="50">
        <v>100</v>
      </c>
      <c r="AL270" s="34">
        <v>4</v>
      </c>
      <c r="AM270" s="43">
        <v>0.8</v>
      </c>
      <c r="AN270" s="35">
        <v>0.10082758620689654</v>
      </c>
      <c r="AO270" s="35">
        <v>0.16706896551724132</v>
      </c>
      <c r="AP270" s="35">
        <v>0.32358620689655171</v>
      </c>
      <c r="AQ270" s="84">
        <v>0.38924137931034486</v>
      </c>
      <c r="AR270" s="46">
        <v>19478</v>
      </c>
      <c r="AS270" s="50" t="s">
        <v>352</v>
      </c>
      <c r="AT270" s="50">
        <v>100</v>
      </c>
      <c r="AU270" s="44">
        <v>-1</v>
      </c>
      <c r="AV270" s="48">
        <v>-1</v>
      </c>
      <c r="AW270" s="48">
        <v>-1</v>
      </c>
      <c r="AX270" s="48">
        <v>-1</v>
      </c>
      <c r="AY270" s="48">
        <v>-1</v>
      </c>
      <c r="AZ270" s="45">
        <v>1</v>
      </c>
      <c r="BA270" s="43">
        <v>20</v>
      </c>
      <c r="BB270" s="35">
        <v>1.2</v>
      </c>
      <c r="BC270" s="45">
        <v>-1</v>
      </c>
      <c r="BD270" s="45">
        <v>-1</v>
      </c>
      <c r="BE270" s="45">
        <v>-1</v>
      </c>
      <c r="BF270" s="45">
        <v>100</v>
      </c>
      <c r="BG270" s="45">
        <v>-1</v>
      </c>
      <c r="BH270" s="45">
        <v>-1</v>
      </c>
      <c r="BI270" s="45">
        <v>-1</v>
      </c>
      <c r="BJ270" s="28">
        <v>1</v>
      </c>
      <c r="BK270" s="56">
        <v>16.83277676950998</v>
      </c>
      <c r="BL270" s="45">
        <v>0.6</v>
      </c>
      <c r="BM270" s="45">
        <v>3</v>
      </c>
      <c r="BN270" s="56">
        <v>13.463629764065335</v>
      </c>
      <c r="BO270" s="45">
        <v>0.3</v>
      </c>
    </row>
    <row r="271" spans="1:67" s="50" customFormat="1" ht="15" customHeight="1" x14ac:dyDescent="0.25">
      <c r="A271" s="50">
        <v>270</v>
      </c>
      <c r="B271" s="52" t="s">
        <v>307</v>
      </c>
      <c r="C271" s="68">
        <v>928061</v>
      </c>
      <c r="D271" s="36" t="s">
        <v>3</v>
      </c>
      <c r="E271" s="11" t="s">
        <v>16</v>
      </c>
      <c r="F271" s="39">
        <v>53</v>
      </c>
      <c r="G271" s="56">
        <v>53</v>
      </c>
      <c r="H271" s="67">
        <v>41.303448275862074</v>
      </c>
      <c r="I271" s="36">
        <v>65.575459317585299</v>
      </c>
      <c r="J271" s="67">
        <v>38.910878608461466</v>
      </c>
      <c r="K271" s="67">
        <v>15.250106818043093</v>
      </c>
      <c r="L271" s="36">
        <v>19478</v>
      </c>
      <c r="M271" s="36" t="s">
        <v>352</v>
      </c>
      <c r="N271" s="36">
        <v>100</v>
      </c>
      <c r="O271" s="43">
        <v>30.180094043887149</v>
      </c>
      <c r="P271" s="36">
        <v>62.488495297805642</v>
      </c>
      <c r="Q271" s="43">
        <v>42.020976150444199</v>
      </c>
      <c r="R271" s="43">
        <v>23.824825969824595</v>
      </c>
      <c r="S271" s="43">
        <v>8.1421706674879175</v>
      </c>
      <c r="T271" s="36">
        <v>19478</v>
      </c>
      <c r="U271" s="36" t="s">
        <v>352</v>
      </c>
      <c r="V271" s="36">
        <v>100</v>
      </c>
      <c r="W271" s="36">
        <v>1</v>
      </c>
      <c r="X271" s="102">
        <v>2</v>
      </c>
      <c r="Y271" s="29">
        <v>26.407216494845361</v>
      </c>
      <c r="Z271" s="45">
        <v>6.5</v>
      </c>
      <c r="AA271" s="47">
        <v>85</v>
      </c>
      <c r="AB271" s="50">
        <v>23571</v>
      </c>
      <c r="AC271" s="50" t="s">
        <v>161</v>
      </c>
      <c r="AD271" s="50">
        <v>100</v>
      </c>
      <c r="AE271" s="42">
        <v>21</v>
      </c>
      <c r="AF271" s="43">
        <v>1.7</v>
      </c>
      <c r="AG271" s="45">
        <v>75</v>
      </c>
      <c r="AH271" s="64">
        <v>0.2</v>
      </c>
      <c r="AI271" s="50">
        <v>39369</v>
      </c>
      <c r="AJ271" s="50" t="s">
        <v>391</v>
      </c>
      <c r="AK271" s="50">
        <v>100</v>
      </c>
      <c r="AL271" s="34">
        <v>11</v>
      </c>
      <c r="AM271" s="43">
        <v>0.8</v>
      </c>
      <c r="AN271" s="35">
        <v>0.28576802507836996</v>
      </c>
      <c r="AO271" s="35">
        <v>0.47351097178683371</v>
      </c>
      <c r="AP271" s="35">
        <v>0.91711598746081513</v>
      </c>
      <c r="AQ271" s="84">
        <v>1.1031974921630097</v>
      </c>
      <c r="AR271" s="46">
        <v>19478</v>
      </c>
      <c r="AS271" s="50" t="s">
        <v>352</v>
      </c>
      <c r="AT271" s="50">
        <v>100</v>
      </c>
      <c r="AU271" s="44">
        <v>-1</v>
      </c>
      <c r="AV271" s="48">
        <v>-1</v>
      </c>
      <c r="AW271" s="48">
        <v>-1</v>
      </c>
      <c r="AX271" s="48">
        <v>-1</v>
      </c>
      <c r="AY271" s="48">
        <v>-1</v>
      </c>
      <c r="AZ271" s="45">
        <v>1</v>
      </c>
      <c r="BA271" s="43">
        <v>57</v>
      </c>
      <c r="BB271" s="35">
        <v>1.2</v>
      </c>
      <c r="BC271" s="45">
        <v>-1</v>
      </c>
      <c r="BD271" s="45">
        <v>-1</v>
      </c>
      <c r="BE271" s="45">
        <v>-1</v>
      </c>
      <c r="BF271" s="45">
        <v>100</v>
      </c>
      <c r="BG271" s="45">
        <v>-1</v>
      </c>
      <c r="BH271" s="45">
        <v>-1</v>
      </c>
      <c r="BI271" s="45">
        <v>-1</v>
      </c>
      <c r="BJ271" s="28">
        <v>1</v>
      </c>
      <c r="BK271" s="56">
        <v>47.707869988450746</v>
      </c>
      <c r="BL271" s="45">
        <v>0.6</v>
      </c>
      <c r="BM271" s="45">
        <v>3</v>
      </c>
      <c r="BN271" s="56">
        <v>38.158950668206565</v>
      </c>
      <c r="BO271" s="45">
        <v>0.3</v>
      </c>
    </row>
    <row r="272" spans="1:67" s="50" customFormat="1" ht="15" customHeight="1" x14ac:dyDescent="0.25">
      <c r="A272" s="50">
        <v>271</v>
      </c>
      <c r="B272" s="52" t="s">
        <v>308</v>
      </c>
      <c r="C272" s="68">
        <v>918091</v>
      </c>
      <c r="D272" s="36" t="s">
        <v>3</v>
      </c>
      <c r="E272" s="24" t="s">
        <v>353</v>
      </c>
      <c r="F272" s="39">
        <v>17</v>
      </c>
      <c r="G272" s="36">
        <v>17</v>
      </c>
      <c r="H272" s="36">
        <v>22.961805555555557</v>
      </c>
      <c r="I272" s="36">
        <v>54</v>
      </c>
      <c r="J272" s="36">
        <v>21.633337368357338</v>
      </c>
      <c r="K272" s="36">
        <v>12</v>
      </c>
      <c r="L272" s="36" t="s">
        <v>387</v>
      </c>
      <c r="M272" s="36" t="s">
        <v>386</v>
      </c>
      <c r="N272" s="36" t="s">
        <v>156</v>
      </c>
      <c r="O272" s="36">
        <v>9.6</v>
      </c>
      <c r="P272" s="36">
        <v>53.866666666666667</v>
      </c>
      <c r="Q272" s="36">
        <v>29.046191530721963</v>
      </c>
      <c r="R272" s="36">
        <v>12.55053867570512</v>
      </c>
      <c r="S272" s="36">
        <v>6.6674736714683451</v>
      </c>
      <c r="T272" s="36" t="s">
        <v>387</v>
      </c>
      <c r="U272" s="36" t="s">
        <v>386</v>
      </c>
      <c r="V272" s="36" t="s">
        <v>156</v>
      </c>
      <c r="W272" s="36">
        <v>1</v>
      </c>
      <c r="X272" s="102">
        <v>2</v>
      </c>
      <c r="Y272" s="29">
        <v>38</v>
      </c>
      <c r="Z272" s="45">
        <v>4</v>
      </c>
      <c r="AA272" s="47">
        <v>85</v>
      </c>
      <c r="AB272" s="50">
        <v>23571</v>
      </c>
      <c r="AC272" s="50" t="s">
        <v>161</v>
      </c>
      <c r="AD272" s="50">
        <v>100</v>
      </c>
      <c r="AE272" s="42">
        <v>30</v>
      </c>
      <c r="AF272" s="43">
        <v>1.2</v>
      </c>
      <c r="AG272" s="45">
        <v>80</v>
      </c>
      <c r="AH272" s="35">
        <v>0.28410840999999998</v>
      </c>
      <c r="AI272" s="50" t="s">
        <v>395</v>
      </c>
      <c r="AJ272" s="50" t="s">
        <v>394</v>
      </c>
      <c r="AK272" s="50" t="s">
        <v>156</v>
      </c>
      <c r="AL272" s="34">
        <v>12.596527777777778</v>
      </c>
      <c r="AM272" s="43">
        <v>2.8</v>
      </c>
      <c r="AN272" s="35">
        <v>0.11628472222222222</v>
      </c>
      <c r="AO272" s="35">
        <v>0.3175694444444444</v>
      </c>
      <c r="AP272" s="35">
        <v>0.50822916666666673</v>
      </c>
      <c r="AQ272" s="86">
        <v>0.98014889334737731</v>
      </c>
      <c r="AR272" s="46" t="s">
        <v>387</v>
      </c>
      <c r="AS272" s="50" t="s">
        <v>386</v>
      </c>
      <c r="AT272" s="50" t="s">
        <v>156</v>
      </c>
      <c r="AU272" s="44">
        <v>3</v>
      </c>
      <c r="AV272" s="45">
        <v>0.2</v>
      </c>
      <c r="AW272" s="45">
        <v>2</v>
      </c>
      <c r="AX272" s="45">
        <v>13</v>
      </c>
      <c r="AY272" s="45">
        <v>0.6</v>
      </c>
      <c r="AZ272" s="45">
        <v>1</v>
      </c>
      <c r="BA272" s="43">
        <v>20</v>
      </c>
      <c r="BB272" s="45">
        <v>0.8</v>
      </c>
      <c r="BC272" s="45">
        <v>50</v>
      </c>
      <c r="BD272" s="45">
        <v>-1</v>
      </c>
      <c r="BE272" s="45">
        <v>50</v>
      </c>
      <c r="BF272" s="45">
        <v>-1</v>
      </c>
      <c r="BG272" s="45">
        <v>-1</v>
      </c>
      <c r="BH272" s="45">
        <v>-1</v>
      </c>
      <c r="BI272" s="45">
        <v>-1</v>
      </c>
      <c r="BJ272" s="28">
        <v>1</v>
      </c>
      <c r="BK272" s="43">
        <v>22</v>
      </c>
      <c r="BL272" s="45">
        <v>0.7</v>
      </c>
      <c r="BM272" s="45">
        <v>3</v>
      </c>
      <c r="BN272" s="45">
        <v>21</v>
      </c>
      <c r="BO272" s="45">
        <v>0.8</v>
      </c>
    </row>
    <row r="273" spans="1:67" s="50" customFormat="1" ht="15" customHeight="1" x14ac:dyDescent="0.25">
      <c r="A273" s="50">
        <v>272</v>
      </c>
      <c r="B273" s="52" t="s">
        <v>309</v>
      </c>
      <c r="C273" s="68">
        <v>928091</v>
      </c>
      <c r="D273" s="36" t="s">
        <v>3</v>
      </c>
      <c r="E273" s="24" t="s">
        <v>353</v>
      </c>
      <c r="F273" s="39">
        <v>57</v>
      </c>
      <c r="G273" s="36">
        <v>57</v>
      </c>
      <c r="H273" s="36">
        <v>76.989583333333329</v>
      </c>
      <c r="I273" s="36">
        <v>70</v>
      </c>
      <c r="J273" s="36">
        <v>28.043215107129885</v>
      </c>
      <c r="K273" s="36">
        <v>12</v>
      </c>
      <c r="L273" s="36" t="s">
        <v>387</v>
      </c>
      <c r="M273" s="36" t="s">
        <v>386</v>
      </c>
      <c r="N273" s="36" t="s">
        <v>156</v>
      </c>
      <c r="O273" s="36">
        <v>32.188235294117646</v>
      </c>
      <c r="P273" s="36">
        <v>180.61176470588236</v>
      </c>
      <c r="Q273" s="36">
        <v>37.652470502787722</v>
      </c>
      <c r="R273" s="36">
        <v>16.269216801839971</v>
      </c>
      <c r="S273" s="36">
        <v>8.6430214259774836</v>
      </c>
      <c r="T273" s="36" t="s">
        <v>387</v>
      </c>
      <c r="U273" s="36" t="s">
        <v>386</v>
      </c>
      <c r="V273" s="36" t="s">
        <v>156</v>
      </c>
      <c r="W273" s="36">
        <v>1</v>
      </c>
      <c r="X273" s="102">
        <v>2</v>
      </c>
      <c r="Y273" s="29">
        <v>22</v>
      </c>
      <c r="Z273" s="45">
        <v>4</v>
      </c>
      <c r="AA273" s="47">
        <v>85</v>
      </c>
      <c r="AB273" s="50">
        <v>23571</v>
      </c>
      <c r="AC273" s="50" t="s">
        <v>161</v>
      </c>
      <c r="AD273" s="50">
        <v>100</v>
      </c>
      <c r="AE273" s="42">
        <v>17</v>
      </c>
      <c r="AF273" s="43">
        <v>1.2</v>
      </c>
      <c r="AG273" s="45">
        <v>80</v>
      </c>
      <c r="AH273" s="35">
        <v>0.162624091</v>
      </c>
      <c r="AI273" s="50" t="s">
        <v>395</v>
      </c>
      <c r="AJ273" s="50" t="s">
        <v>394</v>
      </c>
      <c r="AK273" s="50" t="s">
        <v>156</v>
      </c>
      <c r="AL273" s="34">
        <v>42.235416666666666</v>
      </c>
      <c r="AM273" s="43">
        <v>2.8</v>
      </c>
      <c r="AN273" s="35">
        <v>0.38989583333333333</v>
      </c>
      <c r="AO273" s="35">
        <v>1.0647916666666666</v>
      </c>
      <c r="AP273" s="35">
        <v>1.7040625</v>
      </c>
      <c r="AQ273" s="86">
        <v>3.2863815835765005</v>
      </c>
      <c r="AR273" s="46" t="s">
        <v>387</v>
      </c>
      <c r="AS273" s="50" t="s">
        <v>386</v>
      </c>
      <c r="AT273" s="50" t="s">
        <v>156</v>
      </c>
      <c r="AU273" s="44">
        <v>3</v>
      </c>
      <c r="AV273" s="45">
        <v>0.2</v>
      </c>
      <c r="AW273" s="45">
        <v>2</v>
      </c>
      <c r="AX273" s="45">
        <v>13</v>
      </c>
      <c r="AY273" s="45">
        <v>0.6</v>
      </c>
      <c r="AZ273" s="45">
        <v>1</v>
      </c>
      <c r="BA273" s="43">
        <v>66</v>
      </c>
      <c r="BB273" s="45">
        <v>0.8</v>
      </c>
      <c r="BC273" s="45">
        <v>50</v>
      </c>
      <c r="BD273" s="45">
        <v>-1</v>
      </c>
      <c r="BE273" s="45">
        <v>50</v>
      </c>
      <c r="BF273" s="45">
        <v>-1</v>
      </c>
      <c r="BG273" s="45">
        <v>-1</v>
      </c>
      <c r="BH273" s="45">
        <v>-1</v>
      </c>
      <c r="BI273" s="45">
        <v>-1</v>
      </c>
      <c r="BJ273" s="28">
        <v>1</v>
      </c>
      <c r="BK273" s="43">
        <v>72</v>
      </c>
      <c r="BL273" s="45">
        <v>0.7</v>
      </c>
      <c r="BM273" s="45">
        <v>3</v>
      </c>
      <c r="BN273" s="45">
        <v>69</v>
      </c>
      <c r="BO273" s="45">
        <v>0.8</v>
      </c>
    </row>
    <row r="274" spans="1:67" s="50" customFormat="1" ht="15" customHeight="1" x14ac:dyDescent="0.25">
      <c r="A274" s="50">
        <v>273</v>
      </c>
      <c r="B274" s="52" t="s">
        <v>310</v>
      </c>
      <c r="C274" s="72">
        <v>918092</v>
      </c>
      <c r="D274" s="36" t="s">
        <v>3</v>
      </c>
      <c r="E274" s="76" t="s">
        <v>354</v>
      </c>
      <c r="F274" s="39">
        <v>23</v>
      </c>
      <c r="G274" s="36">
        <v>23</v>
      </c>
      <c r="H274" s="36">
        <v>80.5</v>
      </c>
      <c r="I274" s="43">
        <v>57.5</v>
      </c>
      <c r="J274" s="36">
        <v>20.294117647058826</v>
      </c>
      <c r="K274" s="36">
        <v>8.7941176470588243</v>
      </c>
      <c r="L274" s="36">
        <v>183412</v>
      </c>
      <c r="M274" s="36" t="s">
        <v>398</v>
      </c>
      <c r="N274" s="36">
        <v>100</v>
      </c>
      <c r="O274" s="36">
        <v>6.0374999999999996</v>
      </c>
      <c r="P274" s="36">
        <v>138</v>
      </c>
      <c r="Q274" s="36">
        <v>32.977941176470587</v>
      </c>
      <c r="R274" s="36">
        <v>7.6102941176470589</v>
      </c>
      <c r="S274" s="36">
        <v>2.6859861591695506</v>
      </c>
      <c r="T274" s="36">
        <v>183412</v>
      </c>
      <c r="U274" s="36" t="s">
        <v>398</v>
      </c>
      <c r="V274" s="36">
        <v>100</v>
      </c>
      <c r="W274" s="36">
        <v>1</v>
      </c>
      <c r="X274" s="102">
        <v>2</v>
      </c>
      <c r="Y274" s="29">
        <v>42</v>
      </c>
      <c r="Z274" s="47">
        <v>7.6</v>
      </c>
      <c r="AA274" s="47">
        <v>90</v>
      </c>
      <c r="AB274" s="50">
        <v>22476</v>
      </c>
      <c r="AC274" s="50" t="s">
        <v>157</v>
      </c>
      <c r="AD274" s="50">
        <v>100</v>
      </c>
      <c r="AE274" s="42">
        <v>16.714285714285715</v>
      </c>
      <c r="AF274" s="43">
        <v>1.3</v>
      </c>
      <c r="AG274" s="45">
        <v>80</v>
      </c>
      <c r="AH274" s="35">
        <v>0.45</v>
      </c>
      <c r="AI274" s="50">
        <v>40529</v>
      </c>
      <c r="AJ274" s="50" t="s">
        <v>356</v>
      </c>
      <c r="AK274" s="50">
        <v>100</v>
      </c>
      <c r="AL274" s="34">
        <v>13.225</v>
      </c>
      <c r="AM274" s="43">
        <v>1</v>
      </c>
      <c r="AN274" s="35">
        <v>0.17249999999999999</v>
      </c>
      <c r="AO274" s="35">
        <v>0.47149999999999992</v>
      </c>
      <c r="AP274" s="35">
        <v>0.96599999999999997</v>
      </c>
      <c r="AQ274" s="83">
        <v>3</v>
      </c>
      <c r="AR274" s="46">
        <v>183412</v>
      </c>
      <c r="AS274" s="50" t="s">
        <v>398</v>
      </c>
      <c r="AT274" s="50">
        <v>100</v>
      </c>
      <c r="AU274" s="44">
        <v>-1</v>
      </c>
      <c r="AV274" s="48">
        <v>-1</v>
      </c>
      <c r="AW274" s="45">
        <v>1</v>
      </c>
      <c r="AX274" s="45">
        <v>63</v>
      </c>
      <c r="AY274" s="45">
        <v>2.2999999999999998</v>
      </c>
      <c r="AZ274" s="45">
        <v>1</v>
      </c>
      <c r="BA274" s="45">
        <v>23</v>
      </c>
      <c r="BB274" s="35">
        <v>0.7</v>
      </c>
      <c r="BC274" s="45">
        <v>-1</v>
      </c>
      <c r="BD274" s="45">
        <v>-1</v>
      </c>
      <c r="BE274" s="45">
        <v>100</v>
      </c>
      <c r="BF274" s="45">
        <v>-1</v>
      </c>
      <c r="BG274" s="45">
        <v>-1</v>
      </c>
      <c r="BH274" s="45">
        <v>-1</v>
      </c>
      <c r="BI274" s="45">
        <v>-1</v>
      </c>
      <c r="BJ274" s="28">
        <v>2</v>
      </c>
      <c r="BK274" s="45">
        <v>28.749999999999996</v>
      </c>
      <c r="BL274" s="43">
        <v>5</v>
      </c>
      <c r="BM274" s="45">
        <v>4</v>
      </c>
      <c r="BN274" s="45">
        <v>28.749999999999996</v>
      </c>
      <c r="BO274" s="43">
        <v>5</v>
      </c>
    </row>
    <row r="275" spans="1:67" s="50" customFormat="1" ht="15" customHeight="1" x14ac:dyDescent="0.25">
      <c r="A275" s="50">
        <v>274</v>
      </c>
      <c r="B275" s="52" t="s">
        <v>311</v>
      </c>
      <c r="C275" s="72">
        <v>928092</v>
      </c>
      <c r="D275" s="36" t="s">
        <v>3</v>
      </c>
      <c r="E275" s="76" t="s">
        <v>354</v>
      </c>
      <c r="F275" s="39">
        <v>55.6</v>
      </c>
      <c r="G275" s="36">
        <v>55.6</v>
      </c>
      <c r="H275" s="36">
        <v>194.6</v>
      </c>
      <c r="I275" s="43">
        <v>66.5</v>
      </c>
      <c r="J275" s="36">
        <v>23.47058823529412</v>
      </c>
      <c r="K275" s="36">
        <v>10.170588235294117</v>
      </c>
      <c r="L275" s="36">
        <v>183412</v>
      </c>
      <c r="M275" s="36" t="s">
        <v>398</v>
      </c>
      <c r="N275" s="36">
        <v>100</v>
      </c>
      <c r="O275" s="36">
        <v>14.594999999999999</v>
      </c>
      <c r="P275" s="36">
        <v>333.59999999999997</v>
      </c>
      <c r="Q275" s="36">
        <v>38.139705882352942</v>
      </c>
      <c r="R275" s="36">
        <v>8.8014705882352953</v>
      </c>
      <c r="S275" s="36">
        <v>3.1064013840830453</v>
      </c>
      <c r="T275" s="36">
        <v>183412</v>
      </c>
      <c r="U275" s="36" t="s">
        <v>398</v>
      </c>
      <c r="V275" s="36">
        <v>100</v>
      </c>
      <c r="W275" s="36">
        <v>1</v>
      </c>
      <c r="X275" s="102">
        <v>2</v>
      </c>
      <c r="Y275" s="29">
        <v>29</v>
      </c>
      <c r="Z275" s="47">
        <v>7.6</v>
      </c>
      <c r="AA275" s="47">
        <v>90</v>
      </c>
      <c r="AB275" s="50">
        <v>22476</v>
      </c>
      <c r="AC275" s="50" t="s">
        <v>157</v>
      </c>
      <c r="AD275" s="50">
        <v>100</v>
      </c>
      <c r="AE275" s="42">
        <v>11.714285714285714</v>
      </c>
      <c r="AF275" s="43">
        <v>1.3</v>
      </c>
      <c r="AG275" s="45">
        <v>80</v>
      </c>
      <c r="AH275" s="35">
        <v>0.32</v>
      </c>
      <c r="AI275" s="50">
        <v>40529</v>
      </c>
      <c r="AJ275" s="50" t="s">
        <v>356</v>
      </c>
      <c r="AK275" s="50">
        <v>100</v>
      </c>
      <c r="AL275" s="34">
        <v>31.97</v>
      </c>
      <c r="AM275" s="43">
        <v>1</v>
      </c>
      <c r="AN275" s="35">
        <v>0.41699999999999998</v>
      </c>
      <c r="AO275" s="35">
        <v>1.1397999999999999</v>
      </c>
      <c r="AP275" s="35">
        <v>2.3351999999999999</v>
      </c>
      <c r="AQ275" s="83">
        <v>7.3</v>
      </c>
      <c r="AR275" s="46">
        <v>183412</v>
      </c>
      <c r="AS275" s="50" t="s">
        <v>398</v>
      </c>
      <c r="AT275" s="50">
        <v>100</v>
      </c>
      <c r="AU275" s="44">
        <v>-1</v>
      </c>
      <c r="AV275" s="48">
        <v>-1</v>
      </c>
      <c r="AW275" s="45">
        <v>1</v>
      </c>
      <c r="AX275" s="45">
        <v>63</v>
      </c>
      <c r="AY275" s="45">
        <v>2.2999999999999998</v>
      </c>
      <c r="AZ275" s="45">
        <v>1</v>
      </c>
      <c r="BA275" s="45">
        <v>55.6</v>
      </c>
      <c r="BB275" s="35">
        <v>0.7</v>
      </c>
      <c r="BC275" s="45">
        <v>-1</v>
      </c>
      <c r="BD275" s="45">
        <v>-1</v>
      </c>
      <c r="BE275" s="45">
        <v>100</v>
      </c>
      <c r="BF275" s="45">
        <v>-1</v>
      </c>
      <c r="BG275" s="45">
        <v>-1</v>
      </c>
      <c r="BH275" s="45">
        <v>-1</v>
      </c>
      <c r="BI275" s="45">
        <v>-1</v>
      </c>
      <c r="BJ275" s="28">
        <v>2</v>
      </c>
      <c r="BK275" s="45">
        <v>100</v>
      </c>
      <c r="BL275" s="43">
        <v>5</v>
      </c>
      <c r="BM275" s="45">
        <v>4</v>
      </c>
      <c r="BN275" s="45">
        <v>69.499999999999986</v>
      </c>
      <c r="BO275" s="43">
        <v>5</v>
      </c>
    </row>
    <row r="276" spans="1:67" s="50" customFormat="1" x14ac:dyDescent="0.25">
      <c r="A276" s="50">
        <v>275</v>
      </c>
      <c r="B276" s="52" t="s">
        <v>312</v>
      </c>
      <c r="C276" s="68">
        <v>918100</v>
      </c>
      <c r="D276" s="36" t="s">
        <v>3</v>
      </c>
      <c r="E276" s="17" t="s">
        <v>134</v>
      </c>
      <c r="F276" s="39">
        <v>19</v>
      </c>
      <c r="G276" s="36">
        <v>19</v>
      </c>
      <c r="H276" s="36">
        <v>15.186097560975611</v>
      </c>
      <c r="I276" s="36">
        <v>49</v>
      </c>
      <c r="J276" s="36">
        <v>24.679882525697501</v>
      </c>
      <c r="K276" s="36">
        <v>11.512481644640236</v>
      </c>
      <c r="L276" s="55" t="s">
        <v>397</v>
      </c>
      <c r="M276" s="36" t="s">
        <v>396</v>
      </c>
      <c r="N276" s="55" t="s">
        <v>156</v>
      </c>
      <c r="O276" s="36">
        <v>10.426829268292684</v>
      </c>
      <c r="P276" s="36">
        <v>41.707317073170735</v>
      </c>
      <c r="Q276" s="36">
        <v>31.083700440528634</v>
      </c>
      <c r="R276" s="36">
        <v>13.124229074889866</v>
      </c>
      <c r="S276" s="36">
        <v>7.0197356828193822</v>
      </c>
      <c r="T276" s="36" t="s">
        <v>397</v>
      </c>
      <c r="U276" s="36" t="s">
        <v>396</v>
      </c>
      <c r="V276" s="36" t="s">
        <v>156</v>
      </c>
      <c r="W276" s="36">
        <v>-1</v>
      </c>
      <c r="X276" s="102">
        <v>-1</v>
      </c>
      <c r="Y276" s="29">
        <v>44.339696389093582</v>
      </c>
      <c r="Z276" s="47">
        <v>6.4</v>
      </c>
      <c r="AA276" s="47">
        <v>85</v>
      </c>
      <c r="AB276" s="50">
        <v>23700</v>
      </c>
      <c r="AC276" s="50" t="s">
        <v>393</v>
      </c>
      <c r="AD276" s="50">
        <v>100</v>
      </c>
      <c r="AE276" s="42">
        <v>20</v>
      </c>
      <c r="AF276" s="43">
        <v>1.5</v>
      </c>
      <c r="AG276" s="45">
        <v>80</v>
      </c>
      <c r="AH276" s="35">
        <v>0.17347000736919679</v>
      </c>
      <c r="AI276" s="50" t="s">
        <v>395</v>
      </c>
      <c r="AJ276" s="50" t="s">
        <v>394</v>
      </c>
      <c r="AK276" s="50" t="s">
        <v>156</v>
      </c>
      <c r="AL276" s="34">
        <v>7.1829268292682933</v>
      </c>
      <c r="AM276" s="43">
        <v>2.2000000000000002</v>
      </c>
      <c r="AN276" s="35">
        <v>0.14829268292682926</v>
      </c>
      <c r="AO276" s="35">
        <v>0.26182926829268294</v>
      </c>
      <c r="AP276" s="35">
        <v>0.38695121951219513</v>
      </c>
      <c r="AQ276" s="83">
        <v>0.5</v>
      </c>
      <c r="AR276" s="46" t="s">
        <v>397</v>
      </c>
      <c r="AS276" s="50" t="s">
        <v>396</v>
      </c>
      <c r="AT276" s="50" t="s">
        <v>156</v>
      </c>
      <c r="AU276" s="44">
        <v>1.7</v>
      </c>
      <c r="AV276" s="45">
        <v>0.2</v>
      </c>
      <c r="AW276" s="45">
        <v>2</v>
      </c>
      <c r="AX276" s="45">
        <v>2.5</v>
      </c>
      <c r="AY276" s="45">
        <v>0.6</v>
      </c>
      <c r="AZ276" s="45">
        <v>1</v>
      </c>
      <c r="BA276" s="45">
        <v>22</v>
      </c>
      <c r="BB276" s="35">
        <v>1.5</v>
      </c>
      <c r="BC276" s="45">
        <v>50</v>
      </c>
      <c r="BD276" s="45">
        <v>-1</v>
      </c>
      <c r="BE276" s="45">
        <v>-1</v>
      </c>
      <c r="BF276" s="45">
        <v>50</v>
      </c>
      <c r="BG276" s="45">
        <v>-1</v>
      </c>
      <c r="BH276" s="45">
        <v>-1</v>
      </c>
      <c r="BI276" s="45">
        <v>-1</v>
      </c>
      <c r="BJ276" s="28">
        <v>1</v>
      </c>
      <c r="BK276" s="45">
        <v>22</v>
      </c>
      <c r="BL276" s="43">
        <v>0.7</v>
      </c>
      <c r="BM276" s="45">
        <v>3</v>
      </c>
      <c r="BN276" s="45">
        <v>19</v>
      </c>
      <c r="BO276" s="43">
        <v>0.7</v>
      </c>
    </row>
    <row r="277" spans="1:67" s="50" customFormat="1" x14ac:dyDescent="0.25">
      <c r="A277" s="50">
        <v>276</v>
      </c>
      <c r="B277" s="52" t="s">
        <v>313</v>
      </c>
      <c r="C277" s="68">
        <v>928100</v>
      </c>
      <c r="D277" s="36" t="s">
        <v>3</v>
      </c>
      <c r="E277" s="17" t="s">
        <v>134</v>
      </c>
      <c r="F277" s="39">
        <v>56</v>
      </c>
      <c r="G277" s="36">
        <v>56</v>
      </c>
      <c r="H277" s="36">
        <v>44.759024390243908</v>
      </c>
      <c r="I277" s="36">
        <v>65</v>
      </c>
      <c r="J277" s="36">
        <v>32.738619676945667</v>
      </c>
      <c r="K277" s="36">
        <v>15.271659324522762</v>
      </c>
      <c r="L277" s="55" t="s">
        <v>397</v>
      </c>
      <c r="M277" s="36" t="s">
        <v>396</v>
      </c>
      <c r="N277" s="55" t="s">
        <v>156</v>
      </c>
      <c r="O277" s="36">
        <v>30.731707317073173</v>
      </c>
      <c r="P277" s="36">
        <v>122.92682926829269</v>
      </c>
      <c r="Q277" s="36">
        <v>41.233480176211451</v>
      </c>
      <c r="R277" s="36">
        <v>17.409691629955947</v>
      </c>
      <c r="S277" s="36">
        <v>9.3118942731277521</v>
      </c>
      <c r="T277" s="36" t="s">
        <v>397</v>
      </c>
      <c r="U277" s="36" t="s">
        <v>396</v>
      </c>
      <c r="V277" s="36" t="s">
        <v>156</v>
      </c>
      <c r="W277" s="36">
        <v>-1</v>
      </c>
      <c r="X277" s="102">
        <v>-1</v>
      </c>
      <c r="Y277" s="29">
        <v>27.404633750921146</v>
      </c>
      <c r="Z277" s="47">
        <v>6.4</v>
      </c>
      <c r="AA277" s="47">
        <v>85</v>
      </c>
      <c r="AB277" s="50">
        <v>23700</v>
      </c>
      <c r="AC277" s="50" t="s">
        <v>393</v>
      </c>
      <c r="AD277" s="50">
        <v>100</v>
      </c>
      <c r="AE277" s="42">
        <v>13</v>
      </c>
      <c r="AF277" s="43">
        <v>1.5</v>
      </c>
      <c r="AG277" s="45">
        <v>80</v>
      </c>
      <c r="AH277" s="35">
        <v>0.10721503316138542</v>
      </c>
      <c r="AI277" s="50" t="s">
        <v>395</v>
      </c>
      <c r="AJ277" s="50" t="s">
        <v>394</v>
      </c>
      <c r="AK277" s="50" t="s">
        <v>156</v>
      </c>
      <c r="AL277" s="34">
        <v>21.170731707317071</v>
      </c>
      <c r="AM277" s="43">
        <v>2.2000000000000002</v>
      </c>
      <c r="AN277" s="35">
        <v>0.43707317073170737</v>
      </c>
      <c r="AO277" s="35">
        <v>0.77170731707317064</v>
      </c>
      <c r="AP277" s="35">
        <v>1.1404878048780489</v>
      </c>
      <c r="AQ277" s="83">
        <v>1.5</v>
      </c>
      <c r="AR277" s="46" t="s">
        <v>397</v>
      </c>
      <c r="AS277" s="50" t="s">
        <v>396</v>
      </c>
      <c r="AT277" s="50" t="s">
        <v>156</v>
      </c>
      <c r="AU277" s="44">
        <v>1.7</v>
      </c>
      <c r="AV277" s="45">
        <v>0.2</v>
      </c>
      <c r="AW277" s="45">
        <v>2</v>
      </c>
      <c r="AX277" s="45">
        <v>2.5</v>
      </c>
      <c r="AY277" s="45">
        <v>0.6</v>
      </c>
      <c r="AZ277" s="45">
        <v>1</v>
      </c>
      <c r="BA277" s="45">
        <v>63</v>
      </c>
      <c r="BB277" s="35">
        <v>1.5</v>
      </c>
      <c r="BC277" s="45">
        <v>50</v>
      </c>
      <c r="BD277" s="45">
        <v>-1</v>
      </c>
      <c r="BE277" s="45">
        <v>-1</v>
      </c>
      <c r="BF277" s="45">
        <v>50</v>
      </c>
      <c r="BG277" s="45">
        <v>-1</v>
      </c>
      <c r="BH277" s="45">
        <v>-1</v>
      </c>
      <c r="BI277" s="45">
        <v>-1</v>
      </c>
      <c r="BJ277" s="28">
        <v>1</v>
      </c>
      <c r="BK277" s="45">
        <v>65</v>
      </c>
      <c r="BL277" s="43">
        <v>0.7</v>
      </c>
      <c r="BM277" s="45">
        <v>3</v>
      </c>
      <c r="BN277" s="45">
        <v>56</v>
      </c>
      <c r="BO277" s="43">
        <v>0.7</v>
      </c>
    </row>
    <row r="278" spans="1:67" s="50" customFormat="1" ht="15" customHeight="1" x14ac:dyDescent="0.25">
      <c r="A278" s="50">
        <v>277</v>
      </c>
      <c r="B278" s="52" t="s">
        <v>314</v>
      </c>
      <c r="C278" s="68">
        <v>918110</v>
      </c>
      <c r="D278" s="36" t="s">
        <v>3</v>
      </c>
      <c r="E278" s="12" t="s">
        <v>9</v>
      </c>
      <c r="F278" s="39">
        <v>5</v>
      </c>
      <c r="G278" s="36">
        <v>5</v>
      </c>
      <c r="H278" s="36">
        <v>4</v>
      </c>
      <c r="I278" s="36">
        <v>30</v>
      </c>
      <c r="J278" s="36">
        <v>14</v>
      </c>
      <c r="K278" s="36">
        <v>9</v>
      </c>
      <c r="L278" s="55">
        <v>19276</v>
      </c>
      <c r="M278" s="36" t="s">
        <v>158</v>
      </c>
      <c r="N278" s="55">
        <v>100</v>
      </c>
      <c r="O278" s="36">
        <v>3</v>
      </c>
      <c r="P278" s="36">
        <v>6</v>
      </c>
      <c r="Q278" s="36">
        <v>20</v>
      </c>
      <c r="R278" s="36">
        <v>10</v>
      </c>
      <c r="S278" s="36">
        <v>4</v>
      </c>
      <c r="T278" s="36">
        <v>19276</v>
      </c>
      <c r="U278" s="36" t="s">
        <v>158</v>
      </c>
      <c r="V278" s="36">
        <v>100</v>
      </c>
      <c r="W278" s="36">
        <v>-1</v>
      </c>
      <c r="X278" s="102">
        <v>-1</v>
      </c>
      <c r="Y278" s="29">
        <v>34</v>
      </c>
      <c r="Z278" s="47">
        <v>6</v>
      </c>
      <c r="AA278" s="47">
        <v>85</v>
      </c>
      <c r="AB278" s="50">
        <v>19276</v>
      </c>
      <c r="AC278" s="50" t="s">
        <v>158</v>
      </c>
      <c r="AD278" s="50">
        <v>100</v>
      </c>
      <c r="AE278" s="42">
        <v>30</v>
      </c>
      <c r="AF278" s="43">
        <v>1.6</v>
      </c>
      <c r="AG278" s="45">
        <v>75</v>
      </c>
      <c r="AH278" s="35">
        <v>0.23</v>
      </c>
      <c r="AI278" s="50">
        <v>39369</v>
      </c>
      <c r="AJ278" s="50" t="s">
        <v>391</v>
      </c>
      <c r="AK278" s="50">
        <v>100</v>
      </c>
      <c r="AL278" s="34">
        <v>1.1000000000000001</v>
      </c>
      <c r="AM278" s="43">
        <v>1</v>
      </c>
      <c r="AN278" s="35">
        <v>0</v>
      </c>
      <c r="AO278" s="35">
        <v>0</v>
      </c>
      <c r="AP278" s="35">
        <v>0.1</v>
      </c>
      <c r="AQ278" s="83">
        <v>0.1</v>
      </c>
      <c r="AR278" s="46">
        <v>19276</v>
      </c>
      <c r="AS278" s="50" t="s">
        <v>158</v>
      </c>
      <c r="AT278" s="50">
        <v>100</v>
      </c>
      <c r="AU278" s="44">
        <v>-1</v>
      </c>
      <c r="AV278" s="48">
        <v>-1</v>
      </c>
      <c r="AW278" s="48">
        <v>-1</v>
      </c>
      <c r="AX278" s="48">
        <v>-1</v>
      </c>
      <c r="AY278" s="48">
        <v>-1</v>
      </c>
      <c r="AZ278" s="45">
        <v>1</v>
      </c>
      <c r="BA278" s="45">
        <v>6</v>
      </c>
      <c r="BB278" s="35">
        <v>1.3</v>
      </c>
      <c r="BC278" s="45">
        <v>-1</v>
      </c>
      <c r="BD278" s="45">
        <v>-1</v>
      </c>
      <c r="BE278" s="45">
        <v>-1</v>
      </c>
      <c r="BF278" s="45">
        <v>70</v>
      </c>
      <c r="BG278" s="45">
        <v>-1</v>
      </c>
      <c r="BH278" s="45">
        <v>-1</v>
      </c>
      <c r="BI278" s="45">
        <v>30</v>
      </c>
      <c r="BJ278" s="28">
        <v>1</v>
      </c>
      <c r="BK278" s="45">
        <v>4.8</v>
      </c>
      <c r="BL278" s="43">
        <v>0.6</v>
      </c>
      <c r="BM278" s="45">
        <v>3</v>
      </c>
      <c r="BN278" s="45">
        <v>3.4</v>
      </c>
      <c r="BO278" s="43">
        <v>0.4</v>
      </c>
    </row>
    <row r="279" spans="1:67" s="50" customFormat="1" ht="15" customHeight="1" x14ac:dyDescent="0.25">
      <c r="A279" s="50">
        <v>278</v>
      </c>
      <c r="B279" s="52" t="s">
        <v>315</v>
      </c>
      <c r="C279" s="68">
        <v>928110</v>
      </c>
      <c r="D279" s="36" t="s">
        <v>3</v>
      </c>
      <c r="E279" s="12" t="s">
        <v>9</v>
      </c>
      <c r="F279" s="39">
        <v>51</v>
      </c>
      <c r="G279" s="36">
        <v>51</v>
      </c>
      <c r="H279" s="36">
        <v>40.762682926829271</v>
      </c>
      <c r="I279" s="36">
        <v>61</v>
      </c>
      <c r="J279" s="36">
        <v>30.723935389133626</v>
      </c>
      <c r="K279" s="36">
        <v>14.33186490455213</v>
      </c>
      <c r="L279" s="36" t="s">
        <v>397</v>
      </c>
      <c r="M279" s="36" t="s">
        <v>396</v>
      </c>
      <c r="N279" s="36" t="s">
        <v>156</v>
      </c>
      <c r="O279" s="36">
        <v>27.987804878048781</v>
      </c>
      <c r="P279" s="36">
        <v>111.95121951219512</v>
      </c>
      <c r="Q279" s="36">
        <v>38.696035242290748</v>
      </c>
      <c r="R279" s="36">
        <v>16.338325991189425</v>
      </c>
      <c r="S279" s="36">
        <v>8.7388546255506601</v>
      </c>
      <c r="T279" s="36" t="s">
        <v>397</v>
      </c>
      <c r="U279" s="36" t="s">
        <v>396</v>
      </c>
      <c r="V279" s="36" t="s">
        <v>156</v>
      </c>
      <c r="W279" s="36">
        <v>-1</v>
      </c>
      <c r="X279" s="102">
        <v>-1</v>
      </c>
      <c r="Y279" s="29">
        <v>19</v>
      </c>
      <c r="Z279" s="47">
        <v>6.4</v>
      </c>
      <c r="AA279" s="47">
        <v>85</v>
      </c>
      <c r="AB279" s="50">
        <v>23700</v>
      </c>
      <c r="AC279" s="50" t="s">
        <v>393</v>
      </c>
      <c r="AD279" s="50">
        <v>100</v>
      </c>
      <c r="AE279" s="42">
        <v>30</v>
      </c>
      <c r="AF279" s="43">
        <v>1.5</v>
      </c>
      <c r="AG279" s="45">
        <v>80</v>
      </c>
      <c r="AH279" s="35">
        <v>0.25597749648382562</v>
      </c>
      <c r="AI279" s="50" t="s">
        <v>395</v>
      </c>
      <c r="AJ279" s="50" t="s">
        <v>394</v>
      </c>
      <c r="AK279" s="50" t="s">
        <v>156</v>
      </c>
      <c r="AL279" s="34">
        <v>19.280487804878049</v>
      </c>
      <c r="AM279" s="43">
        <v>2.2000000000000002</v>
      </c>
      <c r="AN279" s="35">
        <v>0.3980487804878049</v>
      </c>
      <c r="AO279" s="35">
        <v>0.70280487804878045</v>
      </c>
      <c r="AP279" s="35">
        <v>1.0386585365853658</v>
      </c>
      <c r="AQ279" s="83">
        <v>1.4</v>
      </c>
      <c r="AR279" s="46" t="s">
        <v>397</v>
      </c>
      <c r="AS279" s="50" t="s">
        <v>396</v>
      </c>
      <c r="AT279" s="50" t="s">
        <v>156</v>
      </c>
      <c r="AU279" s="44">
        <v>1.7</v>
      </c>
      <c r="AV279" s="45">
        <v>0.2</v>
      </c>
      <c r="AW279" s="45">
        <v>2</v>
      </c>
      <c r="AX279" s="45">
        <v>2.5</v>
      </c>
      <c r="AY279" s="45">
        <v>0.6</v>
      </c>
      <c r="AZ279" s="45">
        <v>1</v>
      </c>
      <c r="BA279" s="45">
        <v>58</v>
      </c>
      <c r="BB279" s="35">
        <v>1.5</v>
      </c>
      <c r="BC279" s="45">
        <v>35</v>
      </c>
      <c r="BD279" s="45">
        <v>-1</v>
      </c>
      <c r="BE279" s="45">
        <v>-1</v>
      </c>
      <c r="BF279" s="45">
        <v>35</v>
      </c>
      <c r="BG279" s="45">
        <v>-1</v>
      </c>
      <c r="BH279" s="45">
        <v>-1</v>
      </c>
      <c r="BI279" s="45">
        <v>30</v>
      </c>
      <c r="BJ279" s="28">
        <v>1</v>
      </c>
      <c r="BK279" s="45">
        <v>59</v>
      </c>
      <c r="BL279" s="43">
        <v>0.7</v>
      </c>
      <c r="BM279" s="45">
        <v>3</v>
      </c>
      <c r="BN279" s="45">
        <v>51</v>
      </c>
      <c r="BO279" s="43">
        <v>0.7</v>
      </c>
    </row>
    <row r="280" spans="1:67" s="50" customFormat="1" ht="15" customHeight="1" x14ac:dyDescent="0.25">
      <c r="A280" s="50">
        <v>279</v>
      </c>
      <c r="B280" s="36">
        <v>8112</v>
      </c>
      <c r="C280" s="70">
        <v>8112</v>
      </c>
      <c r="D280" s="36" t="s">
        <v>3</v>
      </c>
      <c r="E280" s="30" t="s">
        <v>407</v>
      </c>
      <c r="F280" s="39">
        <v>20.8</v>
      </c>
      <c r="G280" s="36">
        <v>20.8</v>
      </c>
      <c r="H280" s="36">
        <v>72.8</v>
      </c>
      <c r="I280" s="43">
        <v>52.5</v>
      </c>
      <c r="J280" s="36">
        <v>18.529411764705884</v>
      </c>
      <c r="K280" s="36">
        <v>8.0294117647058822</v>
      </c>
      <c r="L280" s="36">
        <v>183412</v>
      </c>
      <c r="M280" s="36" t="s">
        <v>398</v>
      </c>
      <c r="N280" s="36">
        <v>100</v>
      </c>
      <c r="O280" s="36">
        <v>5.46</v>
      </c>
      <c r="P280" s="36">
        <v>124.8</v>
      </c>
      <c r="Q280" s="36">
        <v>30.110294117647062</v>
      </c>
      <c r="R280" s="36">
        <v>6.9485294117647065</v>
      </c>
      <c r="S280" s="36">
        <v>2.4524221453287205</v>
      </c>
      <c r="T280" s="36">
        <v>183412</v>
      </c>
      <c r="U280" s="36" t="s">
        <v>398</v>
      </c>
      <c r="V280" s="36">
        <v>100</v>
      </c>
      <c r="W280" s="36">
        <v>1</v>
      </c>
      <c r="X280" s="102">
        <v>2</v>
      </c>
      <c r="Y280" s="29">
        <v>41</v>
      </c>
      <c r="Z280" s="47">
        <v>7.6</v>
      </c>
      <c r="AA280" s="47">
        <v>90</v>
      </c>
      <c r="AB280" s="50">
        <v>22476</v>
      </c>
      <c r="AC280" s="50" t="s">
        <v>157</v>
      </c>
      <c r="AD280" s="50">
        <v>100</v>
      </c>
      <c r="AE280" s="42">
        <v>30</v>
      </c>
      <c r="AF280" s="43">
        <v>1.3</v>
      </c>
      <c r="AG280" s="45">
        <v>80</v>
      </c>
      <c r="AH280" s="35">
        <v>0.44</v>
      </c>
      <c r="AI280" s="50">
        <v>40529</v>
      </c>
      <c r="AJ280" s="50" t="s">
        <v>356</v>
      </c>
      <c r="AK280" s="50">
        <v>100</v>
      </c>
      <c r="AL280" s="34">
        <v>11.959999999999999</v>
      </c>
      <c r="AM280" s="43">
        <v>1</v>
      </c>
      <c r="AN280" s="35">
        <v>0.156</v>
      </c>
      <c r="AO280" s="35">
        <v>0.42639999999999989</v>
      </c>
      <c r="AP280" s="35">
        <v>0.87360000000000004</v>
      </c>
      <c r="AQ280" s="83">
        <v>2.7</v>
      </c>
      <c r="AR280" s="46">
        <v>183412</v>
      </c>
      <c r="AS280" s="50" t="s">
        <v>398</v>
      </c>
      <c r="AT280" s="50">
        <v>100</v>
      </c>
      <c r="AU280" s="44">
        <v>-1</v>
      </c>
      <c r="AV280" s="48">
        <v>-1</v>
      </c>
      <c r="AW280" s="45">
        <v>1</v>
      </c>
      <c r="AX280" s="45">
        <v>63</v>
      </c>
      <c r="AY280" s="45">
        <v>2.2999999999999998</v>
      </c>
      <c r="AZ280" s="45">
        <v>1</v>
      </c>
      <c r="BA280" s="45">
        <v>20.8</v>
      </c>
      <c r="BB280" s="35">
        <v>0.7</v>
      </c>
      <c r="BC280" s="45">
        <v>-1</v>
      </c>
      <c r="BD280" s="45">
        <v>-1</v>
      </c>
      <c r="BE280" s="45">
        <v>100</v>
      </c>
      <c r="BF280" s="45">
        <v>-1</v>
      </c>
      <c r="BG280" s="45">
        <v>-1</v>
      </c>
      <c r="BH280" s="45">
        <v>-1</v>
      </c>
      <c r="BI280" s="45">
        <v>-1</v>
      </c>
      <c r="BJ280" s="28">
        <v>2</v>
      </c>
      <c r="BK280" s="45">
        <v>25.999999999999996</v>
      </c>
      <c r="BL280" s="43">
        <v>5</v>
      </c>
      <c r="BM280" s="45">
        <v>4</v>
      </c>
      <c r="BN280" s="45">
        <v>25.999999999999996</v>
      </c>
      <c r="BO280" s="43">
        <v>5</v>
      </c>
    </row>
    <row r="281" spans="1:67" s="50" customFormat="1" ht="15" customHeight="1" x14ac:dyDescent="0.25">
      <c r="A281" s="50">
        <v>280</v>
      </c>
      <c r="B281" s="36">
        <v>8113</v>
      </c>
      <c r="C281" s="71">
        <v>8113</v>
      </c>
      <c r="D281" s="36" t="s">
        <v>3</v>
      </c>
      <c r="E281" s="34" t="s">
        <v>408</v>
      </c>
      <c r="F281" s="39">
        <v>7</v>
      </c>
      <c r="G281" s="36">
        <v>7</v>
      </c>
      <c r="H281" s="36">
        <v>1</v>
      </c>
      <c r="I281" s="43">
        <v>28</v>
      </c>
      <c r="J281" s="36">
        <v>17</v>
      </c>
      <c r="K281" s="36">
        <v>10</v>
      </c>
      <c r="L281" s="36">
        <v>27189</v>
      </c>
      <c r="M281" s="36" t="s">
        <v>401</v>
      </c>
      <c r="N281" s="36">
        <v>100</v>
      </c>
      <c r="O281" s="36">
        <v>3</v>
      </c>
      <c r="P281" s="36">
        <v>8</v>
      </c>
      <c r="Q281" s="36">
        <v>14</v>
      </c>
      <c r="R281" s="36">
        <v>6</v>
      </c>
      <c r="S281" s="36">
        <v>4</v>
      </c>
      <c r="T281" s="45">
        <v>27189</v>
      </c>
      <c r="U281" s="36" t="s">
        <v>401</v>
      </c>
      <c r="V281" s="36">
        <v>100</v>
      </c>
      <c r="W281" s="36">
        <v>1</v>
      </c>
      <c r="X281" s="102">
        <v>4</v>
      </c>
      <c r="Y281" s="81">
        <v>-1</v>
      </c>
      <c r="Z281" s="10">
        <v>-1</v>
      </c>
      <c r="AA281" s="48">
        <v>-1</v>
      </c>
      <c r="AB281" s="10">
        <v>-1</v>
      </c>
      <c r="AC281" s="10">
        <v>-1</v>
      </c>
      <c r="AD281" s="10">
        <v>-1</v>
      </c>
      <c r="AE281" s="42">
        <v>70</v>
      </c>
      <c r="AF281" s="43">
        <v>0.5</v>
      </c>
      <c r="AG281" s="45">
        <v>80</v>
      </c>
      <c r="AH281" s="35">
        <v>0.57999999999999996</v>
      </c>
      <c r="AI281" s="50">
        <v>39369</v>
      </c>
      <c r="AJ281" s="50" t="s">
        <v>391</v>
      </c>
      <c r="AK281" s="50">
        <v>100</v>
      </c>
      <c r="AL281" s="34">
        <v>6.3</v>
      </c>
      <c r="AM281" s="43">
        <v>3</v>
      </c>
      <c r="AN281" s="35">
        <v>0.1</v>
      </c>
      <c r="AO281" s="35">
        <v>0.3</v>
      </c>
      <c r="AP281" s="35">
        <v>0.3</v>
      </c>
      <c r="AQ281" s="83">
        <v>0.3</v>
      </c>
      <c r="AR281" s="46">
        <v>27189</v>
      </c>
      <c r="AS281" s="50" t="s">
        <v>401</v>
      </c>
      <c r="AT281" s="50">
        <v>100</v>
      </c>
      <c r="AU281" s="44">
        <v>-1</v>
      </c>
      <c r="AV281" s="48">
        <v>-1</v>
      </c>
      <c r="AW281" s="48">
        <v>-1</v>
      </c>
      <c r="AX281" s="48">
        <v>-1</v>
      </c>
      <c r="AY281" s="48">
        <v>-1</v>
      </c>
      <c r="AZ281" s="45">
        <v>1</v>
      </c>
      <c r="BA281" s="45">
        <v>8</v>
      </c>
      <c r="BB281" s="35">
        <v>1.8</v>
      </c>
      <c r="BC281" s="45">
        <v>-1</v>
      </c>
      <c r="BD281" s="45">
        <v>-1</v>
      </c>
      <c r="BE281" s="45">
        <v>-1</v>
      </c>
      <c r="BF281" s="45">
        <v>-1</v>
      </c>
      <c r="BG281" s="45">
        <v>100</v>
      </c>
      <c r="BH281" s="45">
        <v>-1</v>
      </c>
      <c r="BI281" s="45">
        <v>-1</v>
      </c>
      <c r="BJ281" s="28">
        <v>1</v>
      </c>
      <c r="BK281" s="45">
        <v>7.7</v>
      </c>
      <c r="BL281" s="43">
        <v>2</v>
      </c>
      <c r="BM281" s="45">
        <v>3</v>
      </c>
      <c r="BN281" s="45">
        <v>7.7</v>
      </c>
      <c r="BO281" s="43">
        <v>2</v>
      </c>
    </row>
    <row r="282" spans="1:67" s="50" customFormat="1" ht="15" customHeight="1" x14ac:dyDescent="0.25">
      <c r="A282" s="50">
        <v>281</v>
      </c>
      <c r="B282" s="36">
        <v>8120</v>
      </c>
      <c r="C282" s="46">
        <v>8120</v>
      </c>
      <c r="D282" s="36" t="s">
        <v>3</v>
      </c>
      <c r="E282" s="13" t="s">
        <v>8</v>
      </c>
      <c r="F282" s="39">
        <v>5.0999999999999996</v>
      </c>
      <c r="G282" s="36">
        <v>5</v>
      </c>
      <c r="H282" s="36">
        <v>4</v>
      </c>
      <c r="I282" s="36">
        <v>30</v>
      </c>
      <c r="J282" s="36">
        <v>14</v>
      </c>
      <c r="K282" s="36">
        <v>9</v>
      </c>
      <c r="L282" s="36">
        <v>19276</v>
      </c>
      <c r="M282" s="36" t="s">
        <v>158</v>
      </c>
      <c r="N282" s="36">
        <v>100</v>
      </c>
      <c r="O282" s="36">
        <v>3</v>
      </c>
      <c r="P282" s="36">
        <v>6</v>
      </c>
      <c r="Q282" s="36">
        <v>20</v>
      </c>
      <c r="R282" s="36">
        <v>10</v>
      </c>
      <c r="S282" s="36">
        <v>4</v>
      </c>
      <c r="T282" s="36">
        <v>19276</v>
      </c>
      <c r="U282" s="36" t="s">
        <v>158</v>
      </c>
      <c r="V282" s="36">
        <v>100</v>
      </c>
      <c r="W282" s="36">
        <v>-1</v>
      </c>
      <c r="X282" s="102">
        <v>-1</v>
      </c>
      <c r="Y282" s="81">
        <v>-1</v>
      </c>
      <c r="Z282" s="10">
        <v>-1</v>
      </c>
      <c r="AA282" s="48">
        <v>-1</v>
      </c>
      <c r="AB282" s="10">
        <v>-1</v>
      </c>
      <c r="AC282" s="10">
        <v>-1</v>
      </c>
      <c r="AD282" s="10">
        <v>-1</v>
      </c>
      <c r="AE282" s="42">
        <v>59</v>
      </c>
      <c r="AF282" s="43">
        <v>1.6</v>
      </c>
      <c r="AG282" s="45">
        <v>75</v>
      </c>
      <c r="AH282" s="35">
        <v>0.45</v>
      </c>
      <c r="AI282" s="50">
        <v>39369</v>
      </c>
      <c r="AJ282" s="50" t="s">
        <v>391</v>
      </c>
      <c r="AK282" s="50">
        <v>100</v>
      </c>
      <c r="AL282" s="34">
        <v>1.1000000000000001</v>
      </c>
      <c r="AM282" s="43">
        <v>1</v>
      </c>
      <c r="AN282" s="35">
        <v>0</v>
      </c>
      <c r="AO282" s="35">
        <v>0</v>
      </c>
      <c r="AP282" s="35">
        <v>0.1</v>
      </c>
      <c r="AQ282" s="83">
        <v>0.1</v>
      </c>
      <c r="AR282" s="46">
        <v>19276</v>
      </c>
      <c r="AS282" s="50" t="s">
        <v>158</v>
      </c>
      <c r="AT282" s="50">
        <v>100</v>
      </c>
      <c r="AU282" s="44">
        <v>-1</v>
      </c>
      <c r="AV282" s="48">
        <v>-1</v>
      </c>
      <c r="AW282" s="48">
        <v>-1</v>
      </c>
      <c r="AX282" s="48">
        <v>-1</v>
      </c>
      <c r="AY282" s="48">
        <v>-1</v>
      </c>
      <c r="AZ282" s="45">
        <v>1</v>
      </c>
      <c r="BA282" s="45">
        <v>6</v>
      </c>
      <c r="BB282" s="35">
        <v>1.3</v>
      </c>
      <c r="BC282" s="45">
        <v>-1</v>
      </c>
      <c r="BD282" s="45">
        <v>-1</v>
      </c>
      <c r="BE282" s="45">
        <v>-1</v>
      </c>
      <c r="BF282" s="45">
        <v>40</v>
      </c>
      <c r="BG282" s="45">
        <v>-1</v>
      </c>
      <c r="BH282" s="45">
        <v>-1</v>
      </c>
      <c r="BI282" s="45">
        <v>60</v>
      </c>
      <c r="BJ282" s="28">
        <v>1</v>
      </c>
      <c r="BK282" s="45">
        <v>4.8</v>
      </c>
      <c r="BL282" s="43">
        <v>0.6</v>
      </c>
      <c r="BM282" s="45">
        <v>3</v>
      </c>
      <c r="BN282" s="45">
        <v>3.4</v>
      </c>
      <c r="BO282" s="43">
        <v>0.4</v>
      </c>
    </row>
    <row r="283" spans="1:67" s="50" customFormat="1" ht="15" customHeight="1" x14ac:dyDescent="0.25">
      <c r="A283" s="50">
        <v>282</v>
      </c>
      <c r="B283" s="36">
        <v>8122</v>
      </c>
      <c r="C283" s="70">
        <v>8122</v>
      </c>
      <c r="D283" s="36" t="s">
        <v>3</v>
      </c>
      <c r="E283" s="78" t="s">
        <v>409</v>
      </c>
      <c r="F283" s="39">
        <v>22</v>
      </c>
      <c r="G283" s="36">
        <v>22</v>
      </c>
      <c r="H283" s="36">
        <v>77</v>
      </c>
      <c r="I283" s="43">
        <v>51.8</v>
      </c>
      <c r="J283" s="36">
        <v>18.28235294117647</v>
      </c>
      <c r="K283" s="36">
        <v>7.9223529411764702</v>
      </c>
      <c r="L283" s="36">
        <v>183412</v>
      </c>
      <c r="M283" s="36" t="s">
        <v>398</v>
      </c>
      <c r="N283" s="36">
        <v>100</v>
      </c>
      <c r="O283" s="36">
        <v>5.7749999999999995</v>
      </c>
      <c r="P283" s="36">
        <v>132</v>
      </c>
      <c r="Q283" s="36">
        <v>29.708823529411767</v>
      </c>
      <c r="R283" s="36">
        <v>6.855882352941177</v>
      </c>
      <c r="S283" s="36">
        <v>2.4197231833910036</v>
      </c>
      <c r="T283" s="36">
        <v>183412</v>
      </c>
      <c r="U283" s="36" t="s">
        <v>398</v>
      </c>
      <c r="V283" s="36">
        <v>100</v>
      </c>
      <c r="W283" s="36">
        <v>1</v>
      </c>
      <c r="X283" s="102">
        <v>2</v>
      </c>
      <c r="Y283" s="29">
        <v>9</v>
      </c>
      <c r="Z283" s="47">
        <v>7.6</v>
      </c>
      <c r="AA283" s="47">
        <v>90</v>
      </c>
      <c r="AB283" s="50">
        <v>22476</v>
      </c>
      <c r="AC283" s="50" t="s">
        <v>157</v>
      </c>
      <c r="AD283" s="50">
        <v>100</v>
      </c>
      <c r="AE283" s="42">
        <v>60</v>
      </c>
      <c r="AF283" s="43">
        <v>1.3</v>
      </c>
      <c r="AG283" s="45">
        <v>80</v>
      </c>
      <c r="AH283" s="35">
        <v>0.88</v>
      </c>
      <c r="AI283" s="50">
        <v>40529</v>
      </c>
      <c r="AJ283" s="50" t="s">
        <v>356</v>
      </c>
      <c r="AK283" s="50">
        <v>100</v>
      </c>
      <c r="AL283" s="34">
        <v>12.65</v>
      </c>
      <c r="AM283" s="43">
        <v>1</v>
      </c>
      <c r="AN283" s="35">
        <v>0.16499999999999998</v>
      </c>
      <c r="AO283" s="35">
        <v>0.4509999999999999</v>
      </c>
      <c r="AP283" s="35">
        <v>0.92400000000000004</v>
      </c>
      <c r="AQ283" s="83">
        <v>2.9</v>
      </c>
      <c r="AR283" s="46">
        <v>183412</v>
      </c>
      <c r="AS283" s="50" t="s">
        <v>398</v>
      </c>
      <c r="AT283" s="50">
        <v>100</v>
      </c>
      <c r="AU283" s="44">
        <v>-1</v>
      </c>
      <c r="AV283" s="48">
        <v>-1</v>
      </c>
      <c r="AW283" s="45">
        <v>1</v>
      </c>
      <c r="AX283" s="45">
        <v>63</v>
      </c>
      <c r="AY283" s="45">
        <v>2.2999999999999998</v>
      </c>
      <c r="AZ283" s="45">
        <v>1</v>
      </c>
      <c r="BA283" s="45">
        <v>22</v>
      </c>
      <c r="BB283" s="35">
        <v>0.7</v>
      </c>
      <c r="BC283" s="45">
        <v>-1</v>
      </c>
      <c r="BD283" s="45">
        <v>-1</v>
      </c>
      <c r="BE283" s="45">
        <v>100</v>
      </c>
      <c r="BF283" s="45">
        <v>-1</v>
      </c>
      <c r="BG283" s="45">
        <v>-1</v>
      </c>
      <c r="BH283" s="45">
        <v>-1</v>
      </c>
      <c r="BI283" s="45">
        <v>-1</v>
      </c>
      <c r="BJ283" s="28">
        <v>2</v>
      </c>
      <c r="BK283" s="45">
        <v>27.499999999999996</v>
      </c>
      <c r="BL283" s="43">
        <v>5</v>
      </c>
      <c r="BM283" s="45">
        <v>4</v>
      </c>
      <c r="BN283" s="45">
        <v>27.499999999999996</v>
      </c>
      <c r="BO283" s="43">
        <v>5</v>
      </c>
    </row>
    <row r="284" spans="1:67" s="50" customFormat="1" ht="15" customHeight="1" x14ac:dyDescent="0.25">
      <c r="A284" s="50">
        <v>283</v>
      </c>
      <c r="B284" s="36">
        <v>8123</v>
      </c>
      <c r="C284" s="71">
        <v>8123</v>
      </c>
      <c r="D284" s="36" t="s">
        <v>3</v>
      </c>
      <c r="E284" s="32" t="s">
        <v>403</v>
      </c>
      <c r="F284" s="39">
        <v>9</v>
      </c>
      <c r="G284" s="36">
        <v>9</v>
      </c>
      <c r="H284" s="36">
        <v>2</v>
      </c>
      <c r="I284" s="43">
        <v>29</v>
      </c>
      <c r="J284" s="36">
        <v>18</v>
      </c>
      <c r="K284" s="36">
        <v>10</v>
      </c>
      <c r="L284" s="36">
        <v>27189</v>
      </c>
      <c r="M284" s="36" t="s">
        <v>401</v>
      </c>
      <c r="N284" s="36">
        <v>100</v>
      </c>
      <c r="O284" s="36">
        <v>4</v>
      </c>
      <c r="P284" s="36">
        <v>11</v>
      </c>
      <c r="Q284" s="36">
        <v>14</v>
      </c>
      <c r="R284" s="36">
        <v>7</v>
      </c>
      <c r="S284" s="36">
        <v>4</v>
      </c>
      <c r="T284" s="45">
        <v>27189</v>
      </c>
      <c r="U284" s="36" t="s">
        <v>401</v>
      </c>
      <c r="V284" s="36">
        <v>100</v>
      </c>
      <c r="W284" s="36">
        <v>1</v>
      </c>
      <c r="X284" s="102">
        <v>4</v>
      </c>
      <c r="Y284" s="81">
        <v>-1</v>
      </c>
      <c r="Z284" s="48">
        <v>-1</v>
      </c>
      <c r="AA284" s="10">
        <v>-1</v>
      </c>
      <c r="AB284" s="10">
        <v>-1</v>
      </c>
      <c r="AC284" s="10">
        <v>-1</v>
      </c>
      <c r="AD284" s="10">
        <v>-1</v>
      </c>
      <c r="AE284" s="42">
        <v>68</v>
      </c>
      <c r="AF284" s="43">
        <v>0.5</v>
      </c>
      <c r="AG284" s="45">
        <v>80</v>
      </c>
      <c r="AH284" s="35">
        <v>0.56999999999999995</v>
      </c>
      <c r="AI284" s="50">
        <v>39369</v>
      </c>
      <c r="AJ284" s="50" t="s">
        <v>391</v>
      </c>
      <c r="AK284" s="50">
        <v>100</v>
      </c>
      <c r="AL284" s="34">
        <v>9</v>
      </c>
      <c r="AM284" s="43">
        <v>3</v>
      </c>
      <c r="AN284" s="35">
        <v>0.1</v>
      </c>
      <c r="AO284" s="35">
        <v>0.4</v>
      </c>
      <c r="AP284" s="35">
        <v>0.5</v>
      </c>
      <c r="AQ284" s="83">
        <v>0.4</v>
      </c>
      <c r="AR284" s="46">
        <v>27189</v>
      </c>
      <c r="AS284" s="50" t="s">
        <v>401</v>
      </c>
      <c r="AT284" s="50">
        <v>100</v>
      </c>
      <c r="AU284" s="44">
        <v>-1</v>
      </c>
      <c r="AV284" s="48">
        <v>-1</v>
      </c>
      <c r="AW284" s="48">
        <v>-1</v>
      </c>
      <c r="AX284" s="48">
        <v>-1</v>
      </c>
      <c r="AY284" s="48">
        <v>-1</v>
      </c>
      <c r="AZ284" s="45">
        <v>1</v>
      </c>
      <c r="BA284" s="45">
        <v>11</v>
      </c>
      <c r="BB284" s="35">
        <v>1.8</v>
      </c>
      <c r="BC284" s="45">
        <v>-1</v>
      </c>
      <c r="BD284" s="45">
        <v>-1</v>
      </c>
      <c r="BE284" s="45">
        <v>-1</v>
      </c>
      <c r="BF284" s="45">
        <v>-1</v>
      </c>
      <c r="BG284" s="45">
        <v>100</v>
      </c>
      <c r="BH284" s="45">
        <v>-1</v>
      </c>
      <c r="BI284" s="45">
        <v>-1</v>
      </c>
      <c r="BJ284" s="28">
        <v>1</v>
      </c>
      <c r="BK284" s="45">
        <v>11</v>
      </c>
      <c r="BL284" s="43">
        <v>2</v>
      </c>
      <c r="BM284" s="45">
        <v>3</v>
      </c>
      <c r="BN284" s="45">
        <v>11</v>
      </c>
      <c r="BO284" s="43">
        <v>2</v>
      </c>
    </row>
    <row r="285" spans="1:67" s="50" customFormat="1" ht="15" customHeight="1" x14ac:dyDescent="0.25">
      <c r="A285" s="50">
        <v>284</v>
      </c>
      <c r="B285" s="36">
        <v>8130</v>
      </c>
      <c r="C285" s="46">
        <v>8130</v>
      </c>
      <c r="D285" s="36" t="s">
        <v>3</v>
      </c>
      <c r="E285" s="14" t="s">
        <v>10</v>
      </c>
      <c r="F285" s="39">
        <v>-3</v>
      </c>
      <c r="G285" s="45">
        <v>-3</v>
      </c>
      <c r="H285" s="45">
        <v>-3</v>
      </c>
      <c r="I285" s="36">
        <v>-3</v>
      </c>
      <c r="J285" s="45">
        <v>-3</v>
      </c>
      <c r="K285" s="45">
        <v>-3</v>
      </c>
      <c r="L285" s="45">
        <v>-3</v>
      </c>
      <c r="M285" s="45">
        <v>-3</v>
      </c>
      <c r="N285" s="45">
        <v>-3</v>
      </c>
      <c r="O285" s="45">
        <v>-3</v>
      </c>
      <c r="P285" s="45">
        <v>-3</v>
      </c>
      <c r="Q285" s="45">
        <v>-3</v>
      </c>
      <c r="R285" s="45">
        <v>-3</v>
      </c>
      <c r="S285" s="45">
        <v>-3</v>
      </c>
      <c r="T285" s="45">
        <v>-3</v>
      </c>
      <c r="U285" s="45">
        <v>-3</v>
      </c>
      <c r="V285" s="45">
        <v>-3</v>
      </c>
      <c r="W285" s="45">
        <v>-3</v>
      </c>
      <c r="X285" s="103">
        <v>-3</v>
      </c>
      <c r="Y285" s="29">
        <v>79.270200000000003</v>
      </c>
      <c r="Z285" s="47">
        <v>3</v>
      </c>
      <c r="AA285" s="47">
        <v>75</v>
      </c>
      <c r="AB285" s="50">
        <v>29051</v>
      </c>
      <c r="AC285" s="50" t="s">
        <v>152</v>
      </c>
      <c r="AD285" s="50">
        <v>100</v>
      </c>
      <c r="AE285" s="42">
        <v>-3</v>
      </c>
      <c r="AF285" s="10">
        <v>-3</v>
      </c>
      <c r="AG285" s="10">
        <v>-3</v>
      </c>
      <c r="AH285" s="10">
        <v>-3</v>
      </c>
      <c r="AI285" s="10">
        <v>-3</v>
      </c>
      <c r="AJ285" s="10">
        <v>-3</v>
      </c>
      <c r="AK285" s="10">
        <v>-3</v>
      </c>
      <c r="AL285" s="34">
        <v>1.2</v>
      </c>
      <c r="AM285" s="43">
        <v>0.1</v>
      </c>
      <c r="AN285" s="35">
        <v>0.2</v>
      </c>
      <c r="AO285" s="35">
        <v>0.4</v>
      </c>
      <c r="AP285" s="35">
        <v>0</v>
      </c>
      <c r="AQ285" s="83">
        <v>0</v>
      </c>
      <c r="AR285" s="46">
        <v>29051</v>
      </c>
      <c r="AS285" s="50" t="s">
        <v>152</v>
      </c>
      <c r="AT285" s="50">
        <v>100</v>
      </c>
      <c r="AU285" s="44">
        <v>-1</v>
      </c>
      <c r="AV285" s="48">
        <v>-1</v>
      </c>
      <c r="AW285" s="48">
        <v>-1</v>
      </c>
      <c r="AX285" s="48">
        <v>-1</v>
      </c>
      <c r="AY285" s="48">
        <v>-1</v>
      </c>
      <c r="AZ285" s="45">
        <v>1</v>
      </c>
      <c r="BA285" s="45">
        <v>77</v>
      </c>
      <c r="BB285" s="35">
        <v>0.86</v>
      </c>
      <c r="BC285" s="45">
        <v>-1</v>
      </c>
      <c r="BD285" s="45">
        <v>-1</v>
      </c>
      <c r="BE285" s="45">
        <v>-1</v>
      </c>
      <c r="BF285" s="45">
        <v>-1</v>
      </c>
      <c r="BG285" s="45">
        <v>100</v>
      </c>
      <c r="BH285" s="45">
        <v>-1</v>
      </c>
      <c r="BI285" s="45">
        <v>-1</v>
      </c>
      <c r="BJ285" s="28">
        <v>-1</v>
      </c>
      <c r="BK285" s="48">
        <v>-1</v>
      </c>
      <c r="BL285" s="48">
        <v>-1</v>
      </c>
      <c r="BM285" s="48">
        <v>-1</v>
      </c>
      <c r="BN285" s="48">
        <v>-1</v>
      </c>
      <c r="BO285" s="48">
        <v>-1</v>
      </c>
    </row>
    <row r="286" spans="1:67" s="50" customFormat="1" ht="15" customHeight="1" x14ac:dyDescent="0.25">
      <c r="A286" s="50">
        <v>285</v>
      </c>
      <c r="B286" s="36">
        <v>8133</v>
      </c>
      <c r="C286" s="71">
        <v>8133</v>
      </c>
      <c r="D286" s="36" t="s">
        <v>3</v>
      </c>
      <c r="E286" s="31" t="s">
        <v>405</v>
      </c>
      <c r="F286" s="39">
        <v>-3</v>
      </c>
      <c r="G286" s="45">
        <v>-3</v>
      </c>
      <c r="H286" s="45">
        <v>-3</v>
      </c>
      <c r="I286" s="36">
        <v>-3</v>
      </c>
      <c r="J286" s="45">
        <v>-3</v>
      </c>
      <c r="K286" s="45">
        <v>-3</v>
      </c>
      <c r="L286" s="45">
        <v>-3</v>
      </c>
      <c r="M286" s="45">
        <v>-3</v>
      </c>
      <c r="N286" s="45">
        <v>-3</v>
      </c>
      <c r="O286" s="45">
        <v>-3</v>
      </c>
      <c r="P286" s="45">
        <v>-3</v>
      </c>
      <c r="Q286" s="45">
        <v>-3</v>
      </c>
      <c r="R286" s="45">
        <v>-3</v>
      </c>
      <c r="S286" s="45">
        <v>-3</v>
      </c>
      <c r="T286" s="45">
        <v>-3</v>
      </c>
      <c r="U286" s="45">
        <v>-3</v>
      </c>
      <c r="V286" s="45">
        <v>-3</v>
      </c>
      <c r="W286" s="45">
        <v>-3</v>
      </c>
      <c r="X286" s="103">
        <v>-3</v>
      </c>
      <c r="Y286" s="29">
        <v>70.59</v>
      </c>
      <c r="Z286" s="47">
        <v>5</v>
      </c>
      <c r="AA286" s="47">
        <v>80</v>
      </c>
      <c r="AB286" s="50">
        <v>26417</v>
      </c>
      <c r="AC286" s="50" t="s">
        <v>147</v>
      </c>
      <c r="AD286" s="50">
        <v>100</v>
      </c>
      <c r="AE286" s="42">
        <v>-3</v>
      </c>
      <c r="AF286" s="10">
        <v>-3</v>
      </c>
      <c r="AG286" s="10">
        <v>-3</v>
      </c>
      <c r="AH286" s="10">
        <v>-3</v>
      </c>
      <c r="AI286" s="10">
        <v>-3</v>
      </c>
      <c r="AJ286" s="10">
        <v>-3</v>
      </c>
      <c r="AK286" s="10">
        <v>-3</v>
      </c>
      <c r="AL286" s="34">
        <v>23.14436944444445</v>
      </c>
      <c r="AM286" s="43">
        <v>1.5</v>
      </c>
      <c r="AN286" s="35">
        <v>0.41308222222222235</v>
      </c>
      <c r="AO286" s="35">
        <v>0.74119499999999994</v>
      </c>
      <c r="AP286" s="35">
        <v>0.3202694444444445</v>
      </c>
      <c r="AQ286" s="83">
        <v>7.1303030303030313E-2</v>
      </c>
      <c r="AR286" s="50">
        <v>26417</v>
      </c>
      <c r="AS286" s="50" t="s">
        <v>147</v>
      </c>
      <c r="AT286" s="50">
        <v>100</v>
      </c>
      <c r="AU286" s="44">
        <v>-1</v>
      </c>
      <c r="AV286" s="48">
        <v>-1</v>
      </c>
      <c r="AW286" s="48">
        <v>-1</v>
      </c>
      <c r="AX286" s="48">
        <v>-1</v>
      </c>
      <c r="AY286" s="48">
        <v>-1</v>
      </c>
      <c r="AZ286" s="45">
        <v>1</v>
      </c>
      <c r="BA286" s="45">
        <v>100</v>
      </c>
      <c r="BB286" s="35">
        <v>0.75</v>
      </c>
      <c r="BC286" s="45">
        <v>-1</v>
      </c>
      <c r="BD286" s="45">
        <v>-1</v>
      </c>
      <c r="BE286" s="45">
        <v>-1</v>
      </c>
      <c r="BF286" s="45">
        <v>-1</v>
      </c>
      <c r="BG286" s="45">
        <v>100</v>
      </c>
      <c r="BH286" s="45">
        <v>-1</v>
      </c>
      <c r="BI286" s="45">
        <v>-1</v>
      </c>
      <c r="BJ286" s="28">
        <v>-1</v>
      </c>
      <c r="BK286" s="48">
        <v>-1</v>
      </c>
      <c r="BL286" s="48">
        <v>-1</v>
      </c>
      <c r="BM286" s="48">
        <v>-1</v>
      </c>
      <c r="BN286" s="48">
        <v>-1</v>
      </c>
      <c r="BO286" s="48">
        <v>-1</v>
      </c>
    </row>
    <row r="287" spans="1:67" s="50" customFormat="1" ht="15" customHeight="1" x14ac:dyDescent="0.25">
      <c r="A287" s="50">
        <v>286</v>
      </c>
      <c r="B287" s="36">
        <v>8140</v>
      </c>
      <c r="C287" s="46">
        <v>8140</v>
      </c>
      <c r="D287" s="36" t="s">
        <v>3</v>
      </c>
      <c r="E287" s="15" t="s">
        <v>14</v>
      </c>
      <c r="F287" s="39">
        <v>-3</v>
      </c>
      <c r="G287" s="45">
        <v>-3</v>
      </c>
      <c r="H287" s="45">
        <v>-3</v>
      </c>
      <c r="I287" s="36">
        <v>-3</v>
      </c>
      <c r="J287" s="45">
        <v>-3</v>
      </c>
      <c r="K287" s="45">
        <v>-3</v>
      </c>
      <c r="L287" s="45">
        <v>-3</v>
      </c>
      <c r="M287" s="45">
        <v>-3</v>
      </c>
      <c r="N287" s="45">
        <v>-3</v>
      </c>
      <c r="O287" s="45">
        <v>-3</v>
      </c>
      <c r="P287" s="45">
        <v>-3</v>
      </c>
      <c r="Q287" s="45">
        <v>-3</v>
      </c>
      <c r="R287" s="45">
        <v>-3</v>
      </c>
      <c r="S287" s="45">
        <v>-3</v>
      </c>
      <c r="T287" s="45">
        <v>-3</v>
      </c>
      <c r="U287" s="45">
        <v>-3</v>
      </c>
      <c r="V287" s="45">
        <v>-3</v>
      </c>
      <c r="W287" s="45">
        <v>-3</v>
      </c>
      <c r="X287" s="103">
        <v>-3</v>
      </c>
      <c r="Y287" s="81">
        <v>-3</v>
      </c>
      <c r="Z287" s="48">
        <v>-3</v>
      </c>
      <c r="AA287" s="10">
        <v>-3</v>
      </c>
      <c r="AB287" s="10">
        <v>-3</v>
      </c>
      <c r="AC287" s="10">
        <v>-3</v>
      </c>
      <c r="AD287" s="10">
        <v>-3</v>
      </c>
      <c r="AE287" s="42">
        <v>57</v>
      </c>
      <c r="AF287" s="43">
        <v>2</v>
      </c>
      <c r="AG287" s="45">
        <v>80</v>
      </c>
      <c r="AH287" s="35">
        <v>1.0826675182274117</v>
      </c>
      <c r="AI287" s="50">
        <v>39369</v>
      </c>
      <c r="AJ287" s="50" t="s">
        <v>391</v>
      </c>
      <c r="AK287" s="50">
        <v>100</v>
      </c>
      <c r="AL287" s="34">
        <v>-3</v>
      </c>
      <c r="AM287" s="48">
        <v>-3</v>
      </c>
      <c r="AN287" s="48">
        <v>-3</v>
      </c>
      <c r="AO287" s="48">
        <v>-3</v>
      </c>
      <c r="AP287" s="48">
        <v>-3</v>
      </c>
      <c r="AQ287" s="48">
        <v>-3</v>
      </c>
      <c r="AR287" s="48">
        <v>-3</v>
      </c>
      <c r="AS287" s="48">
        <v>-3</v>
      </c>
      <c r="AT287" s="48">
        <v>-3</v>
      </c>
      <c r="AU287" s="44">
        <v>-1</v>
      </c>
      <c r="AV287" s="48">
        <v>-1</v>
      </c>
      <c r="AW287" s="48">
        <v>-1</v>
      </c>
      <c r="AX287" s="48">
        <v>-1</v>
      </c>
      <c r="AY287" s="48">
        <v>-1</v>
      </c>
      <c r="AZ287" s="45">
        <v>1</v>
      </c>
      <c r="BA287" s="45">
        <v>37</v>
      </c>
      <c r="BB287" s="35">
        <v>0.7</v>
      </c>
      <c r="BC287" s="45">
        <v>-1</v>
      </c>
      <c r="BD287" s="45">
        <v>-1</v>
      </c>
      <c r="BE287" s="45">
        <v>-1</v>
      </c>
      <c r="BF287" s="45">
        <v>-1</v>
      </c>
      <c r="BG287" s="45">
        <v>-1</v>
      </c>
      <c r="BH287" s="45">
        <v>-1</v>
      </c>
      <c r="BI287" s="45">
        <v>100</v>
      </c>
      <c r="BJ287" s="28">
        <v>-1</v>
      </c>
      <c r="BK287" s="48">
        <v>-1</v>
      </c>
      <c r="BL287" s="48">
        <v>-1</v>
      </c>
      <c r="BM287" s="48">
        <v>-1</v>
      </c>
      <c r="BN287" s="48">
        <v>-1</v>
      </c>
      <c r="BO287" s="48">
        <v>-1</v>
      </c>
    </row>
    <row r="288" spans="1:67" s="50" customFormat="1" ht="15" customHeight="1" x14ac:dyDescent="0.25">
      <c r="A288" s="50">
        <v>287</v>
      </c>
      <c r="B288" s="36">
        <v>8150</v>
      </c>
      <c r="C288" s="46">
        <v>8150</v>
      </c>
      <c r="D288" s="36" t="s">
        <v>3</v>
      </c>
      <c r="E288" s="18" t="s">
        <v>15</v>
      </c>
      <c r="F288" s="39">
        <v>-3</v>
      </c>
      <c r="G288" s="45">
        <v>-3</v>
      </c>
      <c r="H288" s="45">
        <v>-3</v>
      </c>
      <c r="I288" s="36">
        <v>-3</v>
      </c>
      <c r="J288" s="45">
        <v>-3</v>
      </c>
      <c r="K288" s="45">
        <v>-3</v>
      </c>
      <c r="L288" s="45">
        <v>-3</v>
      </c>
      <c r="M288" s="45">
        <v>-3</v>
      </c>
      <c r="N288" s="45">
        <v>-3</v>
      </c>
      <c r="O288" s="45">
        <v>-3</v>
      </c>
      <c r="P288" s="45">
        <v>-3</v>
      </c>
      <c r="Q288" s="45">
        <v>-3</v>
      </c>
      <c r="R288" s="45">
        <v>-3</v>
      </c>
      <c r="S288" s="45">
        <v>-3</v>
      </c>
      <c r="T288" s="45">
        <v>-3</v>
      </c>
      <c r="U288" s="45">
        <v>-3</v>
      </c>
      <c r="V288" s="45">
        <v>-3</v>
      </c>
      <c r="W288" s="45">
        <v>-3</v>
      </c>
      <c r="X288" s="103">
        <v>-3</v>
      </c>
      <c r="Y288" s="29">
        <v>7</v>
      </c>
      <c r="Z288" s="47">
        <v>2</v>
      </c>
      <c r="AA288" s="47">
        <v>75</v>
      </c>
      <c r="AB288" s="50">
        <v>29051</v>
      </c>
      <c r="AC288" s="50" t="s">
        <v>152</v>
      </c>
      <c r="AD288" s="50">
        <v>100</v>
      </c>
      <c r="AE288" s="42">
        <v>8</v>
      </c>
      <c r="AF288" s="43">
        <v>2</v>
      </c>
      <c r="AG288" s="45">
        <v>80</v>
      </c>
      <c r="AH288" s="35">
        <v>0.15282632299999999</v>
      </c>
      <c r="AI288" s="50">
        <v>39369</v>
      </c>
      <c r="AJ288" s="50" t="s">
        <v>391</v>
      </c>
      <c r="AK288" s="50">
        <v>100</v>
      </c>
      <c r="AL288" s="34">
        <v>-1</v>
      </c>
      <c r="AM288" s="48">
        <v>-1</v>
      </c>
      <c r="AN288" s="48">
        <v>-1</v>
      </c>
      <c r="AO288" s="48">
        <v>-1</v>
      </c>
      <c r="AP288" s="48">
        <v>-1</v>
      </c>
      <c r="AQ288" s="48">
        <v>-1</v>
      </c>
      <c r="AR288" s="48">
        <v>-1</v>
      </c>
      <c r="AS288" s="48">
        <v>-1</v>
      </c>
      <c r="AT288" s="48">
        <v>-1</v>
      </c>
      <c r="AU288" s="44">
        <v>-1</v>
      </c>
      <c r="AV288" s="48">
        <v>-1</v>
      </c>
      <c r="AW288" s="48">
        <v>-1</v>
      </c>
      <c r="AX288" s="48">
        <v>-1</v>
      </c>
      <c r="AY288" s="48">
        <v>-1</v>
      </c>
      <c r="AZ288" s="48">
        <v>-1</v>
      </c>
      <c r="BA288" s="48">
        <v>-1</v>
      </c>
      <c r="BB288" s="48">
        <v>-1</v>
      </c>
      <c r="BC288" s="48">
        <v>-1</v>
      </c>
      <c r="BD288" s="48">
        <v>-1</v>
      </c>
      <c r="BE288" s="48">
        <v>-1</v>
      </c>
      <c r="BF288" s="48">
        <v>-1</v>
      </c>
      <c r="BG288" s="48">
        <v>-1</v>
      </c>
      <c r="BH288" s="48">
        <v>-1</v>
      </c>
      <c r="BI288" s="48">
        <v>-1</v>
      </c>
      <c r="BJ288" s="28">
        <v>-1</v>
      </c>
      <c r="BK288" s="48">
        <v>-1</v>
      </c>
      <c r="BL288" s="48">
        <v>-1</v>
      </c>
      <c r="BM288" s="48">
        <v>-1</v>
      </c>
      <c r="BN288" s="48">
        <v>-1</v>
      </c>
      <c r="BO288" s="48">
        <v>-1</v>
      </c>
    </row>
    <row r="289" spans="1:67" s="50" customFormat="1" ht="15" customHeight="1" x14ac:dyDescent="0.25">
      <c r="A289" s="50">
        <v>288</v>
      </c>
      <c r="B289" s="36">
        <v>8180</v>
      </c>
      <c r="C289" s="46">
        <v>8180</v>
      </c>
      <c r="D289" s="36" t="s">
        <v>3</v>
      </c>
      <c r="E289" s="16" t="s">
        <v>13</v>
      </c>
      <c r="F289" s="39">
        <v>-3</v>
      </c>
      <c r="G289" s="45">
        <v>-3</v>
      </c>
      <c r="H289" s="45">
        <v>-3</v>
      </c>
      <c r="I289" s="36">
        <v>-3</v>
      </c>
      <c r="J289" s="45">
        <v>-3</v>
      </c>
      <c r="K289" s="45">
        <v>-3</v>
      </c>
      <c r="L289" s="45">
        <v>-3</v>
      </c>
      <c r="M289" s="45">
        <v>-3</v>
      </c>
      <c r="N289" s="45">
        <v>-3</v>
      </c>
      <c r="O289" s="45">
        <v>-3</v>
      </c>
      <c r="P289" s="45">
        <v>-3</v>
      </c>
      <c r="Q289" s="45">
        <v>-3</v>
      </c>
      <c r="R289" s="45">
        <v>-3</v>
      </c>
      <c r="S289" s="45">
        <v>-3</v>
      </c>
      <c r="T289" s="45">
        <v>-3</v>
      </c>
      <c r="U289" s="45">
        <v>-3</v>
      </c>
      <c r="V289" s="45">
        <v>-3</v>
      </c>
      <c r="W289" s="45">
        <v>-3</v>
      </c>
      <c r="X289" s="103">
        <v>-3</v>
      </c>
      <c r="Y289" s="29">
        <v>15.71667476</v>
      </c>
      <c r="Z289" s="47">
        <v>2.7</v>
      </c>
      <c r="AA289" s="47">
        <v>80</v>
      </c>
      <c r="AB289" s="50">
        <v>565123</v>
      </c>
      <c r="AC289" s="50" t="s">
        <v>392</v>
      </c>
      <c r="AD289" s="50">
        <v>100</v>
      </c>
      <c r="AE289" s="42">
        <v>49</v>
      </c>
      <c r="AF289" s="43">
        <v>4.2</v>
      </c>
      <c r="AG289" s="45">
        <v>70</v>
      </c>
      <c r="AH289" s="35">
        <v>1.0373005340000001</v>
      </c>
      <c r="AI289" s="50">
        <v>40544</v>
      </c>
      <c r="AJ289" s="50" t="s">
        <v>363</v>
      </c>
      <c r="AK289" s="50">
        <v>100</v>
      </c>
      <c r="AL289" s="34">
        <v>-1</v>
      </c>
      <c r="AM289" s="48">
        <v>-1</v>
      </c>
      <c r="AN289" s="48">
        <v>-1</v>
      </c>
      <c r="AO289" s="48">
        <v>-1</v>
      </c>
      <c r="AP289" s="48">
        <v>-1</v>
      </c>
      <c r="AQ289" s="48">
        <v>-1</v>
      </c>
      <c r="AR289" s="48">
        <v>-1</v>
      </c>
      <c r="AS289" s="48">
        <v>-1</v>
      </c>
      <c r="AT289" s="48">
        <v>-1</v>
      </c>
      <c r="AU289" s="44">
        <v>-1</v>
      </c>
      <c r="AV289" s="48">
        <v>-1</v>
      </c>
      <c r="AW289" s="45">
        <v>1</v>
      </c>
      <c r="AX289" s="45">
        <v>9</v>
      </c>
      <c r="AY289" s="45">
        <v>0.44</v>
      </c>
      <c r="AZ289" s="45">
        <v>1</v>
      </c>
      <c r="BA289" s="45">
        <v>72</v>
      </c>
      <c r="BB289" s="35">
        <v>1</v>
      </c>
      <c r="BC289" s="45">
        <v>-1</v>
      </c>
      <c r="BD289" s="45">
        <v>-1</v>
      </c>
      <c r="BE289" s="45">
        <v>-1</v>
      </c>
      <c r="BF289" s="45">
        <v>25</v>
      </c>
      <c r="BG289" s="45">
        <v>-1</v>
      </c>
      <c r="BH289" s="45">
        <v>-1</v>
      </c>
      <c r="BI289" s="45">
        <v>75</v>
      </c>
      <c r="BJ289" s="28">
        <v>2</v>
      </c>
      <c r="BK289" s="45">
        <v>50</v>
      </c>
      <c r="BL289" s="43">
        <v>0.7</v>
      </c>
      <c r="BM289" s="45">
        <v>4</v>
      </c>
      <c r="BN289" s="45">
        <v>38</v>
      </c>
      <c r="BO289" s="43">
        <v>0.9</v>
      </c>
    </row>
    <row r="290" spans="1:67" s="50" customFormat="1" ht="15" customHeight="1" x14ac:dyDescent="0.25">
      <c r="A290" s="50">
        <v>289</v>
      </c>
      <c r="B290" s="36">
        <v>11061</v>
      </c>
      <c r="C290" s="46">
        <v>11061</v>
      </c>
      <c r="D290" s="22" t="s">
        <v>205</v>
      </c>
      <c r="E290" s="11" t="s">
        <v>16</v>
      </c>
      <c r="F290" s="39">
        <v>21.3</v>
      </c>
      <c r="G290" s="36">
        <v>21.3</v>
      </c>
      <c r="H290" s="36">
        <v>220</v>
      </c>
      <c r="I290" s="36">
        <v>47.634842519685037</v>
      </c>
      <c r="J290" s="36">
        <v>25</v>
      </c>
      <c r="K290" s="36">
        <v>6</v>
      </c>
      <c r="L290" s="36">
        <v>19478</v>
      </c>
      <c r="M290" s="36" t="s">
        <v>352</v>
      </c>
      <c r="N290" s="36">
        <v>100</v>
      </c>
      <c r="O290" s="36">
        <v>-1</v>
      </c>
      <c r="P290" s="36">
        <v>-1</v>
      </c>
      <c r="Q290" s="36">
        <v>-1</v>
      </c>
      <c r="R290" s="36">
        <v>-1</v>
      </c>
      <c r="S290" s="36">
        <v>-1</v>
      </c>
      <c r="T290" s="36">
        <v>-1</v>
      </c>
      <c r="U290" s="36">
        <v>-1</v>
      </c>
      <c r="V290" s="36">
        <v>-1</v>
      </c>
      <c r="W290" s="36">
        <v>-1</v>
      </c>
      <c r="X290" s="102">
        <v>-1</v>
      </c>
      <c r="Y290" s="29">
        <v>6</v>
      </c>
      <c r="Z290" s="43">
        <v>10</v>
      </c>
      <c r="AA290" s="36">
        <v>90</v>
      </c>
      <c r="AB290" s="45">
        <v>22476</v>
      </c>
      <c r="AC290" s="45" t="s">
        <v>157</v>
      </c>
      <c r="AD290" s="45">
        <v>100</v>
      </c>
      <c r="AE290" s="42">
        <v>76</v>
      </c>
      <c r="AF290" s="43">
        <v>1</v>
      </c>
      <c r="AG290" s="36">
        <v>80</v>
      </c>
      <c r="AH290" s="35">
        <v>0.15</v>
      </c>
      <c r="AI290" s="45">
        <v>40529</v>
      </c>
      <c r="AJ290" s="45" t="s">
        <v>356</v>
      </c>
      <c r="AK290" s="45">
        <v>100</v>
      </c>
      <c r="AL290" s="34">
        <v>4.4000000000000004</v>
      </c>
      <c r="AM290" s="43">
        <v>0.75</v>
      </c>
      <c r="AN290" s="35">
        <v>7.0000000000000007E-2</v>
      </c>
      <c r="AO290" s="35">
        <v>0.1</v>
      </c>
      <c r="AP290" s="35">
        <v>0.34</v>
      </c>
      <c r="AQ290" s="83">
        <v>0.73</v>
      </c>
      <c r="AR290" s="46">
        <v>19478</v>
      </c>
      <c r="AS290" s="46" t="s">
        <v>352</v>
      </c>
      <c r="AT290" s="46">
        <v>100</v>
      </c>
      <c r="AU290" s="44">
        <v>-1</v>
      </c>
      <c r="AV290" s="48">
        <v>-1</v>
      </c>
      <c r="AW290" s="36">
        <v>2</v>
      </c>
      <c r="AX290" s="36">
        <v>12.5</v>
      </c>
      <c r="AY290" s="36">
        <v>2</v>
      </c>
      <c r="AZ290" s="45">
        <v>1</v>
      </c>
      <c r="BA290" s="36">
        <v>25</v>
      </c>
      <c r="BB290" s="43">
        <v>2</v>
      </c>
      <c r="BC290" s="36">
        <v>-1</v>
      </c>
      <c r="BD290" s="36">
        <v>-1</v>
      </c>
      <c r="BE290" s="36">
        <v>-1</v>
      </c>
      <c r="BF290" s="36">
        <v>100</v>
      </c>
      <c r="BG290" s="36">
        <v>-1</v>
      </c>
      <c r="BH290" s="36">
        <v>-1</v>
      </c>
      <c r="BI290" s="36">
        <v>-1</v>
      </c>
      <c r="BJ290" s="28">
        <v>1</v>
      </c>
      <c r="BK290" s="36">
        <v>26.4</v>
      </c>
      <c r="BL290" s="43">
        <v>2.5</v>
      </c>
      <c r="BM290" s="45">
        <v>3</v>
      </c>
      <c r="BN290" s="36">
        <v>26.4</v>
      </c>
      <c r="BO290" s="43">
        <v>1</v>
      </c>
    </row>
    <row r="291" spans="1:67" s="50" customFormat="1" ht="15" customHeight="1" x14ac:dyDescent="0.25">
      <c r="A291" s="50">
        <v>290</v>
      </c>
      <c r="B291" s="52" t="s">
        <v>316</v>
      </c>
      <c r="C291" s="68">
        <v>9111091</v>
      </c>
      <c r="D291" s="22" t="s">
        <v>205</v>
      </c>
      <c r="E291" s="24" t="s">
        <v>353</v>
      </c>
      <c r="F291" s="39">
        <v>15.5</v>
      </c>
      <c r="G291" s="36">
        <v>15.5</v>
      </c>
      <c r="H291" s="36">
        <v>201.40016802016243</v>
      </c>
      <c r="I291" s="43">
        <v>47.135826771653541</v>
      </c>
      <c r="J291" s="36">
        <v>12.12333464566929</v>
      </c>
      <c r="K291" s="36">
        <v>4</v>
      </c>
      <c r="L291" s="36">
        <v>18033</v>
      </c>
      <c r="M291" s="36" t="s">
        <v>355</v>
      </c>
      <c r="N291" s="36">
        <v>100</v>
      </c>
      <c r="O291" s="36">
        <v>-1</v>
      </c>
      <c r="P291" s="36">
        <v>-1</v>
      </c>
      <c r="Q291" s="36">
        <v>-1</v>
      </c>
      <c r="R291" s="36">
        <v>-1</v>
      </c>
      <c r="S291" s="36">
        <v>-1</v>
      </c>
      <c r="T291" s="36">
        <v>-1</v>
      </c>
      <c r="U291" s="36">
        <v>-1</v>
      </c>
      <c r="V291" s="36">
        <v>-1</v>
      </c>
      <c r="W291" s="36">
        <v>1</v>
      </c>
      <c r="X291" s="102">
        <v>2</v>
      </c>
      <c r="Y291" s="29">
        <v>10</v>
      </c>
      <c r="Z291" s="47">
        <v>3</v>
      </c>
      <c r="AA291" s="46">
        <v>90</v>
      </c>
      <c r="AB291" s="50">
        <v>19479</v>
      </c>
      <c r="AC291" s="50" t="s">
        <v>357</v>
      </c>
      <c r="AD291" s="50">
        <v>100</v>
      </c>
      <c r="AE291" s="42">
        <v>22</v>
      </c>
      <c r="AF291" s="43">
        <v>1.25</v>
      </c>
      <c r="AG291" s="36">
        <v>80</v>
      </c>
      <c r="AH291" s="35">
        <v>0.34196891191709844</v>
      </c>
      <c r="AI291" s="50">
        <v>40529</v>
      </c>
      <c r="AJ291" s="50" t="s">
        <v>356</v>
      </c>
      <c r="AK291" s="50">
        <v>100</v>
      </c>
      <c r="AL291" s="34">
        <v>11</v>
      </c>
      <c r="AM291" s="43">
        <v>1.86</v>
      </c>
      <c r="AN291" s="35">
        <v>0.14323718846261552</v>
      </c>
      <c r="AO291" s="35">
        <v>0.22136656398767851</v>
      </c>
      <c r="AP291" s="35">
        <v>0.60333239988798648</v>
      </c>
      <c r="AQ291" s="84">
        <v>1.7665919910389249</v>
      </c>
      <c r="AR291" s="46">
        <v>18033</v>
      </c>
      <c r="AS291" s="46" t="s">
        <v>355</v>
      </c>
      <c r="AT291" s="46">
        <v>100</v>
      </c>
      <c r="AU291" s="44">
        <v>14</v>
      </c>
      <c r="AV291" s="45">
        <v>2</v>
      </c>
      <c r="AW291" s="45">
        <v>2</v>
      </c>
      <c r="AX291" s="36">
        <v>64</v>
      </c>
      <c r="AY291" s="43">
        <v>6.8</v>
      </c>
      <c r="AZ291" s="45">
        <v>1</v>
      </c>
      <c r="BA291" s="36">
        <v>5.3</v>
      </c>
      <c r="BB291" s="43">
        <v>0.7</v>
      </c>
      <c r="BC291" s="45">
        <v>-1</v>
      </c>
      <c r="BD291" s="45">
        <v>-1</v>
      </c>
      <c r="BE291" s="45">
        <v>100</v>
      </c>
      <c r="BF291" s="45">
        <v>-1</v>
      </c>
      <c r="BG291" s="45">
        <v>-1</v>
      </c>
      <c r="BH291" s="45">
        <v>-1</v>
      </c>
      <c r="BI291" s="45">
        <v>-1</v>
      </c>
      <c r="BJ291" s="28">
        <v>1</v>
      </c>
      <c r="BK291" s="36">
        <v>40</v>
      </c>
      <c r="BL291" s="43">
        <v>6.7</v>
      </c>
      <c r="BM291" s="45">
        <v>3</v>
      </c>
      <c r="BN291" s="36">
        <v>33</v>
      </c>
      <c r="BO291" s="43">
        <v>5</v>
      </c>
    </row>
    <row r="292" spans="1:67" s="50" customFormat="1" ht="15" customHeight="1" x14ac:dyDescent="0.25">
      <c r="A292" s="50">
        <v>291</v>
      </c>
      <c r="B292" s="52" t="s">
        <v>317</v>
      </c>
      <c r="C292" s="68">
        <v>9211091</v>
      </c>
      <c r="D292" s="22" t="s">
        <v>205</v>
      </c>
      <c r="E292" s="24" t="s">
        <v>353</v>
      </c>
      <c r="F292" s="39">
        <v>53.6</v>
      </c>
      <c r="G292" s="36">
        <v>53.6</v>
      </c>
      <c r="H292" s="36">
        <v>696.45477457294874</v>
      </c>
      <c r="I292" s="43">
        <v>56.986876640419936</v>
      </c>
      <c r="J292" s="36">
        <v>14.657024671916005</v>
      </c>
      <c r="K292" s="36">
        <v>6</v>
      </c>
      <c r="L292" s="36">
        <v>18033</v>
      </c>
      <c r="M292" s="36" t="s">
        <v>355</v>
      </c>
      <c r="N292" s="36">
        <v>100</v>
      </c>
      <c r="O292" s="36">
        <v>-1</v>
      </c>
      <c r="P292" s="36">
        <v>-1</v>
      </c>
      <c r="Q292" s="36">
        <v>-1</v>
      </c>
      <c r="R292" s="36">
        <v>-1</v>
      </c>
      <c r="S292" s="36">
        <v>-1</v>
      </c>
      <c r="T292" s="36">
        <v>-1</v>
      </c>
      <c r="U292" s="36">
        <v>-1</v>
      </c>
      <c r="V292" s="36">
        <v>-1</v>
      </c>
      <c r="W292" s="36">
        <v>1</v>
      </c>
      <c r="X292" s="102">
        <v>2</v>
      </c>
      <c r="Y292" s="29">
        <v>10</v>
      </c>
      <c r="Z292" s="47">
        <v>3</v>
      </c>
      <c r="AA292" s="46">
        <v>90</v>
      </c>
      <c r="AB292" s="50">
        <v>19479</v>
      </c>
      <c r="AC292" s="50" t="s">
        <v>357</v>
      </c>
      <c r="AD292" s="50">
        <v>100</v>
      </c>
      <c r="AE292" s="42">
        <v>20</v>
      </c>
      <c r="AF292" s="43">
        <v>1.25</v>
      </c>
      <c r="AG292" s="36">
        <v>80</v>
      </c>
      <c r="AH292" s="35">
        <v>0.31088082901554404</v>
      </c>
      <c r="AI292" s="50">
        <v>40529</v>
      </c>
      <c r="AJ292" s="50" t="s">
        <v>356</v>
      </c>
      <c r="AK292" s="50">
        <v>100</v>
      </c>
      <c r="AL292" s="34">
        <v>39</v>
      </c>
      <c r="AM292" s="43">
        <v>1.86</v>
      </c>
      <c r="AN292" s="35">
        <v>0.3</v>
      </c>
      <c r="AO292" s="35">
        <v>0.76549985998319803</v>
      </c>
      <c r="AP292" s="35">
        <v>2.0863623634836177</v>
      </c>
      <c r="AQ292" s="84">
        <v>6.1089890786894427</v>
      </c>
      <c r="AR292" s="46">
        <v>18033</v>
      </c>
      <c r="AS292" s="46" t="s">
        <v>355</v>
      </c>
      <c r="AT292" s="46">
        <v>100</v>
      </c>
      <c r="AU292" s="44">
        <v>15</v>
      </c>
      <c r="AV292" s="45">
        <v>2</v>
      </c>
      <c r="AW292" s="45">
        <v>2</v>
      </c>
      <c r="AX292" s="36">
        <v>66.25</v>
      </c>
      <c r="AY292" s="43">
        <v>6.25</v>
      </c>
      <c r="AZ292" s="45">
        <v>1</v>
      </c>
      <c r="BA292" s="36">
        <v>18.2</v>
      </c>
      <c r="BB292" s="43">
        <v>0.7</v>
      </c>
      <c r="BC292" s="45">
        <v>-1</v>
      </c>
      <c r="BD292" s="45">
        <v>-1</v>
      </c>
      <c r="BE292" s="45">
        <v>100</v>
      </c>
      <c r="BF292" s="45">
        <v>-1</v>
      </c>
      <c r="BG292" s="45">
        <v>-1</v>
      </c>
      <c r="BH292" s="45">
        <v>-1</v>
      </c>
      <c r="BI292" s="45">
        <v>-1</v>
      </c>
      <c r="BJ292" s="28">
        <v>1</v>
      </c>
      <c r="BK292" s="36">
        <v>100</v>
      </c>
      <c r="BL292" s="43">
        <v>6.7</v>
      </c>
      <c r="BM292" s="45">
        <v>3</v>
      </c>
      <c r="BN292" s="36">
        <v>99.890909090909091</v>
      </c>
      <c r="BO292" s="43">
        <v>5</v>
      </c>
    </row>
    <row r="293" spans="1:67" s="50" customFormat="1" ht="15" customHeight="1" x14ac:dyDescent="0.25">
      <c r="A293" s="50">
        <v>292</v>
      </c>
      <c r="B293" s="52" t="s">
        <v>318</v>
      </c>
      <c r="C293" s="72">
        <v>9111092</v>
      </c>
      <c r="D293" s="22" t="s">
        <v>205</v>
      </c>
      <c r="E293" s="76" t="s">
        <v>354</v>
      </c>
      <c r="F293" s="39">
        <v>10.6</v>
      </c>
      <c r="G293" s="36">
        <v>10.6</v>
      </c>
      <c r="H293" s="36">
        <v>37.1</v>
      </c>
      <c r="I293" s="43">
        <v>46.7</v>
      </c>
      <c r="J293" s="36">
        <v>16.482352941176472</v>
      </c>
      <c r="K293" s="36">
        <v>7.1423529411764708</v>
      </c>
      <c r="L293" s="36">
        <v>183412</v>
      </c>
      <c r="M293" s="36" t="s">
        <v>398</v>
      </c>
      <c r="N293" s="36">
        <v>100</v>
      </c>
      <c r="O293" s="36">
        <v>-1</v>
      </c>
      <c r="P293" s="36">
        <v>-1</v>
      </c>
      <c r="Q293" s="36">
        <v>-1</v>
      </c>
      <c r="R293" s="36">
        <v>-1</v>
      </c>
      <c r="S293" s="36">
        <v>-1</v>
      </c>
      <c r="T293" s="36">
        <v>-1</v>
      </c>
      <c r="U293" s="36">
        <v>-1</v>
      </c>
      <c r="V293" s="36">
        <v>-1</v>
      </c>
      <c r="W293" s="36">
        <v>1</v>
      </c>
      <c r="X293" s="102">
        <v>2</v>
      </c>
      <c r="Y293" s="29">
        <v>54.535714285714278</v>
      </c>
      <c r="Z293" s="47">
        <v>3</v>
      </c>
      <c r="AA293" s="47">
        <v>90</v>
      </c>
      <c r="AB293" s="50">
        <v>19479</v>
      </c>
      <c r="AC293" s="50" t="s">
        <v>357</v>
      </c>
      <c r="AD293" s="50">
        <v>100</v>
      </c>
      <c r="AE293" s="42">
        <v>22</v>
      </c>
      <c r="AF293" s="43">
        <v>1.3</v>
      </c>
      <c r="AG293" s="45">
        <v>80</v>
      </c>
      <c r="AH293" s="35">
        <v>0.59</v>
      </c>
      <c r="AI293" s="50">
        <v>40529</v>
      </c>
      <c r="AJ293" s="50" t="s">
        <v>356</v>
      </c>
      <c r="AK293" s="50">
        <v>100</v>
      </c>
      <c r="AL293" s="34">
        <v>6.0949999999999998</v>
      </c>
      <c r="AM293" s="43">
        <v>1</v>
      </c>
      <c r="AN293" s="35">
        <v>7.9499999999999987E-2</v>
      </c>
      <c r="AO293" s="35">
        <v>0.21729999999999997</v>
      </c>
      <c r="AP293" s="35">
        <v>0.44520000000000004</v>
      </c>
      <c r="AQ293" s="83">
        <v>1.4</v>
      </c>
      <c r="AR293" s="46">
        <v>183412</v>
      </c>
      <c r="AS293" s="50" t="s">
        <v>398</v>
      </c>
      <c r="AT293" s="50">
        <v>100</v>
      </c>
      <c r="AU293" s="44">
        <v>-1</v>
      </c>
      <c r="AV293" s="48">
        <v>-1</v>
      </c>
      <c r="AW293" s="45">
        <v>1</v>
      </c>
      <c r="AX293" s="45">
        <v>63</v>
      </c>
      <c r="AY293" s="45">
        <v>2.2999999999999998</v>
      </c>
      <c r="AZ293" s="45">
        <v>1</v>
      </c>
      <c r="BA293" s="45">
        <v>10.6</v>
      </c>
      <c r="BB293" s="35">
        <v>0.7</v>
      </c>
      <c r="BC293" s="45">
        <v>-1</v>
      </c>
      <c r="BD293" s="45">
        <v>-1</v>
      </c>
      <c r="BE293" s="45">
        <v>100</v>
      </c>
      <c r="BF293" s="45">
        <v>-1</v>
      </c>
      <c r="BG293" s="45">
        <v>-1</v>
      </c>
      <c r="BH293" s="45">
        <v>-1</v>
      </c>
      <c r="BI293" s="45">
        <v>-1</v>
      </c>
      <c r="BJ293" s="28">
        <v>2</v>
      </c>
      <c r="BK293" s="45">
        <v>13.249999999999998</v>
      </c>
      <c r="BL293" s="43">
        <v>5</v>
      </c>
      <c r="BM293" s="45">
        <v>4</v>
      </c>
      <c r="BN293" s="45">
        <v>13.249999999999998</v>
      </c>
      <c r="BO293" s="43">
        <v>5</v>
      </c>
    </row>
    <row r="294" spans="1:67" s="50" customFormat="1" ht="15" customHeight="1" x14ac:dyDescent="0.25">
      <c r="A294" s="50">
        <v>293</v>
      </c>
      <c r="B294" s="52" t="s">
        <v>319</v>
      </c>
      <c r="C294" s="72">
        <v>9211092</v>
      </c>
      <c r="D294" s="22" t="s">
        <v>205</v>
      </c>
      <c r="E294" s="76" t="s">
        <v>354</v>
      </c>
      <c r="F294" s="39">
        <v>52.6</v>
      </c>
      <c r="G294" s="36">
        <v>52.6</v>
      </c>
      <c r="H294" s="36">
        <v>184.1</v>
      </c>
      <c r="I294" s="43">
        <v>57.8</v>
      </c>
      <c r="J294" s="36">
        <v>20.400000000000002</v>
      </c>
      <c r="K294" s="36">
        <v>8.84</v>
      </c>
      <c r="L294" s="36">
        <v>183412</v>
      </c>
      <c r="M294" s="36" t="s">
        <v>398</v>
      </c>
      <c r="N294" s="36">
        <v>100</v>
      </c>
      <c r="O294" s="36">
        <v>-1</v>
      </c>
      <c r="P294" s="36">
        <v>-1</v>
      </c>
      <c r="Q294" s="36">
        <v>-1</v>
      </c>
      <c r="R294" s="36">
        <v>-1</v>
      </c>
      <c r="S294" s="36">
        <v>-1</v>
      </c>
      <c r="T294" s="36">
        <v>-1</v>
      </c>
      <c r="U294" s="36">
        <v>-1</v>
      </c>
      <c r="V294" s="36">
        <v>-1</v>
      </c>
      <c r="W294" s="36">
        <v>1</v>
      </c>
      <c r="X294" s="102">
        <v>2</v>
      </c>
      <c r="Y294" s="29">
        <v>33.857142857142854</v>
      </c>
      <c r="Z294" s="47">
        <v>3</v>
      </c>
      <c r="AA294" s="47">
        <v>90</v>
      </c>
      <c r="AB294" s="50">
        <v>19479</v>
      </c>
      <c r="AC294" s="50" t="s">
        <v>357</v>
      </c>
      <c r="AD294" s="50">
        <v>100</v>
      </c>
      <c r="AE294" s="42">
        <v>14</v>
      </c>
      <c r="AF294" s="43">
        <v>1.3</v>
      </c>
      <c r="AG294" s="45">
        <v>80</v>
      </c>
      <c r="AH294" s="35">
        <v>0.37</v>
      </c>
      <c r="AI294" s="50">
        <v>40529</v>
      </c>
      <c r="AJ294" s="50" t="s">
        <v>356</v>
      </c>
      <c r="AK294" s="50">
        <v>100</v>
      </c>
      <c r="AL294" s="34">
        <v>30.245000000000001</v>
      </c>
      <c r="AM294" s="43">
        <v>1</v>
      </c>
      <c r="AN294" s="35">
        <v>0.39449999999999996</v>
      </c>
      <c r="AO294" s="35">
        <v>1.0782999999999998</v>
      </c>
      <c r="AP294" s="35">
        <v>2.2092000000000005</v>
      </c>
      <c r="AQ294" s="83">
        <v>6.9</v>
      </c>
      <c r="AR294" s="46">
        <v>183412</v>
      </c>
      <c r="AS294" s="50" t="s">
        <v>398</v>
      </c>
      <c r="AT294" s="50">
        <v>100</v>
      </c>
      <c r="AU294" s="44">
        <v>-1</v>
      </c>
      <c r="AV294" s="48">
        <v>-1</v>
      </c>
      <c r="AW294" s="45">
        <v>1</v>
      </c>
      <c r="AX294" s="45">
        <v>63</v>
      </c>
      <c r="AY294" s="45">
        <v>2.2999999999999998</v>
      </c>
      <c r="AZ294" s="45">
        <v>1</v>
      </c>
      <c r="BA294" s="45">
        <v>52.6</v>
      </c>
      <c r="BB294" s="35">
        <v>0.7</v>
      </c>
      <c r="BC294" s="45">
        <v>-1</v>
      </c>
      <c r="BD294" s="45">
        <v>-1</v>
      </c>
      <c r="BE294" s="45">
        <v>100</v>
      </c>
      <c r="BF294" s="45">
        <v>-1</v>
      </c>
      <c r="BG294" s="45">
        <v>-1</v>
      </c>
      <c r="BH294" s="45">
        <v>-1</v>
      </c>
      <c r="BI294" s="45">
        <v>-1</v>
      </c>
      <c r="BJ294" s="28">
        <v>2</v>
      </c>
      <c r="BK294" s="45">
        <v>100</v>
      </c>
      <c r="BL294" s="43">
        <v>5</v>
      </c>
      <c r="BM294" s="45">
        <v>4</v>
      </c>
      <c r="BN294" s="45">
        <v>65.749999999999986</v>
      </c>
      <c r="BO294" s="43">
        <v>5</v>
      </c>
    </row>
    <row r="295" spans="1:67" s="50" customFormat="1" ht="15" customHeight="1" x14ac:dyDescent="0.25">
      <c r="A295" s="50">
        <v>294</v>
      </c>
      <c r="B295" s="36">
        <v>11100</v>
      </c>
      <c r="C295" s="46">
        <v>11100</v>
      </c>
      <c r="D295" s="22" t="s">
        <v>205</v>
      </c>
      <c r="E295" s="17" t="s">
        <v>134</v>
      </c>
      <c r="F295" s="39">
        <v>29.1</v>
      </c>
      <c r="G295" s="43">
        <v>29.1</v>
      </c>
      <c r="H295" s="36">
        <v>189.15</v>
      </c>
      <c r="I295" s="43">
        <v>53.1</v>
      </c>
      <c r="J295" s="36">
        <v>24.8</v>
      </c>
      <c r="K295" s="36">
        <v>7.3</v>
      </c>
      <c r="L295" s="55" t="s">
        <v>359</v>
      </c>
      <c r="M295" s="36" t="s">
        <v>358</v>
      </c>
      <c r="N295" s="55" t="s">
        <v>156</v>
      </c>
      <c r="O295" s="43">
        <v>7.5096774193548388</v>
      </c>
      <c r="P295" s="36">
        <v>76.974193548387092</v>
      </c>
      <c r="Q295" s="43">
        <v>28.32</v>
      </c>
      <c r="R295" s="43">
        <v>11.8</v>
      </c>
      <c r="S295" s="43">
        <v>4.484</v>
      </c>
      <c r="T295" s="36">
        <v>18033</v>
      </c>
      <c r="U295" s="36" t="s">
        <v>355</v>
      </c>
      <c r="V295" s="36">
        <v>100</v>
      </c>
      <c r="W295" s="36">
        <v>1</v>
      </c>
      <c r="X295" s="102">
        <v>2</v>
      </c>
      <c r="Y295" s="29">
        <v>13</v>
      </c>
      <c r="Z295" s="47">
        <v>11.25</v>
      </c>
      <c r="AA295" s="46">
        <v>90</v>
      </c>
      <c r="AB295" s="50">
        <v>22476</v>
      </c>
      <c r="AC295" s="50" t="s">
        <v>157</v>
      </c>
      <c r="AD295" s="50">
        <v>100</v>
      </c>
      <c r="AE295" s="42">
        <v>58</v>
      </c>
      <c r="AF295" s="43">
        <v>1.25</v>
      </c>
      <c r="AG295" s="36">
        <v>80</v>
      </c>
      <c r="AH295" s="35">
        <v>1.6274594594594596</v>
      </c>
      <c r="AI295" s="50">
        <v>40529</v>
      </c>
      <c r="AJ295" s="50" t="s">
        <v>356</v>
      </c>
      <c r="AK295" s="50">
        <v>100</v>
      </c>
      <c r="AL295" s="34">
        <v>11.733870967741936</v>
      </c>
      <c r="AM295" s="43">
        <v>1.0249999999999999</v>
      </c>
      <c r="AN295" s="35">
        <v>0.26283870967741935</v>
      </c>
      <c r="AO295" s="35">
        <v>0.35670967741935483</v>
      </c>
      <c r="AP295" s="35">
        <v>0.70403225806451608</v>
      </c>
      <c r="AQ295" s="83">
        <v>2.4406451612903228</v>
      </c>
      <c r="AR295" s="40" t="s">
        <v>359</v>
      </c>
      <c r="AS295" s="46" t="s">
        <v>358</v>
      </c>
      <c r="AT295" s="40" t="s">
        <v>156</v>
      </c>
      <c r="AU295" s="44">
        <v>4.25</v>
      </c>
      <c r="AV295" s="45">
        <v>2</v>
      </c>
      <c r="AW295" s="45">
        <v>2</v>
      </c>
      <c r="AX295" s="36">
        <v>27.5</v>
      </c>
      <c r="AY295" s="36">
        <v>2</v>
      </c>
      <c r="AZ295" s="45">
        <v>1</v>
      </c>
      <c r="BA295" s="36">
        <v>27.2</v>
      </c>
      <c r="BB295" s="43">
        <v>1.63</v>
      </c>
      <c r="BC295" s="45">
        <v>-1</v>
      </c>
      <c r="BD295" s="45">
        <v>-1</v>
      </c>
      <c r="BE295" s="45">
        <v>30</v>
      </c>
      <c r="BF295" s="45">
        <v>70</v>
      </c>
      <c r="BG295" s="45">
        <v>-1</v>
      </c>
      <c r="BH295" s="45">
        <v>-1</v>
      </c>
      <c r="BI295" s="45">
        <v>-1</v>
      </c>
      <c r="BJ295" s="28">
        <v>1</v>
      </c>
      <c r="BK295" s="36">
        <v>33.799999999999997</v>
      </c>
      <c r="BL295" s="43">
        <v>2</v>
      </c>
      <c r="BM295" s="45">
        <v>3</v>
      </c>
      <c r="BN295" s="36">
        <v>33.799999999999997</v>
      </c>
      <c r="BO295" s="43">
        <v>1</v>
      </c>
    </row>
    <row r="296" spans="1:67" s="50" customFormat="1" ht="15" customHeight="1" x14ac:dyDescent="0.25">
      <c r="A296" s="50">
        <v>295</v>
      </c>
      <c r="B296" s="36">
        <v>11102</v>
      </c>
      <c r="C296" s="70">
        <v>11102</v>
      </c>
      <c r="D296" s="22" t="s">
        <v>205</v>
      </c>
      <c r="E296" s="77" t="s">
        <v>406</v>
      </c>
      <c r="F296" s="39">
        <v>14.3</v>
      </c>
      <c r="G296" s="36">
        <v>14.3</v>
      </c>
      <c r="H296" s="36">
        <v>50.050000000000004</v>
      </c>
      <c r="I296" s="43">
        <v>48.4</v>
      </c>
      <c r="J296" s="36">
        <v>17.08235294117647</v>
      </c>
      <c r="K296" s="36">
        <v>7.4023529411764706</v>
      </c>
      <c r="L296" s="36" t="s">
        <v>400</v>
      </c>
      <c r="M296" s="36" t="s">
        <v>399</v>
      </c>
      <c r="N296" s="36" t="s">
        <v>156</v>
      </c>
      <c r="O296" s="36">
        <v>-1</v>
      </c>
      <c r="P296" s="36">
        <v>-1</v>
      </c>
      <c r="Q296" s="36">
        <v>-1</v>
      </c>
      <c r="R296" s="36">
        <v>-1</v>
      </c>
      <c r="S296" s="36">
        <v>-1</v>
      </c>
      <c r="T296" s="36">
        <v>-1</v>
      </c>
      <c r="U296" s="36">
        <v>-1</v>
      </c>
      <c r="V296" s="36">
        <v>-1</v>
      </c>
      <c r="W296" s="36">
        <v>1</v>
      </c>
      <c r="X296" s="102">
        <v>2</v>
      </c>
      <c r="Y296" s="29">
        <v>50.514285714285712</v>
      </c>
      <c r="Z296" s="47">
        <v>3</v>
      </c>
      <c r="AA296" s="47">
        <v>90</v>
      </c>
      <c r="AB296" s="50">
        <v>19479</v>
      </c>
      <c r="AC296" s="50" t="s">
        <v>357</v>
      </c>
      <c r="AD296" s="50">
        <v>100</v>
      </c>
      <c r="AE296" s="42">
        <v>20</v>
      </c>
      <c r="AF296" s="43">
        <v>1.3</v>
      </c>
      <c r="AG296" s="45">
        <v>80</v>
      </c>
      <c r="AH296" s="35">
        <v>0.55000000000000004</v>
      </c>
      <c r="AI296" s="50">
        <v>40529</v>
      </c>
      <c r="AJ296" s="50" t="s">
        <v>356</v>
      </c>
      <c r="AK296" s="50">
        <v>100</v>
      </c>
      <c r="AL296" s="34">
        <v>8.2225000000000001</v>
      </c>
      <c r="AM296" s="43">
        <v>1</v>
      </c>
      <c r="AN296" s="35">
        <v>0.10725</v>
      </c>
      <c r="AO296" s="35">
        <v>0.29314999999999997</v>
      </c>
      <c r="AP296" s="35">
        <v>0.60060000000000002</v>
      </c>
      <c r="AQ296" s="83">
        <v>1.9</v>
      </c>
      <c r="AR296" s="46" t="s">
        <v>400</v>
      </c>
      <c r="AS296" s="50" t="s">
        <v>399</v>
      </c>
      <c r="AT296" s="50" t="s">
        <v>156</v>
      </c>
      <c r="AU296" s="44">
        <v>-1</v>
      </c>
      <c r="AV296" s="48">
        <v>-1</v>
      </c>
      <c r="AW296" s="45">
        <v>1</v>
      </c>
      <c r="AX296" s="45">
        <v>63</v>
      </c>
      <c r="AY296" s="45">
        <v>2.2999999999999998</v>
      </c>
      <c r="AZ296" s="45">
        <v>1</v>
      </c>
      <c r="BA296" s="45">
        <v>14.3</v>
      </c>
      <c r="BB296" s="35">
        <v>0.7</v>
      </c>
      <c r="BC296" s="45">
        <v>-1</v>
      </c>
      <c r="BD296" s="45">
        <v>-1</v>
      </c>
      <c r="BE296" s="45">
        <v>50</v>
      </c>
      <c r="BF296" s="45">
        <v>50</v>
      </c>
      <c r="BG296" s="45">
        <v>-1</v>
      </c>
      <c r="BH296" s="45">
        <v>-1</v>
      </c>
      <c r="BI296" s="45">
        <v>-1</v>
      </c>
      <c r="BJ296" s="28">
        <v>2</v>
      </c>
      <c r="BK296" s="45">
        <v>17.875</v>
      </c>
      <c r="BL296" s="43">
        <v>5</v>
      </c>
      <c r="BM296" s="45">
        <v>4</v>
      </c>
      <c r="BN296" s="45">
        <v>17.875</v>
      </c>
      <c r="BO296" s="43">
        <v>5</v>
      </c>
    </row>
    <row r="297" spans="1:67" s="50" customFormat="1" ht="15" customHeight="1" x14ac:dyDescent="0.25">
      <c r="A297" s="50">
        <v>296</v>
      </c>
      <c r="B297" s="36">
        <v>11110</v>
      </c>
      <c r="C297" s="46">
        <v>11110</v>
      </c>
      <c r="D297" s="22" t="s">
        <v>205</v>
      </c>
      <c r="E297" s="12" t="s">
        <v>9</v>
      </c>
      <c r="F297" s="39">
        <v>11.9</v>
      </c>
      <c r="G297" s="43">
        <v>11.9</v>
      </c>
      <c r="H297" s="36">
        <v>77.349999999999994</v>
      </c>
      <c r="I297" s="43">
        <v>46.081692913385822</v>
      </c>
      <c r="J297" s="36">
        <v>21.504790026246717</v>
      </c>
      <c r="K297" s="36">
        <v>7</v>
      </c>
      <c r="L297" s="55" t="s">
        <v>359</v>
      </c>
      <c r="M297" s="36" t="s">
        <v>358</v>
      </c>
      <c r="N297" s="55" t="s">
        <v>156</v>
      </c>
      <c r="O297" s="43">
        <v>3.0709677419354837</v>
      </c>
      <c r="P297" s="36">
        <v>31.477419354838709</v>
      </c>
      <c r="Q297" s="43">
        <v>24.576902887139106</v>
      </c>
      <c r="R297" s="43">
        <v>10.240376202974627</v>
      </c>
      <c r="S297" s="43">
        <v>3.8913429571303584</v>
      </c>
      <c r="T297" s="36">
        <v>18033</v>
      </c>
      <c r="U297" s="36" t="s">
        <v>355</v>
      </c>
      <c r="V297" s="36">
        <v>100</v>
      </c>
      <c r="W297" s="36">
        <v>1</v>
      </c>
      <c r="X297" s="102">
        <v>2</v>
      </c>
      <c r="Y297" s="29">
        <v>13</v>
      </c>
      <c r="Z297" s="47">
        <v>11.25</v>
      </c>
      <c r="AA297" s="46">
        <v>90</v>
      </c>
      <c r="AB297" s="50">
        <v>22476</v>
      </c>
      <c r="AC297" s="50" t="s">
        <v>157</v>
      </c>
      <c r="AD297" s="50">
        <v>100</v>
      </c>
      <c r="AE297" s="42">
        <v>58</v>
      </c>
      <c r="AF297" s="43">
        <v>1.25</v>
      </c>
      <c r="AG297" s="36">
        <v>80</v>
      </c>
      <c r="AH297" s="35">
        <v>1.6274594594594596</v>
      </c>
      <c r="AI297" s="50">
        <v>40529</v>
      </c>
      <c r="AJ297" s="50" t="s">
        <v>356</v>
      </c>
      <c r="AK297" s="50">
        <v>100</v>
      </c>
      <c r="AL297" s="34">
        <v>4.8</v>
      </c>
      <c r="AM297" s="43">
        <v>1.0249999999999999</v>
      </c>
      <c r="AN297" s="35">
        <v>0.10748387096774194</v>
      </c>
      <c r="AO297" s="35">
        <v>0.14587096774193548</v>
      </c>
      <c r="AP297" s="35">
        <v>0.28790322580645161</v>
      </c>
      <c r="AQ297" s="83">
        <v>0.99806451612903235</v>
      </c>
      <c r="AR297" s="40" t="s">
        <v>359</v>
      </c>
      <c r="AS297" s="46" t="s">
        <v>358</v>
      </c>
      <c r="AT297" s="40" t="s">
        <v>156</v>
      </c>
      <c r="AU297" s="44">
        <v>4.25</v>
      </c>
      <c r="AV297" s="45">
        <v>2</v>
      </c>
      <c r="AW297" s="45">
        <v>2</v>
      </c>
      <c r="AX297" s="36">
        <v>27.5</v>
      </c>
      <c r="AY297" s="36">
        <v>2</v>
      </c>
      <c r="AZ297" s="45">
        <v>1</v>
      </c>
      <c r="BA297" s="36">
        <v>11.13225806451613</v>
      </c>
      <c r="BB297" s="43">
        <v>1.63</v>
      </c>
      <c r="BC297" s="45">
        <v>-1</v>
      </c>
      <c r="BD297" s="45">
        <v>-1</v>
      </c>
      <c r="BE297" s="45">
        <v>30</v>
      </c>
      <c r="BF297" s="45">
        <v>70</v>
      </c>
      <c r="BG297" s="45">
        <v>-1</v>
      </c>
      <c r="BH297" s="45">
        <v>-1</v>
      </c>
      <c r="BI297" s="45">
        <v>-1</v>
      </c>
      <c r="BJ297" s="28">
        <v>1</v>
      </c>
      <c r="BK297" s="36">
        <v>13.8</v>
      </c>
      <c r="BL297" s="43">
        <v>2</v>
      </c>
      <c r="BM297" s="45">
        <v>3</v>
      </c>
      <c r="BN297" s="36">
        <v>13.8</v>
      </c>
      <c r="BO297" s="43">
        <v>1</v>
      </c>
    </row>
    <row r="298" spans="1:67" s="50" customFormat="1" ht="15" customHeight="1" x14ac:dyDescent="0.25">
      <c r="A298" s="50">
        <v>297</v>
      </c>
      <c r="B298" s="36">
        <v>11112</v>
      </c>
      <c r="C298" s="70">
        <v>11112</v>
      </c>
      <c r="D298" s="22" t="s">
        <v>205</v>
      </c>
      <c r="E298" s="30" t="s">
        <v>407</v>
      </c>
      <c r="F298" s="39">
        <v>6.3</v>
      </c>
      <c r="G298" s="36">
        <v>6.3</v>
      </c>
      <c r="H298" s="36">
        <v>22.049999999999997</v>
      </c>
      <c r="I298" s="43">
        <v>43.8</v>
      </c>
      <c r="J298" s="36">
        <v>15.458823529411765</v>
      </c>
      <c r="K298" s="36">
        <v>6.6988235294117642</v>
      </c>
      <c r="L298" s="36">
        <v>183412</v>
      </c>
      <c r="M298" s="36" t="s">
        <v>398</v>
      </c>
      <c r="N298" s="36">
        <v>100</v>
      </c>
      <c r="O298" s="36">
        <v>-1</v>
      </c>
      <c r="P298" s="36">
        <v>-1</v>
      </c>
      <c r="Q298" s="36">
        <v>-1</v>
      </c>
      <c r="R298" s="36">
        <v>-1</v>
      </c>
      <c r="S298" s="36">
        <v>-1</v>
      </c>
      <c r="T298" s="36">
        <v>-1</v>
      </c>
      <c r="U298" s="36">
        <v>-1</v>
      </c>
      <c r="V298" s="36">
        <v>-1</v>
      </c>
      <c r="W298" s="36">
        <v>1</v>
      </c>
      <c r="X298" s="102">
        <v>2</v>
      </c>
      <c r="Y298" s="29">
        <v>48</v>
      </c>
      <c r="Z298" s="47">
        <v>3</v>
      </c>
      <c r="AA298" s="47">
        <v>90</v>
      </c>
      <c r="AB298" s="50">
        <v>19479</v>
      </c>
      <c r="AC298" s="50" t="s">
        <v>357</v>
      </c>
      <c r="AD298" s="50">
        <v>100</v>
      </c>
      <c r="AE298" s="42">
        <v>30</v>
      </c>
      <c r="AF298" s="43">
        <v>1.3</v>
      </c>
      <c r="AG298" s="45">
        <v>80</v>
      </c>
      <c r="AH298" s="35">
        <v>0.44</v>
      </c>
      <c r="AI298" s="50">
        <v>40529</v>
      </c>
      <c r="AJ298" s="50" t="s">
        <v>356</v>
      </c>
      <c r="AK298" s="50">
        <v>100</v>
      </c>
      <c r="AL298" s="34">
        <v>3.6224999999999996</v>
      </c>
      <c r="AM298" s="43">
        <v>1</v>
      </c>
      <c r="AN298" s="35">
        <v>4.7249999999999993E-2</v>
      </c>
      <c r="AO298" s="35">
        <v>0.12914999999999999</v>
      </c>
      <c r="AP298" s="35">
        <v>0.2646</v>
      </c>
      <c r="AQ298" s="83">
        <v>0.8</v>
      </c>
      <c r="AR298" s="46">
        <v>183412</v>
      </c>
      <c r="AS298" s="50" t="s">
        <v>398</v>
      </c>
      <c r="AT298" s="50">
        <v>100</v>
      </c>
      <c r="AU298" s="44">
        <v>-1</v>
      </c>
      <c r="AV298" s="48">
        <v>-1</v>
      </c>
      <c r="AW298" s="45">
        <v>1</v>
      </c>
      <c r="AX298" s="45">
        <v>63</v>
      </c>
      <c r="AY298" s="45">
        <v>2.2999999999999998</v>
      </c>
      <c r="AZ298" s="45">
        <v>1</v>
      </c>
      <c r="BA298" s="45">
        <v>6.3</v>
      </c>
      <c r="BB298" s="35">
        <v>0.7</v>
      </c>
      <c r="BC298" s="45">
        <v>-1</v>
      </c>
      <c r="BD298" s="45">
        <v>-1</v>
      </c>
      <c r="BE298" s="45">
        <v>100</v>
      </c>
      <c r="BF298" s="45">
        <v>-1</v>
      </c>
      <c r="BG298" s="45">
        <v>-1</v>
      </c>
      <c r="BH298" s="45">
        <v>-1</v>
      </c>
      <c r="BI298" s="45">
        <v>-1</v>
      </c>
      <c r="BJ298" s="28">
        <v>2</v>
      </c>
      <c r="BK298" s="45">
        <v>7.8749999999999991</v>
      </c>
      <c r="BL298" s="43">
        <v>5</v>
      </c>
      <c r="BM298" s="45">
        <v>4</v>
      </c>
      <c r="BN298" s="45">
        <v>7.8749999999999991</v>
      </c>
      <c r="BO298" s="43">
        <v>5</v>
      </c>
    </row>
    <row r="299" spans="1:67" s="50" customFormat="1" ht="15" customHeight="1" x14ac:dyDescent="0.25">
      <c r="A299" s="50">
        <v>298</v>
      </c>
      <c r="B299" s="36">
        <v>11120</v>
      </c>
      <c r="C299" s="46">
        <v>11120</v>
      </c>
      <c r="D299" s="22" t="s">
        <v>205</v>
      </c>
      <c r="E299" s="13" t="s">
        <v>8</v>
      </c>
      <c r="F299" s="39">
        <v>7.9</v>
      </c>
      <c r="G299" s="43">
        <v>7.9</v>
      </c>
      <c r="H299" s="36">
        <v>51.35</v>
      </c>
      <c r="I299" s="43">
        <v>38.77723097112861</v>
      </c>
      <c r="J299" s="36">
        <v>18.096041119860018</v>
      </c>
      <c r="K299" s="36">
        <v>6</v>
      </c>
      <c r="L299" s="55" t="s">
        <v>359</v>
      </c>
      <c r="M299" s="36" t="s">
        <v>358</v>
      </c>
      <c r="N299" s="55" t="s">
        <v>156</v>
      </c>
      <c r="O299" s="43">
        <v>2.0387096774193547</v>
      </c>
      <c r="P299" s="36">
        <v>20.896774193548389</v>
      </c>
      <c r="Q299" s="43">
        <v>20.681189851268591</v>
      </c>
      <c r="R299" s="43">
        <v>8.617162438028581</v>
      </c>
      <c r="S299" s="43">
        <v>3.2745217264508604</v>
      </c>
      <c r="T299" s="36">
        <v>18033</v>
      </c>
      <c r="U299" s="36" t="s">
        <v>355</v>
      </c>
      <c r="V299" s="36">
        <v>100</v>
      </c>
      <c r="W299" s="36">
        <v>1</v>
      </c>
      <c r="X299" s="102">
        <v>2</v>
      </c>
      <c r="Y299" s="29">
        <v>13</v>
      </c>
      <c r="Z299" s="47">
        <v>11.25</v>
      </c>
      <c r="AA299" s="46">
        <v>90</v>
      </c>
      <c r="AB299" s="50">
        <v>22476</v>
      </c>
      <c r="AC299" s="50" t="s">
        <v>157</v>
      </c>
      <c r="AD299" s="50">
        <v>100</v>
      </c>
      <c r="AE299" s="42">
        <v>74</v>
      </c>
      <c r="AF299" s="43">
        <v>1.25</v>
      </c>
      <c r="AG299" s="36">
        <v>80</v>
      </c>
      <c r="AH299" s="35">
        <v>2.0856216216216219</v>
      </c>
      <c r="AI299" s="50">
        <v>40529</v>
      </c>
      <c r="AJ299" s="50" t="s">
        <v>356</v>
      </c>
      <c r="AK299" s="50">
        <v>100</v>
      </c>
      <c r="AL299" s="34">
        <v>3.2</v>
      </c>
      <c r="AM299" s="43">
        <v>1.0249999999999999</v>
      </c>
      <c r="AN299" s="35">
        <v>7.1354838709677418E-2</v>
      </c>
      <c r="AO299" s="35">
        <v>9.6838709677419352E-2</v>
      </c>
      <c r="AP299" s="35">
        <v>0.19112903225806452</v>
      </c>
      <c r="AQ299" s="83">
        <v>0.66258064516129034</v>
      </c>
      <c r="AR299" s="40" t="s">
        <v>359</v>
      </c>
      <c r="AS299" s="46" t="s">
        <v>358</v>
      </c>
      <c r="AT299" s="40" t="s">
        <v>156</v>
      </c>
      <c r="AU299" s="44">
        <v>4.25</v>
      </c>
      <c r="AV299" s="45">
        <v>2</v>
      </c>
      <c r="AW299" s="45">
        <v>2</v>
      </c>
      <c r="AX299" s="36">
        <v>27.5</v>
      </c>
      <c r="AY299" s="36">
        <v>2</v>
      </c>
      <c r="AZ299" s="45">
        <v>1</v>
      </c>
      <c r="BA299" s="36">
        <v>7.3903225806451616</v>
      </c>
      <c r="BB299" s="43">
        <v>1.63</v>
      </c>
      <c r="BC299" s="45">
        <v>-1</v>
      </c>
      <c r="BD299" s="45">
        <v>-1</v>
      </c>
      <c r="BE299" s="45">
        <v>30</v>
      </c>
      <c r="BF299" s="45">
        <v>70</v>
      </c>
      <c r="BG299" s="45">
        <v>-1</v>
      </c>
      <c r="BH299" s="45">
        <v>-1</v>
      </c>
      <c r="BI299" s="45">
        <v>-1</v>
      </c>
      <c r="BJ299" s="28">
        <v>1</v>
      </c>
      <c r="BK299" s="36">
        <v>9.1999999999999993</v>
      </c>
      <c r="BL299" s="43">
        <v>2</v>
      </c>
      <c r="BM299" s="45">
        <v>3</v>
      </c>
      <c r="BN299" s="36">
        <v>9.1999999999999993</v>
      </c>
      <c r="BO299" s="43">
        <v>1</v>
      </c>
    </row>
    <row r="300" spans="1:67" s="50" customFormat="1" ht="15" customHeight="1" x14ac:dyDescent="0.25">
      <c r="A300" s="50">
        <v>299</v>
      </c>
      <c r="B300" s="36">
        <v>11122</v>
      </c>
      <c r="C300" s="70">
        <v>11122</v>
      </c>
      <c r="D300" s="22" t="s">
        <v>205</v>
      </c>
      <c r="E300" s="78" t="s">
        <v>409</v>
      </c>
      <c r="F300" s="39">
        <v>5.4</v>
      </c>
      <c r="G300" s="36">
        <v>5.4</v>
      </c>
      <c r="H300" s="36">
        <v>18.900000000000002</v>
      </c>
      <c r="I300" s="43">
        <v>44.4</v>
      </c>
      <c r="J300" s="36">
        <v>15.670588235294119</v>
      </c>
      <c r="K300" s="36">
        <v>6.7905882352941171</v>
      </c>
      <c r="L300" s="36">
        <v>183412</v>
      </c>
      <c r="M300" s="36" t="s">
        <v>398</v>
      </c>
      <c r="N300" s="36">
        <v>100</v>
      </c>
      <c r="O300" s="36">
        <v>-1</v>
      </c>
      <c r="P300" s="36">
        <v>-1</v>
      </c>
      <c r="Q300" s="36">
        <v>-1</v>
      </c>
      <c r="R300" s="36">
        <v>-1</v>
      </c>
      <c r="S300" s="36">
        <v>-1</v>
      </c>
      <c r="T300" s="36">
        <v>-1</v>
      </c>
      <c r="U300" s="36">
        <v>-1</v>
      </c>
      <c r="V300" s="36">
        <v>-1</v>
      </c>
      <c r="W300" s="36">
        <v>1</v>
      </c>
      <c r="X300" s="102">
        <v>2</v>
      </c>
      <c r="Y300" s="29">
        <v>15</v>
      </c>
      <c r="Z300" s="47">
        <v>3</v>
      </c>
      <c r="AA300" s="47">
        <v>90</v>
      </c>
      <c r="AB300" s="50">
        <v>19479</v>
      </c>
      <c r="AC300" s="50" t="s">
        <v>357</v>
      </c>
      <c r="AD300" s="50">
        <v>100</v>
      </c>
      <c r="AE300" s="42">
        <v>60</v>
      </c>
      <c r="AF300" s="43">
        <v>1.3</v>
      </c>
      <c r="AG300" s="45">
        <v>80</v>
      </c>
      <c r="AH300" s="35">
        <v>0.88</v>
      </c>
      <c r="AI300" s="50">
        <v>40529</v>
      </c>
      <c r="AJ300" s="50" t="s">
        <v>356</v>
      </c>
      <c r="AK300" s="50">
        <v>100</v>
      </c>
      <c r="AL300" s="34">
        <v>3.1050000000000004</v>
      </c>
      <c r="AM300" s="43">
        <v>1</v>
      </c>
      <c r="AN300" s="35">
        <v>4.0500000000000001E-2</v>
      </c>
      <c r="AO300" s="35">
        <v>0.11069999999999998</v>
      </c>
      <c r="AP300" s="35">
        <v>0.22680000000000003</v>
      </c>
      <c r="AQ300" s="83">
        <v>0.7</v>
      </c>
      <c r="AR300" s="46">
        <v>183412</v>
      </c>
      <c r="AS300" s="50" t="s">
        <v>398</v>
      </c>
      <c r="AT300" s="50">
        <v>100</v>
      </c>
      <c r="AU300" s="44">
        <v>-1</v>
      </c>
      <c r="AV300" s="48">
        <v>-1</v>
      </c>
      <c r="AW300" s="45">
        <v>1</v>
      </c>
      <c r="AX300" s="45">
        <v>63</v>
      </c>
      <c r="AY300" s="45">
        <v>2.2999999999999998</v>
      </c>
      <c r="AZ300" s="45">
        <v>1</v>
      </c>
      <c r="BA300" s="45">
        <v>5.4</v>
      </c>
      <c r="BB300" s="35">
        <v>0.7</v>
      </c>
      <c r="BC300" s="45">
        <v>-1</v>
      </c>
      <c r="BD300" s="45">
        <v>-1</v>
      </c>
      <c r="BE300" s="45">
        <v>100</v>
      </c>
      <c r="BF300" s="45">
        <v>-1</v>
      </c>
      <c r="BG300" s="45">
        <v>-1</v>
      </c>
      <c r="BH300" s="45">
        <v>-1</v>
      </c>
      <c r="BI300" s="45">
        <v>-1</v>
      </c>
      <c r="BJ300" s="28">
        <v>2</v>
      </c>
      <c r="BK300" s="45">
        <v>6.7499999999999991</v>
      </c>
      <c r="BL300" s="43">
        <v>5</v>
      </c>
      <c r="BM300" s="45">
        <v>4</v>
      </c>
      <c r="BN300" s="45">
        <v>6.7499999999999991</v>
      </c>
      <c r="BO300" s="43">
        <v>5</v>
      </c>
    </row>
    <row r="301" spans="1:67" s="50" customFormat="1" ht="15" customHeight="1" x14ac:dyDescent="0.25">
      <c r="A301" s="50">
        <v>300</v>
      </c>
      <c r="B301" s="36">
        <v>11130</v>
      </c>
      <c r="C301" s="46">
        <v>11130</v>
      </c>
      <c r="D301" s="22" t="s">
        <v>205</v>
      </c>
      <c r="E301" s="14" t="s">
        <v>10</v>
      </c>
      <c r="F301" s="39">
        <v>-3</v>
      </c>
      <c r="G301" s="36">
        <v>-3</v>
      </c>
      <c r="H301" s="36">
        <v>-3</v>
      </c>
      <c r="I301" s="36">
        <v>-3</v>
      </c>
      <c r="J301" s="36">
        <v>-3</v>
      </c>
      <c r="K301" s="36">
        <v>-3</v>
      </c>
      <c r="L301" s="45">
        <v>-3</v>
      </c>
      <c r="M301" s="45">
        <v>-3</v>
      </c>
      <c r="N301" s="45">
        <v>-3</v>
      </c>
      <c r="O301" s="36">
        <v>-3</v>
      </c>
      <c r="P301" s="36">
        <v>-3</v>
      </c>
      <c r="Q301" s="36">
        <v>-3</v>
      </c>
      <c r="R301" s="36">
        <v>-3</v>
      </c>
      <c r="S301" s="36">
        <v>-3</v>
      </c>
      <c r="T301" s="45">
        <v>-3</v>
      </c>
      <c r="U301" s="45">
        <v>-3</v>
      </c>
      <c r="V301" s="45">
        <v>-3</v>
      </c>
      <c r="W301" s="45">
        <v>-3</v>
      </c>
      <c r="X301" s="103">
        <v>-3</v>
      </c>
      <c r="Y301" s="29">
        <v>78.599999999999994</v>
      </c>
      <c r="Z301" s="47">
        <v>0.5</v>
      </c>
      <c r="AA301" s="46">
        <v>90</v>
      </c>
      <c r="AB301" s="45">
        <v>505637</v>
      </c>
      <c r="AC301" s="50" t="s">
        <v>360</v>
      </c>
      <c r="AD301" s="50">
        <v>100</v>
      </c>
      <c r="AE301" s="42">
        <v>-3</v>
      </c>
      <c r="AF301" s="10">
        <v>-3</v>
      </c>
      <c r="AG301" s="10">
        <v>-3</v>
      </c>
      <c r="AH301" s="10">
        <v>-3</v>
      </c>
      <c r="AI301" s="10">
        <v>-3</v>
      </c>
      <c r="AJ301" s="10">
        <v>-3</v>
      </c>
      <c r="AK301" s="10">
        <v>-3</v>
      </c>
      <c r="AL301" s="34">
        <v>-1</v>
      </c>
      <c r="AM301" s="48">
        <v>-1</v>
      </c>
      <c r="AN301" s="48">
        <v>-1</v>
      </c>
      <c r="AO301" s="48">
        <v>-1</v>
      </c>
      <c r="AP301" s="48">
        <v>-1</v>
      </c>
      <c r="AQ301" s="48">
        <v>-1</v>
      </c>
      <c r="AR301" s="48">
        <v>-1</v>
      </c>
      <c r="AS301" s="48">
        <v>-1</v>
      </c>
      <c r="AT301" s="48">
        <v>-1</v>
      </c>
      <c r="AU301" s="44">
        <v>20</v>
      </c>
      <c r="AV301" s="45">
        <v>2</v>
      </c>
      <c r="AW301" s="45">
        <v>2</v>
      </c>
      <c r="AX301" s="36">
        <v>10</v>
      </c>
      <c r="AY301" s="45">
        <v>2.5</v>
      </c>
      <c r="AZ301" s="45">
        <v>1</v>
      </c>
      <c r="BA301" s="36">
        <v>50</v>
      </c>
      <c r="BB301" s="43">
        <v>1</v>
      </c>
      <c r="BC301" s="45">
        <v>-1</v>
      </c>
      <c r="BD301" s="45">
        <v>-1</v>
      </c>
      <c r="BE301" s="45">
        <v>-1</v>
      </c>
      <c r="BF301" s="45">
        <v>-1</v>
      </c>
      <c r="BG301" s="45">
        <v>100</v>
      </c>
      <c r="BH301" s="45">
        <v>-1</v>
      </c>
      <c r="BI301" s="45">
        <v>-1</v>
      </c>
      <c r="BJ301" s="28">
        <v>1</v>
      </c>
      <c r="BK301" s="36">
        <v>50</v>
      </c>
      <c r="BL301" s="43">
        <v>1</v>
      </c>
      <c r="BM301" s="45">
        <v>3</v>
      </c>
      <c r="BN301" s="36">
        <v>20</v>
      </c>
      <c r="BO301" s="43">
        <v>1</v>
      </c>
    </row>
    <row r="302" spans="1:67" s="50" customFormat="1" ht="15" customHeight="1" x14ac:dyDescent="0.25">
      <c r="A302" s="50">
        <v>301</v>
      </c>
      <c r="B302" s="36">
        <v>11140</v>
      </c>
      <c r="C302" s="46">
        <v>11140</v>
      </c>
      <c r="D302" s="22" t="s">
        <v>205</v>
      </c>
      <c r="E302" s="15" t="s">
        <v>14</v>
      </c>
      <c r="F302" s="39">
        <v>-3</v>
      </c>
      <c r="G302" s="36">
        <v>-3</v>
      </c>
      <c r="H302" s="36">
        <v>-3</v>
      </c>
      <c r="I302" s="36">
        <v>-3</v>
      </c>
      <c r="J302" s="36">
        <v>-3</v>
      </c>
      <c r="K302" s="36">
        <v>-3</v>
      </c>
      <c r="L302" s="45">
        <v>-3</v>
      </c>
      <c r="M302" s="45">
        <v>-3</v>
      </c>
      <c r="N302" s="45">
        <v>-3</v>
      </c>
      <c r="O302" s="36">
        <v>-3</v>
      </c>
      <c r="P302" s="36">
        <v>-3</v>
      </c>
      <c r="Q302" s="36">
        <v>-3</v>
      </c>
      <c r="R302" s="36">
        <v>-3</v>
      </c>
      <c r="S302" s="36">
        <v>-3</v>
      </c>
      <c r="T302" s="45">
        <v>-3</v>
      </c>
      <c r="U302" s="45">
        <v>-3</v>
      </c>
      <c r="V302" s="45">
        <v>-3</v>
      </c>
      <c r="W302" s="45">
        <v>-3</v>
      </c>
      <c r="X302" s="103">
        <v>-3</v>
      </c>
      <c r="Y302" s="81">
        <v>-3</v>
      </c>
      <c r="Z302" s="19">
        <v>-3</v>
      </c>
      <c r="AA302" s="48">
        <v>-3</v>
      </c>
      <c r="AB302" s="10">
        <v>-3</v>
      </c>
      <c r="AC302" s="10">
        <v>-3</v>
      </c>
      <c r="AD302" s="10">
        <v>-3</v>
      </c>
      <c r="AE302" s="42">
        <v>70</v>
      </c>
      <c r="AF302" s="43">
        <v>2</v>
      </c>
      <c r="AG302" s="36">
        <v>85</v>
      </c>
      <c r="AH302" s="35">
        <v>3.3</v>
      </c>
      <c r="AI302" s="50">
        <v>40104</v>
      </c>
      <c r="AJ302" s="50" t="s">
        <v>362</v>
      </c>
      <c r="AK302" s="50">
        <v>100</v>
      </c>
      <c r="AL302" s="34">
        <v>-3</v>
      </c>
      <c r="AM302" s="48">
        <v>-3</v>
      </c>
      <c r="AN302" s="48">
        <v>-3</v>
      </c>
      <c r="AO302" s="48">
        <v>-3</v>
      </c>
      <c r="AP302" s="48">
        <v>-3</v>
      </c>
      <c r="AQ302" s="48">
        <v>-3</v>
      </c>
      <c r="AR302" s="48">
        <v>-3</v>
      </c>
      <c r="AS302" s="10">
        <v>-3</v>
      </c>
      <c r="AT302" s="10">
        <v>-3</v>
      </c>
      <c r="AU302" s="44">
        <v>5</v>
      </c>
      <c r="AV302" s="45">
        <v>2</v>
      </c>
      <c r="AW302" s="45">
        <v>1</v>
      </c>
      <c r="AX302" s="36">
        <v>15</v>
      </c>
      <c r="AY302" s="45">
        <v>20</v>
      </c>
      <c r="AZ302" s="45">
        <v>1</v>
      </c>
      <c r="BA302" s="36">
        <v>100</v>
      </c>
      <c r="BB302" s="43">
        <v>3</v>
      </c>
      <c r="BC302" s="45">
        <v>-1</v>
      </c>
      <c r="BD302" s="45">
        <v>-1</v>
      </c>
      <c r="BE302" s="45">
        <v>-1</v>
      </c>
      <c r="BF302" s="45">
        <v>-1</v>
      </c>
      <c r="BG302" s="45">
        <v>-1</v>
      </c>
      <c r="BH302" s="45">
        <v>-1</v>
      </c>
      <c r="BI302" s="45">
        <v>100</v>
      </c>
      <c r="BJ302" s="28">
        <v>2</v>
      </c>
      <c r="BK302" s="36">
        <v>70</v>
      </c>
      <c r="BL302" s="43">
        <v>3</v>
      </c>
      <c r="BM302" s="45">
        <v>4</v>
      </c>
      <c r="BN302" s="36">
        <v>70</v>
      </c>
      <c r="BO302" s="43">
        <v>3</v>
      </c>
    </row>
    <row r="303" spans="1:67" s="50" customFormat="1" ht="15" customHeight="1" x14ac:dyDescent="0.25">
      <c r="A303" s="50">
        <v>302</v>
      </c>
      <c r="B303" s="36">
        <v>11150</v>
      </c>
      <c r="C303" s="46">
        <v>11150</v>
      </c>
      <c r="D303" s="22" t="s">
        <v>205</v>
      </c>
      <c r="E303" s="18" t="s">
        <v>15</v>
      </c>
      <c r="F303" s="39">
        <v>-3</v>
      </c>
      <c r="G303" s="36">
        <v>-3</v>
      </c>
      <c r="H303" s="36">
        <v>-3</v>
      </c>
      <c r="I303" s="36">
        <v>-3</v>
      </c>
      <c r="J303" s="36">
        <v>-3</v>
      </c>
      <c r="K303" s="36">
        <v>-3</v>
      </c>
      <c r="L303" s="45">
        <v>-3</v>
      </c>
      <c r="M303" s="45">
        <v>-3</v>
      </c>
      <c r="N303" s="45">
        <v>-3</v>
      </c>
      <c r="O303" s="36">
        <v>-3</v>
      </c>
      <c r="P303" s="36">
        <v>-3</v>
      </c>
      <c r="Q303" s="36">
        <v>-3</v>
      </c>
      <c r="R303" s="36">
        <v>-3</v>
      </c>
      <c r="S303" s="36">
        <v>-3</v>
      </c>
      <c r="T303" s="45">
        <v>-3</v>
      </c>
      <c r="U303" s="45">
        <v>-3</v>
      </c>
      <c r="V303" s="45">
        <v>-3</v>
      </c>
      <c r="W303" s="45">
        <v>-3</v>
      </c>
      <c r="X303" s="103">
        <v>-3</v>
      </c>
      <c r="Y303" s="29">
        <v>2</v>
      </c>
      <c r="Z303" s="45">
        <v>0.5</v>
      </c>
      <c r="AA303" s="45">
        <v>90</v>
      </c>
      <c r="AB303" s="50">
        <v>505637</v>
      </c>
      <c r="AC303" s="50" t="s">
        <v>360</v>
      </c>
      <c r="AD303" s="50">
        <v>100</v>
      </c>
      <c r="AE303" s="42">
        <v>13</v>
      </c>
      <c r="AF303" s="43">
        <v>1</v>
      </c>
      <c r="AG303" s="36">
        <v>85</v>
      </c>
      <c r="AH303" s="35">
        <v>0.55466666666666664</v>
      </c>
      <c r="AI303" s="50">
        <v>40104</v>
      </c>
      <c r="AJ303" s="50" t="s">
        <v>362</v>
      </c>
      <c r="AK303" s="50">
        <v>100</v>
      </c>
      <c r="AL303" s="34">
        <v>-1</v>
      </c>
      <c r="AM303" s="48">
        <v>-1</v>
      </c>
      <c r="AN303" s="48">
        <v>-1</v>
      </c>
      <c r="AO303" s="48">
        <v>-1</v>
      </c>
      <c r="AP303" s="48">
        <v>-1</v>
      </c>
      <c r="AQ303" s="48">
        <v>-1</v>
      </c>
      <c r="AR303" s="48">
        <v>-1</v>
      </c>
      <c r="AS303" s="48">
        <v>-1</v>
      </c>
      <c r="AT303" s="48">
        <v>-1</v>
      </c>
      <c r="AU303" s="44">
        <v>5</v>
      </c>
      <c r="AV303" s="45">
        <v>2</v>
      </c>
      <c r="AW303" s="45">
        <v>1</v>
      </c>
      <c r="AX303" s="36">
        <v>15</v>
      </c>
      <c r="AY303" s="45">
        <v>20</v>
      </c>
      <c r="AZ303" s="48">
        <v>-1</v>
      </c>
      <c r="BA303" s="48">
        <v>-1</v>
      </c>
      <c r="BB303" s="48">
        <v>-1</v>
      </c>
      <c r="BC303" s="48">
        <v>-1</v>
      </c>
      <c r="BD303" s="48">
        <v>-1</v>
      </c>
      <c r="BE303" s="48">
        <v>-1</v>
      </c>
      <c r="BF303" s="48">
        <v>-1</v>
      </c>
      <c r="BG303" s="48">
        <v>-1</v>
      </c>
      <c r="BH303" s="48">
        <v>-1</v>
      </c>
      <c r="BI303" s="48">
        <v>-1</v>
      </c>
      <c r="BJ303" s="28">
        <v>2</v>
      </c>
      <c r="BK303" s="36">
        <v>15</v>
      </c>
      <c r="BL303" s="43">
        <v>3</v>
      </c>
      <c r="BM303" s="45">
        <v>4</v>
      </c>
      <c r="BN303" s="36">
        <v>15</v>
      </c>
      <c r="BO303" s="43">
        <v>3</v>
      </c>
    </row>
    <row r="304" spans="1:67" s="50" customFormat="1" ht="15" customHeight="1" x14ac:dyDescent="0.25">
      <c r="A304" s="50">
        <v>303</v>
      </c>
      <c r="B304" s="36">
        <v>11180</v>
      </c>
      <c r="C304" s="46">
        <v>11180</v>
      </c>
      <c r="D304" s="22" t="s">
        <v>205</v>
      </c>
      <c r="E304" s="16" t="s">
        <v>13</v>
      </c>
      <c r="F304" s="39">
        <v>-3</v>
      </c>
      <c r="G304" s="36">
        <v>-3</v>
      </c>
      <c r="H304" s="36">
        <v>-3</v>
      </c>
      <c r="I304" s="36">
        <v>-3</v>
      </c>
      <c r="J304" s="36">
        <v>-3</v>
      </c>
      <c r="K304" s="36">
        <v>-3</v>
      </c>
      <c r="L304" s="45">
        <v>-3</v>
      </c>
      <c r="M304" s="45">
        <v>-3</v>
      </c>
      <c r="N304" s="45">
        <v>-3</v>
      </c>
      <c r="O304" s="36">
        <v>-3</v>
      </c>
      <c r="P304" s="36">
        <v>-3</v>
      </c>
      <c r="Q304" s="36">
        <v>-3</v>
      </c>
      <c r="R304" s="36">
        <v>-3</v>
      </c>
      <c r="S304" s="36">
        <v>-3</v>
      </c>
      <c r="T304" s="45">
        <v>-3</v>
      </c>
      <c r="U304" s="45">
        <v>-3</v>
      </c>
      <c r="V304" s="45">
        <v>-3</v>
      </c>
      <c r="W304" s="45">
        <v>-3</v>
      </c>
      <c r="X304" s="103">
        <v>-3</v>
      </c>
      <c r="Y304" s="81">
        <v>-1</v>
      </c>
      <c r="Z304" s="10">
        <v>-1</v>
      </c>
      <c r="AA304" s="10">
        <v>-1</v>
      </c>
      <c r="AB304" s="10">
        <v>-1</v>
      </c>
      <c r="AC304" s="10">
        <v>-1</v>
      </c>
      <c r="AD304" s="10">
        <v>-1</v>
      </c>
      <c r="AE304" s="42">
        <v>72</v>
      </c>
      <c r="AF304" s="43">
        <v>2.5</v>
      </c>
      <c r="AG304" s="36">
        <v>90</v>
      </c>
      <c r="AH304" s="35">
        <v>2.7</v>
      </c>
      <c r="AI304" s="50">
        <v>40792</v>
      </c>
      <c r="AJ304" s="50" t="s">
        <v>365</v>
      </c>
      <c r="AK304" s="50">
        <v>100</v>
      </c>
      <c r="AL304" s="34">
        <v>-1</v>
      </c>
      <c r="AM304" s="48">
        <v>-1</v>
      </c>
      <c r="AN304" s="48">
        <v>-1</v>
      </c>
      <c r="AO304" s="48">
        <v>-1</v>
      </c>
      <c r="AP304" s="48">
        <v>-1</v>
      </c>
      <c r="AQ304" s="48">
        <v>-1</v>
      </c>
      <c r="AR304" s="48">
        <v>-1</v>
      </c>
      <c r="AS304" s="48">
        <v>-1</v>
      </c>
      <c r="AT304" s="48">
        <v>-1</v>
      </c>
      <c r="AU304" s="44">
        <v>-3</v>
      </c>
      <c r="AV304" s="48">
        <v>-3</v>
      </c>
      <c r="AW304" s="45">
        <v>2</v>
      </c>
      <c r="AX304" s="36">
        <v>10</v>
      </c>
      <c r="AY304" s="45">
        <v>1</v>
      </c>
      <c r="AZ304" s="45">
        <v>2</v>
      </c>
      <c r="BA304" s="36">
        <v>72</v>
      </c>
      <c r="BB304" s="43">
        <v>2</v>
      </c>
      <c r="BC304" s="45">
        <v>-1</v>
      </c>
      <c r="BD304" s="45">
        <v>-1</v>
      </c>
      <c r="BE304" s="45">
        <v>-1</v>
      </c>
      <c r="BF304" s="45">
        <v>-1</v>
      </c>
      <c r="BG304" s="45">
        <v>-1</v>
      </c>
      <c r="BH304" s="45">
        <v>-1</v>
      </c>
      <c r="BI304" s="45">
        <v>100</v>
      </c>
      <c r="BJ304" s="28">
        <v>1</v>
      </c>
      <c r="BK304" s="36">
        <v>50</v>
      </c>
      <c r="BL304" s="43">
        <v>0.5</v>
      </c>
      <c r="BM304" s="45">
        <v>4</v>
      </c>
      <c r="BN304" s="36">
        <v>50</v>
      </c>
      <c r="BO304" s="43">
        <v>0.5</v>
      </c>
    </row>
    <row r="305" spans="1:67" s="50" customFormat="1" ht="15" customHeight="1" x14ac:dyDescent="0.25">
      <c r="A305" s="50">
        <v>304</v>
      </c>
      <c r="B305" s="36">
        <v>12010</v>
      </c>
      <c r="C305" s="46">
        <v>12010</v>
      </c>
      <c r="D305" s="36" t="s">
        <v>351</v>
      </c>
      <c r="E305" s="25" t="s">
        <v>410</v>
      </c>
      <c r="F305" s="39">
        <v>-3</v>
      </c>
      <c r="G305" s="45">
        <v>-3</v>
      </c>
      <c r="H305" s="45">
        <v>-3</v>
      </c>
      <c r="I305" s="36">
        <v>-3</v>
      </c>
      <c r="J305" s="45">
        <v>-3</v>
      </c>
      <c r="K305" s="45">
        <v>-3</v>
      </c>
      <c r="L305" s="45">
        <v>-3</v>
      </c>
      <c r="M305" s="45">
        <v>-3</v>
      </c>
      <c r="N305" s="45">
        <v>-3</v>
      </c>
      <c r="O305" s="45">
        <v>-3</v>
      </c>
      <c r="P305" s="45">
        <v>-3</v>
      </c>
      <c r="Q305" s="45">
        <v>-3</v>
      </c>
      <c r="R305" s="45">
        <v>-3</v>
      </c>
      <c r="S305" s="45">
        <v>-3</v>
      </c>
      <c r="T305" s="45">
        <v>-3</v>
      </c>
      <c r="U305" s="45">
        <v>-3</v>
      </c>
      <c r="V305" s="45">
        <v>-3</v>
      </c>
      <c r="W305" s="45">
        <v>-3</v>
      </c>
      <c r="X305" s="103">
        <v>-3</v>
      </c>
      <c r="Y305" s="81">
        <v>-3</v>
      </c>
      <c r="Z305" s="10">
        <v>-3</v>
      </c>
      <c r="AA305" s="48">
        <v>-3</v>
      </c>
      <c r="AB305" s="10">
        <v>-3</v>
      </c>
      <c r="AC305" s="10">
        <v>-3</v>
      </c>
      <c r="AD305" s="10">
        <v>-3</v>
      </c>
      <c r="AE305" s="42">
        <v>100</v>
      </c>
      <c r="AF305" s="43">
        <v>0.5</v>
      </c>
      <c r="AG305" s="36">
        <v>0</v>
      </c>
      <c r="AH305" s="35">
        <v>0.17</v>
      </c>
      <c r="AI305" s="50">
        <v>42236</v>
      </c>
      <c r="AJ305" s="50" t="s">
        <v>207</v>
      </c>
      <c r="AK305" s="50">
        <v>100</v>
      </c>
      <c r="AL305" s="34">
        <v>-3</v>
      </c>
      <c r="AM305" s="48">
        <v>-3</v>
      </c>
      <c r="AN305" s="48">
        <v>-3</v>
      </c>
      <c r="AO305" s="48">
        <v>-3</v>
      </c>
      <c r="AP305" s="48">
        <v>-3</v>
      </c>
      <c r="AQ305" s="48">
        <v>-3</v>
      </c>
      <c r="AR305" s="48">
        <v>-3</v>
      </c>
      <c r="AS305" s="10">
        <v>-3</v>
      </c>
      <c r="AT305" s="10">
        <v>-3</v>
      </c>
      <c r="AU305" s="44">
        <v>-1</v>
      </c>
      <c r="AV305" s="48">
        <v>-1</v>
      </c>
      <c r="AW305" s="48">
        <v>-1</v>
      </c>
      <c r="AX305" s="48">
        <v>-1</v>
      </c>
      <c r="AY305" s="48">
        <v>-1</v>
      </c>
      <c r="AZ305" s="45">
        <v>2</v>
      </c>
      <c r="BA305" s="45">
        <v>65</v>
      </c>
      <c r="BB305" s="35">
        <v>0.5</v>
      </c>
      <c r="BC305" s="53">
        <v>-1</v>
      </c>
      <c r="BD305" s="53">
        <v>-1</v>
      </c>
      <c r="BE305" s="53">
        <v>-1</v>
      </c>
      <c r="BF305" s="53">
        <v>-1</v>
      </c>
      <c r="BG305" s="53">
        <v>-1</v>
      </c>
      <c r="BH305" s="53">
        <v>-1</v>
      </c>
      <c r="BI305" s="45">
        <v>100</v>
      </c>
      <c r="BJ305" s="28">
        <v>-1</v>
      </c>
      <c r="BK305" s="48">
        <v>-1</v>
      </c>
      <c r="BL305" s="48">
        <v>-1</v>
      </c>
      <c r="BM305" s="48">
        <v>-1</v>
      </c>
      <c r="BN305" s="48">
        <v>-1</v>
      </c>
      <c r="BO305" s="48">
        <v>-1</v>
      </c>
    </row>
    <row r="306" spans="1:67" s="50" customFormat="1" ht="15" customHeight="1" x14ac:dyDescent="0.25">
      <c r="A306" s="50">
        <v>305</v>
      </c>
      <c r="B306" s="36">
        <v>12012</v>
      </c>
      <c r="C306" s="46">
        <v>12012</v>
      </c>
      <c r="D306" s="36" t="s">
        <v>351</v>
      </c>
      <c r="E306" s="25" t="s">
        <v>412</v>
      </c>
      <c r="F306" s="39">
        <v>-3</v>
      </c>
      <c r="G306" s="45">
        <v>-3</v>
      </c>
      <c r="H306" s="45">
        <v>-3</v>
      </c>
      <c r="I306" s="36">
        <v>-3</v>
      </c>
      <c r="J306" s="45">
        <v>-3</v>
      </c>
      <c r="K306" s="45">
        <v>-3</v>
      </c>
      <c r="L306" s="45">
        <v>-3</v>
      </c>
      <c r="M306" s="45">
        <v>-3</v>
      </c>
      <c r="N306" s="45">
        <v>-3</v>
      </c>
      <c r="O306" s="45">
        <v>-3</v>
      </c>
      <c r="P306" s="45">
        <v>-3</v>
      </c>
      <c r="Q306" s="45">
        <v>-3</v>
      </c>
      <c r="R306" s="45">
        <v>-3</v>
      </c>
      <c r="S306" s="45">
        <v>-3</v>
      </c>
      <c r="T306" s="45">
        <v>-3</v>
      </c>
      <c r="U306" s="45">
        <v>-3</v>
      </c>
      <c r="V306" s="45">
        <v>-3</v>
      </c>
      <c r="W306" s="45">
        <v>-3</v>
      </c>
      <c r="X306" s="103">
        <v>-3</v>
      </c>
      <c r="Y306" s="81">
        <v>-3</v>
      </c>
      <c r="Z306" s="10">
        <v>-3</v>
      </c>
      <c r="AA306" s="48">
        <v>-3</v>
      </c>
      <c r="AB306" s="10">
        <v>-3</v>
      </c>
      <c r="AC306" s="10">
        <v>-3</v>
      </c>
      <c r="AD306" s="10">
        <v>-3</v>
      </c>
      <c r="AE306" s="42">
        <v>100</v>
      </c>
      <c r="AF306" s="66">
        <v>0.5</v>
      </c>
      <c r="AG306" s="62">
        <v>0</v>
      </c>
      <c r="AH306" s="63">
        <v>0.48</v>
      </c>
      <c r="AI306" s="50">
        <v>42269</v>
      </c>
      <c r="AJ306" s="50" t="s">
        <v>206</v>
      </c>
      <c r="AK306" s="50">
        <v>100</v>
      </c>
      <c r="AL306" s="34">
        <v>-3</v>
      </c>
      <c r="AM306" s="48">
        <v>-3</v>
      </c>
      <c r="AN306" s="48">
        <v>-3</v>
      </c>
      <c r="AO306" s="48">
        <v>-3</v>
      </c>
      <c r="AP306" s="48">
        <v>-3</v>
      </c>
      <c r="AQ306" s="48">
        <v>-3</v>
      </c>
      <c r="AR306" s="48">
        <v>-3</v>
      </c>
      <c r="AS306" s="10">
        <v>-3</v>
      </c>
      <c r="AT306" s="10">
        <v>-3</v>
      </c>
      <c r="AU306" s="44">
        <v>-1</v>
      </c>
      <c r="AV306" s="48">
        <v>-1</v>
      </c>
      <c r="AW306" s="48">
        <v>-1</v>
      </c>
      <c r="AX306" s="48">
        <v>-1</v>
      </c>
      <c r="AY306" s="48">
        <v>-1</v>
      </c>
      <c r="AZ306" s="45">
        <v>2</v>
      </c>
      <c r="BA306" s="45">
        <v>65</v>
      </c>
      <c r="BB306" s="35">
        <v>0.5</v>
      </c>
      <c r="BC306" s="53">
        <v>-1</v>
      </c>
      <c r="BD306" s="53">
        <v>-1</v>
      </c>
      <c r="BE306" s="53">
        <v>-1</v>
      </c>
      <c r="BF306" s="53">
        <v>-1</v>
      </c>
      <c r="BG306" s="53">
        <v>-1</v>
      </c>
      <c r="BH306" s="53">
        <v>-1</v>
      </c>
      <c r="BI306" s="45">
        <v>100</v>
      </c>
      <c r="BJ306" s="28">
        <v>-1</v>
      </c>
      <c r="BK306" s="48">
        <v>-1</v>
      </c>
      <c r="BL306" s="48">
        <v>-1</v>
      </c>
      <c r="BM306" s="48">
        <v>-1</v>
      </c>
      <c r="BN306" s="48">
        <v>-1</v>
      </c>
      <c r="BO306" s="48">
        <v>-1</v>
      </c>
    </row>
    <row r="307" spans="1:67" s="50" customFormat="1" ht="15" customHeight="1" x14ac:dyDescent="0.25">
      <c r="A307" s="50">
        <v>306</v>
      </c>
      <c r="B307" s="36">
        <v>12018</v>
      </c>
      <c r="C307" s="46">
        <v>12018</v>
      </c>
      <c r="D307" s="36" t="s">
        <v>351</v>
      </c>
      <c r="E307" s="25" t="s">
        <v>418</v>
      </c>
      <c r="F307" s="39">
        <v>-3</v>
      </c>
      <c r="G307" s="45">
        <v>-3</v>
      </c>
      <c r="H307" s="45">
        <v>-3</v>
      </c>
      <c r="I307" s="36">
        <v>-3</v>
      </c>
      <c r="J307" s="45">
        <v>-3</v>
      </c>
      <c r="K307" s="45">
        <v>-3</v>
      </c>
      <c r="L307" s="45">
        <v>-3</v>
      </c>
      <c r="M307" s="45">
        <v>-3</v>
      </c>
      <c r="N307" s="45">
        <v>-3</v>
      </c>
      <c r="O307" s="45">
        <v>-3</v>
      </c>
      <c r="P307" s="45">
        <v>-3</v>
      </c>
      <c r="Q307" s="45">
        <v>-3</v>
      </c>
      <c r="R307" s="45">
        <v>-3</v>
      </c>
      <c r="S307" s="45">
        <v>-3</v>
      </c>
      <c r="T307" s="45">
        <v>-3</v>
      </c>
      <c r="U307" s="45">
        <v>-3</v>
      </c>
      <c r="V307" s="45">
        <v>-3</v>
      </c>
      <c r="W307" s="45">
        <v>-3</v>
      </c>
      <c r="X307" s="103">
        <v>-3</v>
      </c>
      <c r="Y307" s="81">
        <v>-3</v>
      </c>
      <c r="Z307" s="10">
        <v>-3</v>
      </c>
      <c r="AA307" s="48">
        <v>-3</v>
      </c>
      <c r="AB307" s="10">
        <v>-3</v>
      </c>
      <c r="AC307" s="10">
        <v>-3</v>
      </c>
      <c r="AD307" s="10">
        <v>-3</v>
      </c>
      <c r="AE307" s="42">
        <v>100</v>
      </c>
      <c r="AF307" s="43">
        <v>0.5</v>
      </c>
      <c r="AG307" s="45">
        <v>0</v>
      </c>
      <c r="AH307" s="35">
        <v>0.17</v>
      </c>
      <c r="AI307" s="50">
        <v>41088</v>
      </c>
      <c r="AJ307" s="50" t="s">
        <v>420</v>
      </c>
      <c r="AK307" s="50">
        <v>100</v>
      </c>
      <c r="AL307" s="34">
        <v>-3</v>
      </c>
      <c r="AM307" s="48">
        <v>-3</v>
      </c>
      <c r="AN307" s="48">
        <v>-3</v>
      </c>
      <c r="AO307" s="48">
        <v>-3</v>
      </c>
      <c r="AP307" s="48">
        <v>-3</v>
      </c>
      <c r="AQ307" s="48">
        <v>-3</v>
      </c>
      <c r="AR307" s="48">
        <v>-3</v>
      </c>
      <c r="AS307" s="10">
        <v>-3</v>
      </c>
      <c r="AT307" s="10">
        <v>-3</v>
      </c>
      <c r="AU307" s="44">
        <v>-1</v>
      </c>
      <c r="AV307" s="48">
        <v>-1</v>
      </c>
      <c r="AW307" s="48">
        <v>-1</v>
      </c>
      <c r="AX307" s="48">
        <v>-1</v>
      </c>
      <c r="AY307" s="48">
        <v>-1</v>
      </c>
      <c r="AZ307" s="45">
        <v>2</v>
      </c>
      <c r="BA307" s="45">
        <v>65</v>
      </c>
      <c r="BB307" s="35">
        <v>0.5</v>
      </c>
      <c r="BC307" s="53">
        <v>-1</v>
      </c>
      <c r="BD307" s="53">
        <v>-1</v>
      </c>
      <c r="BE307" s="53">
        <v>-1</v>
      </c>
      <c r="BF307" s="53">
        <v>-1</v>
      </c>
      <c r="BG307" s="53">
        <v>-1</v>
      </c>
      <c r="BH307" s="53">
        <v>-1</v>
      </c>
      <c r="BI307" s="45">
        <v>100</v>
      </c>
      <c r="BJ307" s="28">
        <v>-1</v>
      </c>
      <c r="BK307" s="48">
        <v>-1</v>
      </c>
      <c r="BL307" s="48">
        <v>-1</v>
      </c>
      <c r="BM307" s="48">
        <v>-1</v>
      </c>
      <c r="BN307" s="48">
        <v>-1</v>
      </c>
      <c r="BO307" s="48">
        <v>-1</v>
      </c>
    </row>
    <row r="308" spans="1:67" s="50" customFormat="1" ht="15" customHeight="1" x14ac:dyDescent="0.25">
      <c r="A308" s="50">
        <v>307</v>
      </c>
      <c r="B308" s="36">
        <v>12020</v>
      </c>
      <c r="C308" s="46">
        <v>12020</v>
      </c>
      <c r="D308" s="36" t="s">
        <v>351</v>
      </c>
      <c r="E308" s="38" t="s">
        <v>427</v>
      </c>
      <c r="F308" s="39">
        <v>5.4069399999999996</v>
      </c>
      <c r="G308" s="45">
        <v>5</v>
      </c>
      <c r="H308" s="45">
        <v>6</v>
      </c>
      <c r="I308" s="36">
        <v>35.026574803149607</v>
      </c>
      <c r="J308" s="45">
        <v>3</v>
      </c>
      <c r="K308" s="45">
        <v>12</v>
      </c>
      <c r="L308" s="36">
        <v>19276</v>
      </c>
      <c r="M308" s="36" t="s">
        <v>158</v>
      </c>
      <c r="N308" s="36">
        <v>100</v>
      </c>
      <c r="O308" s="36">
        <v>-1</v>
      </c>
      <c r="P308" s="36">
        <v>-1</v>
      </c>
      <c r="Q308" s="36">
        <v>-1</v>
      </c>
      <c r="R308" s="36">
        <v>-1</v>
      </c>
      <c r="S308" s="36">
        <v>-1</v>
      </c>
      <c r="T308" s="36">
        <v>-1</v>
      </c>
      <c r="U308" s="36">
        <v>-1</v>
      </c>
      <c r="V308" s="36">
        <v>-1</v>
      </c>
      <c r="W308" s="36">
        <v>-1</v>
      </c>
      <c r="X308" s="102">
        <v>-1</v>
      </c>
      <c r="Y308" s="29">
        <v>14.593059999999994</v>
      </c>
      <c r="Z308" s="45">
        <v>1</v>
      </c>
      <c r="AA308" s="36">
        <v>75</v>
      </c>
      <c r="AB308" s="50">
        <v>507263</v>
      </c>
      <c r="AC308" s="50" t="s">
        <v>364</v>
      </c>
      <c r="AD308" s="50">
        <v>100</v>
      </c>
      <c r="AE308" s="42">
        <v>60</v>
      </c>
      <c r="AF308" s="43">
        <v>0.5</v>
      </c>
      <c r="AG308" s="45">
        <v>0</v>
      </c>
      <c r="AH308" s="35">
        <v>0.10200000000000001</v>
      </c>
      <c r="AI308" s="50">
        <v>42236</v>
      </c>
      <c r="AJ308" s="50" t="s">
        <v>207</v>
      </c>
      <c r="AK308" s="50">
        <v>100</v>
      </c>
      <c r="AL308" s="34">
        <v>1.6666666666666663</v>
      </c>
      <c r="AM308" s="43">
        <v>1</v>
      </c>
      <c r="AN308" s="35">
        <v>8.3333333333333301E-2</v>
      </c>
      <c r="AO308" s="35">
        <v>0.1666666666666666</v>
      </c>
      <c r="AP308" s="35">
        <v>0.29999999999999988</v>
      </c>
      <c r="AQ308" s="84">
        <v>0.41666666666666657</v>
      </c>
      <c r="AR308" s="46">
        <v>19276</v>
      </c>
      <c r="AS308" s="50" t="s">
        <v>158</v>
      </c>
      <c r="AT308" s="50">
        <v>100</v>
      </c>
      <c r="AU308" s="44">
        <v>-1</v>
      </c>
      <c r="AV308" s="48">
        <v>-1</v>
      </c>
      <c r="AW308" s="48">
        <v>-1</v>
      </c>
      <c r="AX308" s="48">
        <v>-1</v>
      </c>
      <c r="AY308" s="48">
        <v>-1</v>
      </c>
      <c r="AZ308" s="45">
        <v>2</v>
      </c>
      <c r="BA308" s="45">
        <v>44</v>
      </c>
      <c r="BB308" s="35">
        <v>1</v>
      </c>
      <c r="BC308" s="53">
        <v>-1</v>
      </c>
      <c r="BD308" s="53">
        <v>-1</v>
      </c>
      <c r="BE308" s="53">
        <v>-1</v>
      </c>
      <c r="BF308" s="53">
        <v>40</v>
      </c>
      <c r="BG308" s="53">
        <v>-1</v>
      </c>
      <c r="BH308" s="53">
        <v>-1</v>
      </c>
      <c r="BI308" s="45">
        <v>60</v>
      </c>
      <c r="BJ308" s="28">
        <v>1</v>
      </c>
      <c r="BK308" s="53">
        <v>5</v>
      </c>
      <c r="BL308" s="54">
        <v>0.4</v>
      </c>
      <c r="BM308" s="53">
        <v>3</v>
      </c>
      <c r="BN308" s="53">
        <v>4</v>
      </c>
      <c r="BO308" s="54">
        <v>0.1</v>
      </c>
    </row>
    <row r="309" spans="1:67" s="50" customFormat="1" ht="15" customHeight="1" x14ac:dyDescent="0.25">
      <c r="A309" s="50">
        <v>308</v>
      </c>
      <c r="B309" s="36">
        <v>12022</v>
      </c>
      <c r="C309" s="46">
        <v>12022</v>
      </c>
      <c r="D309" s="36" t="s">
        <v>351</v>
      </c>
      <c r="E309" s="38" t="s">
        <v>428</v>
      </c>
      <c r="F309" s="39">
        <v>15.791600000000001</v>
      </c>
      <c r="G309" s="45">
        <v>16</v>
      </c>
      <c r="H309" s="45">
        <v>17</v>
      </c>
      <c r="I309" s="36">
        <v>50.953083989501309</v>
      </c>
      <c r="J309" s="45">
        <v>5</v>
      </c>
      <c r="K309" s="45">
        <v>18</v>
      </c>
      <c r="L309" s="36">
        <v>19276</v>
      </c>
      <c r="M309" s="36" t="s">
        <v>158</v>
      </c>
      <c r="N309" s="36">
        <v>100</v>
      </c>
      <c r="O309" s="36">
        <v>-1</v>
      </c>
      <c r="P309" s="36">
        <v>-1</v>
      </c>
      <c r="Q309" s="36">
        <v>-1</v>
      </c>
      <c r="R309" s="36">
        <v>-1</v>
      </c>
      <c r="S309" s="36">
        <v>-1</v>
      </c>
      <c r="T309" s="36">
        <v>-1</v>
      </c>
      <c r="U309" s="36">
        <v>-1</v>
      </c>
      <c r="V309" s="36">
        <v>-1</v>
      </c>
      <c r="W309" s="36">
        <v>-1</v>
      </c>
      <c r="X309" s="102">
        <v>-1</v>
      </c>
      <c r="Y309" s="29">
        <v>4.2083999999999975</v>
      </c>
      <c r="Z309" s="45">
        <v>1</v>
      </c>
      <c r="AA309" s="36">
        <v>75</v>
      </c>
      <c r="AB309" s="50">
        <v>507263</v>
      </c>
      <c r="AC309" s="50" t="s">
        <v>364</v>
      </c>
      <c r="AD309" s="50">
        <v>100</v>
      </c>
      <c r="AE309" s="42">
        <v>60</v>
      </c>
      <c r="AF309" s="43">
        <v>0.5</v>
      </c>
      <c r="AG309" s="45">
        <v>0</v>
      </c>
      <c r="AH309" s="35">
        <v>0.28799999999999998</v>
      </c>
      <c r="AI309" s="50">
        <v>42269</v>
      </c>
      <c r="AJ309" s="50" t="s">
        <v>206</v>
      </c>
      <c r="AK309" s="50">
        <v>100</v>
      </c>
      <c r="AL309" s="34">
        <v>1.6666666666666667</v>
      </c>
      <c r="AM309" s="43">
        <v>1</v>
      </c>
      <c r="AN309" s="35">
        <v>8.3333333333333329E-2</v>
      </c>
      <c r="AO309" s="35">
        <v>0.16666666666666666</v>
      </c>
      <c r="AP309" s="35">
        <v>0.3</v>
      </c>
      <c r="AQ309" s="84">
        <v>0.41666666666666669</v>
      </c>
      <c r="AR309" s="46">
        <v>19276</v>
      </c>
      <c r="AS309" s="50" t="s">
        <v>158</v>
      </c>
      <c r="AT309" s="50">
        <v>100</v>
      </c>
      <c r="AU309" s="44">
        <v>-1</v>
      </c>
      <c r="AV309" s="48">
        <v>-1</v>
      </c>
      <c r="AW309" s="48">
        <v>-1</v>
      </c>
      <c r="AX309" s="48">
        <v>-1</v>
      </c>
      <c r="AY309" s="48">
        <v>-1</v>
      </c>
      <c r="AZ309" s="45">
        <v>2</v>
      </c>
      <c r="BA309" s="45">
        <v>55</v>
      </c>
      <c r="BB309" s="35">
        <v>1</v>
      </c>
      <c r="BC309" s="53">
        <v>-1</v>
      </c>
      <c r="BD309" s="53">
        <v>-1</v>
      </c>
      <c r="BE309" s="53">
        <v>-1</v>
      </c>
      <c r="BF309" s="53">
        <v>40</v>
      </c>
      <c r="BG309" s="53">
        <v>-1</v>
      </c>
      <c r="BH309" s="53">
        <v>-1</v>
      </c>
      <c r="BI309" s="45">
        <v>60</v>
      </c>
      <c r="BJ309" s="28">
        <v>1</v>
      </c>
      <c r="BK309" s="53">
        <v>16</v>
      </c>
      <c r="BL309" s="54">
        <v>0.4</v>
      </c>
      <c r="BM309" s="53">
        <v>3</v>
      </c>
      <c r="BN309" s="53">
        <v>11</v>
      </c>
      <c r="BO309" s="54">
        <v>0.1</v>
      </c>
    </row>
    <row r="310" spans="1:67" s="50" customFormat="1" ht="15" customHeight="1" x14ac:dyDescent="0.25">
      <c r="A310" s="50">
        <v>309</v>
      </c>
      <c r="B310" s="36">
        <v>12028</v>
      </c>
      <c r="C310" s="36">
        <v>12028</v>
      </c>
      <c r="D310" s="36" t="s">
        <v>351</v>
      </c>
      <c r="E310" s="38" t="s">
        <v>432</v>
      </c>
      <c r="F310" s="39">
        <v>9.4183500000000002</v>
      </c>
      <c r="G310" s="36">
        <v>9.4183500000000002</v>
      </c>
      <c r="H310" s="36">
        <v>10.203212500000001</v>
      </c>
      <c r="I310" s="36">
        <v>37.85826771653543</v>
      </c>
      <c r="J310" s="36">
        <v>3.441660701503221</v>
      </c>
      <c r="K310" s="36">
        <v>13.353643521832495</v>
      </c>
      <c r="L310" s="36">
        <v>19276</v>
      </c>
      <c r="M310" s="36" t="s">
        <v>158</v>
      </c>
      <c r="N310" s="36">
        <v>100</v>
      </c>
      <c r="O310" s="36">
        <v>-1</v>
      </c>
      <c r="P310" s="36">
        <v>-1</v>
      </c>
      <c r="Q310" s="36">
        <v>-1</v>
      </c>
      <c r="R310" s="36">
        <v>-1</v>
      </c>
      <c r="S310" s="36">
        <v>-1</v>
      </c>
      <c r="T310" s="36">
        <v>-1</v>
      </c>
      <c r="U310" s="36">
        <v>-1</v>
      </c>
      <c r="V310" s="36">
        <v>-1</v>
      </c>
      <c r="W310" s="36">
        <v>-1</v>
      </c>
      <c r="X310" s="102">
        <v>-1</v>
      </c>
      <c r="Y310" s="29">
        <v>10.581649999999996</v>
      </c>
      <c r="Z310" s="47">
        <v>1</v>
      </c>
      <c r="AA310" s="46">
        <v>75</v>
      </c>
      <c r="AB310" s="50">
        <v>507263</v>
      </c>
      <c r="AC310" s="50" t="s">
        <v>364</v>
      </c>
      <c r="AD310" s="50">
        <v>100</v>
      </c>
      <c r="AE310" s="42">
        <v>60</v>
      </c>
      <c r="AF310" s="43">
        <v>0.5</v>
      </c>
      <c r="AG310" s="36">
        <v>0</v>
      </c>
      <c r="AH310" s="35">
        <v>0.10200000000000001</v>
      </c>
      <c r="AI310" s="50">
        <v>41088</v>
      </c>
      <c r="AJ310" s="50" t="s">
        <v>420</v>
      </c>
      <c r="AK310" s="50">
        <v>100</v>
      </c>
      <c r="AL310" s="34">
        <v>1.6666666666666665</v>
      </c>
      <c r="AM310" s="43">
        <v>1</v>
      </c>
      <c r="AN310" s="35">
        <v>8.3333333333333315E-2</v>
      </c>
      <c r="AO310" s="35">
        <v>0.16666666666666663</v>
      </c>
      <c r="AP310" s="35">
        <v>0.29999999999999993</v>
      </c>
      <c r="AQ310" s="83">
        <v>0.41666666666666663</v>
      </c>
      <c r="AR310" s="46">
        <v>19276</v>
      </c>
      <c r="AS310" s="50" t="s">
        <v>158</v>
      </c>
      <c r="AT310" s="50">
        <v>100</v>
      </c>
      <c r="AU310" s="44">
        <v>-1</v>
      </c>
      <c r="AV310" s="48">
        <v>-1</v>
      </c>
      <c r="AW310" s="48">
        <v>-1</v>
      </c>
      <c r="AX310" s="48">
        <v>-1</v>
      </c>
      <c r="AY310" s="48">
        <v>-1</v>
      </c>
      <c r="AZ310" s="45">
        <v>2</v>
      </c>
      <c r="BA310" s="36">
        <v>48.418350000000004</v>
      </c>
      <c r="BB310" s="43">
        <v>1</v>
      </c>
      <c r="BC310" s="53">
        <v>-1</v>
      </c>
      <c r="BD310" s="53">
        <v>-1</v>
      </c>
      <c r="BE310" s="53">
        <v>-1</v>
      </c>
      <c r="BF310" s="53">
        <v>40</v>
      </c>
      <c r="BG310" s="53">
        <v>-1</v>
      </c>
      <c r="BH310" s="53">
        <v>-1</v>
      </c>
      <c r="BI310" s="45">
        <v>60</v>
      </c>
      <c r="BJ310" s="28">
        <v>1</v>
      </c>
      <c r="BK310" s="55">
        <v>9.4183500000000002</v>
      </c>
      <c r="BL310" s="54">
        <v>0.4</v>
      </c>
      <c r="BM310" s="45">
        <v>3</v>
      </c>
      <c r="BN310" s="55">
        <v>6.278900000000001</v>
      </c>
      <c r="BO310" s="54">
        <v>0.1</v>
      </c>
    </row>
    <row r="311" spans="1:67" s="50" customFormat="1" ht="15" customHeight="1" x14ac:dyDescent="0.25">
      <c r="A311" s="50">
        <v>310</v>
      </c>
      <c r="B311" s="36">
        <v>12030</v>
      </c>
      <c r="C311" s="36">
        <v>12030</v>
      </c>
      <c r="D311" s="36" t="s">
        <v>351</v>
      </c>
      <c r="E311" s="39" t="s">
        <v>461</v>
      </c>
      <c r="F311" s="39">
        <v>3.9637899999999999</v>
      </c>
      <c r="G311" s="36">
        <v>3.9637899999999999</v>
      </c>
      <c r="H311" s="36">
        <v>4.2941058333333331</v>
      </c>
      <c r="I311" s="36">
        <v>37.707349081364825</v>
      </c>
      <c r="J311" s="36">
        <v>3.4279408255786206</v>
      </c>
      <c r="K311" s="36">
        <v>13.300410403245046</v>
      </c>
      <c r="L311" s="36">
        <v>19276</v>
      </c>
      <c r="M311" s="36" t="s">
        <v>158</v>
      </c>
      <c r="N311" s="36">
        <v>100</v>
      </c>
      <c r="O311" s="36">
        <v>-1</v>
      </c>
      <c r="P311" s="36">
        <v>-1</v>
      </c>
      <c r="Q311" s="36">
        <v>-1</v>
      </c>
      <c r="R311" s="36">
        <v>-1</v>
      </c>
      <c r="S311" s="36">
        <v>-1</v>
      </c>
      <c r="T311" s="36">
        <v>-1</v>
      </c>
      <c r="U311" s="36">
        <v>-1</v>
      </c>
      <c r="V311" s="36">
        <v>-1</v>
      </c>
      <c r="W311" s="36">
        <v>-1</v>
      </c>
      <c r="X311" s="102">
        <v>-1</v>
      </c>
      <c r="Y311" s="29">
        <v>46.036209999999997</v>
      </c>
      <c r="Z311" s="47">
        <v>1</v>
      </c>
      <c r="AA311" s="46">
        <v>75</v>
      </c>
      <c r="AB311" s="50">
        <v>507263</v>
      </c>
      <c r="AC311" s="50" t="s">
        <v>364</v>
      </c>
      <c r="AD311" s="50">
        <v>100</v>
      </c>
      <c r="AE311" s="42">
        <v>30</v>
      </c>
      <c r="AF311" s="43">
        <v>0.5</v>
      </c>
      <c r="AG311" s="36">
        <v>0</v>
      </c>
      <c r="AH311" s="35">
        <v>5.1000000000000004E-2</v>
      </c>
      <c r="AI311" s="50">
        <v>42236</v>
      </c>
      <c r="AJ311" s="50" t="s">
        <v>207</v>
      </c>
      <c r="AK311" s="50">
        <v>100</v>
      </c>
      <c r="AL311" s="34">
        <v>4.166666666666667</v>
      </c>
      <c r="AM311" s="43">
        <v>1</v>
      </c>
      <c r="AN311" s="35">
        <v>0.20833333333333334</v>
      </c>
      <c r="AO311" s="35">
        <v>0.41666666666666669</v>
      </c>
      <c r="AP311" s="35">
        <v>0.75</v>
      </c>
      <c r="AQ311" s="83">
        <v>1.0416666666666667</v>
      </c>
      <c r="AR311" s="46">
        <v>19276</v>
      </c>
      <c r="AS311" s="50" t="s">
        <v>158</v>
      </c>
      <c r="AT311" s="50">
        <v>100</v>
      </c>
      <c r="AU311" s="44">
        <v>-1</v>
      </c>
      <c r="AV311" s="48">
        <v>-1</v>
      </c>
      <c r="AW311" s="48">
        <v>-1</v>
      </c>
      <c r="AX311" s="48">
        <v>-1</v>
      </c>
      <c r="AY311" s="48">
        <v>-1</v>
      </c>
      <c r="AZ311" s="45">
        <v>1</v>
      </c>
      <c r="BA311" s="36">
        <v>22.963789999999999</v>
      </c>
      <c r="BB311" s="43">
        <v>1</v>
      </c>
      <c r="BC311" s="53">
        <v>-1</v>
      </c>
      <c r="BD311" s="53">
        <v>-1</v>
      </c>
      <c r="BE311" s="53">
        <v>-1</v>
      </c>
      <c r="BF311" s="53">
        <v>70</v>
      </c>
      <c r="BG311" s="53">
        <v>-1</v>
      </c>
      <c r="BH311" s="53">
        <v>-1</v>
      </c>
      <c r="BI311" s="45">
        <v>30</v>
      </c>
      <c r="BJ311" s="28">
        <v>1</v>
      </c>
      <c r="BK311" s="55">
        <v>3.9637899999999999</v>
      </c>
      <c r="BL311" s="54">
        <v>0.4</v>
      </c>
      <c r="BM311" s="45">
        <v>3</v>
      </c>
      <c r="BN311" s="55">
        <v>2.6425266666666669</v>
      </c>
      <c r="BO311" s="54">
        <v>0.1</v>
      </c>
    </row>
    <row r="312" spans="1:67" s="50" customFormat="1" ht="15" customHeight="1" x14ac:dyDescent="0.25">
      <c r="A312" s="50">
        <v>311</v>
      </c>
      <c r="B312" s="36">
        <v>12035</v>
      </c>
      <c r="C312" s="46">
        <v>12035</v>
      </c>
      <c r="D312" s="36" t="s">
        <v>351</v>
      </c>
      <c r="E312" s="33" t="s">
        <v>470</v>
      </c>
      <c r="F312" s="39">
        <v>5.7791100000000002</v>
      </c>
      <c r="G312" s="36">
        <v>5.7791100000000002</v>
      </c>
      <c r="H312" s="36">
        <v>6.2607024999999998</v>
      </c>
      <c r="I312" s="36">
        <v>41.499015748031489</v>
      </c>
      <c r="J312" s="36">
        <v>3.7726377952755898</v>
      </c>
      <c r="K312" s="36">
        <v>14.637834645669287</v>
      </c>
      <c r="L312" s="36">
        <v>19276</v>
      </c>
      <c r="M312" s="36" t="s">
        <v>158</v>
      </c>
      <c r="N312" s="36">
        <v>100</v>
      </c>
      <c r="O312" s="36">
        <v>-1</v>
      </c>
      <c r="P312" s="36">
        <v>-1</v>
      </c>
      <c r="Q312" s="36">
        <v>-1</v>
      </c>
      <c r="R312" s="36">
        <v>-1</v>
      </c>
      <c r="S312" s="36">
        <v>-1</v>
      </c>
      <c r="T312" s="36">
        <v>-1</v>
      </c>
      <c r="U312" s="36">
        <v>-1</v>
      </c>
      <c r="V312" s="36">
        <v>-1</v>
      </c>
      <c r="W312" s="36">
        <v>-1</v>
      </c>
      <c r="X312" s="102">
        <v>-1</v>
      </c>
      <c r="Y312" s="29">
        <v>44.220889999999997</v>
      </c>
      <c r="Z312" s="47">
        <v>1</v>
      </c>
      <c r="AA312" s="46">
        <v>75</v>
      </c>
      <c r="AB312" s="50">
        <v>507263</v>
      </c>
      <c r="AC312" s="50" t="s">
        <v>364</v>
      </c>
      <c r="AD312" s="50">
        <v>100</v>
      </c>
      <c r="AE312" s="42">
        <v>30</v>
      </c>
      <c r="AF312" s="43">
        <v>0.5</v>
      </c>
      <c r="AG312" s="36">
        <v>0</v>
      </c>
      <c r="AH312" s="35">
        <v>0.20699999999999999</v>
      </c>
      <c r="AI312" s="50">
        <v>21711</v>
      </c>
      <c r="AJ312" s="50" t="s">
        <v>425</v>
      </c>
      <c r="AK312" s="50">
        <v>100</v>
      </c>
      <c r="AL312" s="34">
        <v>4.166666666666667</v>
      </c>
      <c r="AM312" s="43">
        <v>1</v>
      </c>
      <c r="AN312" s="35">
        <v>0.17142857142857143</v>
      </c>
      <c r="AO312" s="35">
        <v>0.2</v>
      </c>
      <c r="AP312" s="35">
        <v>0.5714285714285714</v>
      </c>
      <c r="AQ312" s="83">
        <v>0.8571428571428571</v>
      </c>
      <c r="AR312" s="46">
        <v>19276</v>
      </c>
      <c r="AS312" s="50" t="s">
        <v>158</v>
      </c>
      <c r="AT312" s="50">
        <v>100</v>
      </c>
      <c r="AU312" s="44">
        <v>-1</v>
      </c>
      <c r="AV312" s="48">
        <v>-1</v>
      </c>
      <c r="AW312" s="48">
        <v>-1</v>
      </c>
      <c r="AX312" s="48">
        <v>-1</v>
      </c>
      <c r="AY312" s="48">
        <v>-1</v>
      </c>
      <c r="AZ312" s="45">
        <v>1</v>
      </c>
      <c r="BA312" s="36">
        <v>24.779109999999999</v>
      </c>
      <c r="BB312" s="43">
        <v>1</v>
      </c>
      <c r="BC312" s="53">
        <v>-1</v>
      </c>
      <c r="BD312" s="53">
        <v>-1</v>
      </c>
      <c r="BE312" s="53">
        <v>-1</v>
      </c>
      <c r="BF312" s="53">
        <v>70</v>
      </c>
      <c r="BG312" s="53">
        <v>-1</v>
      </c>
      <c r="BH312" s="53">
        <v>-1</v>
      </c>
      <c r="BI312" s="45">
        <v>30</v>
      </c>
      <c r="BJ312" s="28">
        <v>1</v>
      </c>
      <c r="BK312" s="55">
        <v>5.7791100000000002</v>
      </c>
      <c r="BL312" s="54">
        <v>0.4</v>
      </c>
      <c r="BM312" s="45">
        <v>3</v>
      </c>
      <c r="BN312" s="55">
        <v>3.8527399999999998</v>
      </c>
      <c r="BO312" s="54">
        <v>0.1</v>
      </c>
    </row>
    <row r="313" spans="1:67" s="50" customFormat="1" ht="15" customHeight="1" x14ac:dyDescent="0.25">
      <c r="A313" s="50">
        <v>312</v>
      </c>
      <c r="B313" s="36">
        <v>12036</v>
      </c>
      <c r="C313" s="71">
        <v>12036</v>
      </c>
      <c r="D313" s="36" t="s">
        <v>351</v>
      </c>
      <c r="E313" s="33" t="s">
        <v>464</v>
      </c>
      <c r="F313" s="39">
        <v>3.39405</v>
      </c>
      <c r="G313" s="36">
        <v>3.39405</v>
      </c>
      <c r="H313" s="36">
        <v>0.60608035714285713</v>
      </c>
      <c r="I313" s="36">
        <v>25.334678477690286</v>
      </c>
      <c r="J313" s="36">
        <v>15.661437604390358</v>
      </c>
      <c r="K313" s="36">
        <v>9.21261035552374</v>
      </c>
      <c r="L313" s="36">
        <v>27189</v>
      </c>
      <c r="M313" s="36" t="s">
        <v>401</v>
      </c>
      <c r="N313" s="36">
        <v>100</v>
      </c>
      <c r="O313" s="36">
        <v>1.6162142857142858</v>
      </c>
      <c r="P313" s="36">
        <v>4.0405357142857152</v>
      </c>
      <c r="Q313" s="36">
        <v>12.437023979957049</v>
      </c>
      <c r="R313" s="36">
        <v>5.7578814722023379</v>
      </c>
      <c r="S313" s="36">
        <v>3.4547288833214029</v>
      </c>
      <c r="T313" s="36">
        <v>27189</v>
      </c>
      <c r="U313" s="36" t="s">
        <v>401</v>
      </c>
      <c r="V313" s="36">
        <v>100</v>
      </c>
      <c r="W313" s="36">
        <v>1</v>
      </c>
      <c r="X313" s="102">
        <v>4</v>
      </c>
      <c r="Y313" s="29">
        <v>47</v>
      </c>
      <c r="Z313" s="47">
        <v>1</v>
      </c>
      <c r="AA313" s="46">
        <v>90</v>
      </c>
      <c r="AB313" s="50">
        <v>28675</v>
      </c>
      <c r="AC313" s="50" t="s">
        <v>375</v>
      </c>
      <c r="AD313" s="50">
        <v>100</v>
      </c>
      <c r="AE313" s="42">
        <v>30</v>
      </c>
      <c r="AF313" s="43">
        <v>0.5</v>
      </c>
      <c r="AG313" s="36">
        <v>0</v>
      </c>
      <c r="AH313" s="35">
        <v>5.1000000000000004E-2</v>
      </c>
      <c r="AI313" s="50">
        <v>42236</v>
      </c>
      <c r="AJ313" s="50" t="s">
        <v>207</v>
      </c>
      <c r="AK313" s="50">
        <v>100</v>
      </c>
      <c r="AL313" s="34">
        <v>3.2324285714285717</v>
      </c>
      <c r="AM313" s="43">
        <v>3</v>
      </c>
      <c r="AN313" s="35">
        <v>3.2324285714285715E-2</v>
      </c>
      <c r="AO313" s="35">
        <v>0.13333767857142856</v>
      </c>
      <c r="AP313" s="35">
        <v>0.16970250000000001</v>
      </c>
      <c r="AQ313" s="83">
        <v>0.16162142857142858</v>
      </c>
      <c r="AR313" s="46">
        <v>27189</v>
      </c>
      <c r="AS313" s="50" t="s">
        <v>401</v>
      </c>
      <c r="AT313" s="50">
        <v>100</v>
      </c>
      <c r="AU313" s="44">
        <v>-1</v>
      </c>
      <c r="AV313" s="48">
        <v>-1</v>
      </c>
      <c r="AW313" s="48">
        <v>-1</v>
      </c>
      <c r="AX313" s="48">
        <v>-1</v>
      </c>
      <c r="AY313" s="48">
        <v>-1</v>
      </c>
      <c r="AZ313" s="45">
        <v>1</v>
      </c>
      <c r="BA313" s="36">
        <v>3.9597249999999997</v>
      </c>
      <c r="BB313" s="43">
        <v>1.8</v>
      </c>
      <c r="BC313" s="53">
        <v>-1</v>
      </c>
      <c r="BD313" s="53">
        <v>-1</v>
      </c>
      <c r="BE313" s="53">
        <v>-1</v>
      </c>
      <c r="BF313" s="53">
        <v>-1</v>
      </c>
      <c r="BG313" s="53">
        <v>100</v>
      </c>
      <c r="BH313" s="53">
        <v>-1</v>
      </c>
      <c r="BI313" s="45">
        <v>-1</v>
      </c>
      <c r="BJ313" s="28">
        <v>1</v>
      </c>
      <c r="BK313" s="55">
        <v>3.9597249999999997</v>
      </c>
      <c r="BL313" s="54">
        <v>2</v>
      </c>
      <c r="BM313" s="45">
        <v>3</v>
      </c>
      <c r="BN313" s="55">
        <v>3.9597249999999997</v>
      </c>
      <c r="BO313" s="54">
        <v>2</v>
      </c>
    </row>
    <row r="314" spans="1:67" s="50" customFormat="1" ht="15" customHeight="1" x14ac:dyDescent="0.25">
      <c r="A314" s="50">
        <v>313</v>
      </c>
      <c r="B314" s="52" t="s">
        <v>320</v>
      </c>
      <c r="C314" s="69">
        <v>9112043</v>
      </c>
      <c r="D314" s="36" t="s">
        <v>351</v>
      </c>
      <c r="E314" s="75" t="s">
        <v>404</v>
      </c>
      <c r="F314" s="39">
        <v>12</v>
      </c>
      <c r="G314" s="36">
        <v>12</v>
      </c>
      <c r="H314" s="36">
        <v>2</v>
      </c>
      <c r="I314" s="43">
        <v>28</v>
      </c>
      <c r="J314" s="36">
        <v>17</v>
      </c>
      <c r="K314" s="36">
        <v>10</v>
      </c>
      <c r="L314" s="36">
        <v>27189</v>
      </c>
      <c r="M314" s="36" t="s">
        <v>401</v>
      </c>
      <c r="N314" s="36">
        <v>100</v>
      </c>
      <c r="O314" s="36">
        <v>5.5238095238095237</v>
      </c>
      <c r="P314" s="36">
        <v>13.80952380952381</v>
      </c>
      <c r="Q314" s="36">
        <v>13.549090909090911</v>
      </c>
      <c r="R314" s="36">
        <v>6.2727272727272725</v>
      </c>
      <c r="S314" s="36">
        <v>3.7636363636363637</v>
      </c>
      <c r="T314" s="36">
        <v>27189</v>
      </c>
      <c r="U314" s="36" t="s">
        <v>401</v>
      </c>
      <c r="V314" s="36">
        <v>100</v>
      </c>
      <c r="W314" s="36">
        <v>1</v>
      </c>
      <c r="X314" s="102">
        <v>4</v>
      </c>
      <c r="Y314" s="81">
        <v>-1</v>
      </c>
      <c r="Z314" s="10">
        <v>-1</v>
      </c>
      <c r="AA314" s="10">
        <v>-1</v>
      </c>
      <c r="AB314" s="10">
        <v>-1</v>
      </c>
      <c r="AC314" s="10">
        <v>-1</v>
      </c>
      <c r="AD314" s="10">
        <v>-1</v>
      </c>
      <c r="AE314" s="42">
        <v>60</v>
      </c>
      <c r="AF314" s="43">
        <v>0.5</v>
      </c>
      <c r="AG314" s="45">
        <v>80</v>
      </c>
      <c r="AH314" s="35">
        <v>0.5</v>
      </c>
      <c r="AI314" s="50">
        <v>39369</v>
      </c>
      <c r="AJ314" s="50" t="s">
        <v>391</v>
      </c>
      <c r="AK314" s="50">
        <v>100</v>
      </c>
      <c r="AL314" s="34">
        <v>11</v>
      </c>
      <c r="AM314" s="43">
        <v>3</v>
      </c>
      <c r="AN314" s="35">
        <v>0.1</v>
      </c>
      <c r="AO314" s="35">
        <v>0.5</v>
      </c>
      <c r="AP314" s="35">
        <v>0.6</v>
      </c>
      <c r="AQ314" s="83">
        <v>0.6</v>
      </c>
      <c r="AR314" s="46">
        <v>27189</v>
      </c>
      <c r="AS314" s="50" t="s">
        <v>401</v>
      </c>
      <c r="AT314" s="50">
        <v>100</v>
      </c>
      <c r="AU314" s="44">
        <v>-1</v>
      </c>
      <c r="AV314" s="48">
        <v>-1</v>
      </c>
      <c r="AW314" s="48">
        <v>-1</v>
      </c>
      <c r="AX314" s="48">
        <v>-1</v>
      </c>
      <c r="AY314" s="48">
        <v>-1</v>
      </c>
      <c r="AZ314" s="45">
        <v>1</v>
      </c>
      <c r="BA314" s="45">
        <v>13</v>
      </c>
      <c r="BB314" s="35">
        <v>1.8</v>
      </c>
      <c r="BC314" s="45">
        <v>-1</v>
      </c>
      <c r="BD314" s="45">
        <v>-1</v>
      </c>
      <c r="BE314" s="45">
        <v>-1</v>
      </c>
      <c r="BF314" s="45">
        <v>-1</v>
      </c>
      <c r="BG314" s="45">
        <v>100</v>
      </c>
      <c r="BH314" s="45">
        <v>-1</v>
      </c>
      <c r="BI314" s="45">
        <v>-1</v>
      </c>
      <c r="BJ314" s="28">
        <v>1</v>
      </c>
      <c r="BK314" s="45">
        <v>13.5</v>
      </c>
      <c r="BL314" s="43">
        <v>2</v>
      </c>
      <c r="BM314" s="45">
        <v>3</v>
      </c>
      <c r="BN314" s="45">
        <v>13.5</v>
      </c>
      <c r="BO314" s="43">
        <v>2</v>
      </c>
    </row>
    <row r="315" spans="1:67" s="50" customFormat="1" ht="15" customHeight="1" x14ac:dyDescent="0.25">
      <c r="A315" s="50">
        <v>314</v>
      </c>
      <c r="B315" s="52" t="s">
        <v>321</v>
      </c>
      <c r="C315" s="69">
        <v>9212043</v>
      </c>
      <c r="D315" s="36" t="s">
        <v>351</v>
      </c>
      <c r="E315" s="75" t="s">
        <v>404</v>
      </c>
      <c r="F315" s="39">
        <v>51</v>
      </c>
      <c r="G315" s="36">
        <v>51</v>
      </c>
      <c r="H315" s="36">
        <v>9</v>
      </c>
      <c r="I315" s="43">
        <v>56</v>
      </c>
      <c r="J315" s="36">
        <v>34</v>
      </c>
      <c r="K315" s="36">
        <v>20</v>
      </c>
      <c r="L315" s="36">
        <v>27189</v>
      </c>
      <c r="M315" s="36" t="s">
        <v>401</v>
      </c>
      <c r="N315" s="36">
        <v>100</v>
      </c>
      <c r="O315" s="36">
        <v>24.047619047619047</v>
      </c>
      <c r="P315" s="36">
        <v>60.119047619047613</v>
      </c>
      <c r="Q315" s="36">
        <v>27.294545454545457</v>
      </c>
      <c r="R315" s="36">
        <v>12.636363636363637</v>
      </c>
      <c r="S315" s="36">
        <v>7.581818181818182</v>
      </c>
      <c r="T315" s="36">
        <v>27189</v>
      </c>
      <c r="U315" s="36" t="s">
        <v>401</v>
      </c>
      <c r="V315" s="36">
        <v>100</v>
      </c>
      <c r="W315" s="36">
        <v>1</v>
      </c>
      <c r="X315" s="102">
        <v>4</v>
      </c>
      <c r="Y315" s="81">
        <v>-1</v>
      </c>
      <c r="Z315" s="10">
        <v>-1</v>
      </c>
      <c r="AA315" s="10">
        <v>-1</v>
      </c>
      <c r="AB315" s="10">
        <v>-1</v>
      </c>
      <c r="AC315" s="10">
        <v>-1</v>
      </c>
      <c r="AD315" s="10">
        <v>-1</v>
      </c>
      <c r="AE315" s="42">
        <v>50</v>
      </c>
      <c r="AF315" s="43">
        <v>0.5</v>
      </c>
      <c r="AG315" s="45">
        <v>80</v>
      </c>
      <c r="AH315" s="35">
        <v>0.41</v>
      </c>
      <c r="AI315" s="50">
        <v>39369</v>
      </c>
      <c r="AJ315" s="50" t="s">
        <v>391</v>
      </c>
      <c r="AK315" s="50">
        <v>100</v>
      </c>
      <c r="AL315" s="34">
        <v>48.1</v>
      </c>
      <c r="AM315" s="43">
        <v>3</v>
      </c>
      <c r="AN315" s="35">
        <v>0.5</v>
      </c>
      <c r="AO315" s="35">
        <v>2</v>
      </c>
      <c r="AP315" s="35">
        <v>2.5</v>
      </c>
      <c r="AQ315" s="83">
        <v>2.4</v>
      </c>
      <c r="AR315" s="46">
        <v>27189</v>
      </c>
      <c r="AS315" s="50" t="s">
        <v>401</v>
      </c>
      <c r="AT315" s="50">
        <v>100</v>
      </c>
      <c r="AU315" s="44">
        <v>-1</v>
      </c>
      <c r="AV315" s="48">
        <v>-1</v>
      </c>
      <c r="AW315" s="48">
        <v>-1</v>
      </c>
      <c r="AX315" s="48">
        <v>-1</v>
      </c>
      <c r="AY315" s="48">
        <v>-1</v>
      </c>
      <c r="AZ315" s="45">
        <v>1</v>
      </c>
      <c r="BA315" s="45">
        <v>59</v>
      </c>
      <c r="BB315" s="35">
        <v>1.8</v>
      </c>
      <c r="BC315" s="45">
        <v>-1</v>
      </c>
      <c r="BD315" s="45">
        <v>-1</v>
      </c>
      <c r="BE315" s="45">
        <v>-1</v>
      </c>
      <c r="BF315" s="45">
        <v>-1</v>
      </c>
      <c r="BG315" s="45">
        <v>100</v>
      </c>
      <c r="BH315" s="45">
        <v>-1</v>
      </c>
      <c r="BI315" s="45">
        <v>-1</v>
      </c>
      <c r="BJ315" s="28">
        <v>1</v>
      </c>
      <c r="BK315" s="45">
        <v>58.9</v>
      </c>
      <c r="BL315" s="43">
        <v>2</v>
      </c>
      <c r="BM315" s="45">
        <v>3</v>
      </c>
      <c r="BN315" s="45">
        <v>58.9</v>
      </c>
      <c r="BO315" s="43">
        <v>2</v>
      </c>
    </row>
    <row r="316" spans="1:67" s="50" customFormat="1" ht="15" customHeight="1" x14ac:dyDescent="0.25">
      <c r="A316" s="50">
        <v>315</v>
      </c>
      <c r="B316" s="52" t="s">
        <v>322</v>
      </c>
      <c r="C316" s="68">
        <v>9112061</v>
      </c>
      <c r="D316" s="36" t="s">
        <v>351</v>
      </c>
      <c r="E316" s="11" t="s">
        <v>16</v>
      </c>
      <c r="F316" s="39">
        <v>20.3</v>
      </c>
      <c r="G316" s="36">
        <v>20.3</v>
      </c>
      <c r="H316" s="36">
        <v>21.991666666666667</v>
      </c>
      <c r="I316" s="36">
        <v>62.636154855643042</v>
      </c>
      <c r="J316" s="36">
        <v>5.6941958959675496</v>
      </c>
      <c r="K316" s="36">
        <v>22.093480076354091</v>
      </c>
      <c r="L316" s="36">
        <v>19276</v>
      </c>
      <c r="M316" s="36" t="s">
        <v>158</v>
      </c>
      <c r="N316" s="36">
        <v>100</v>
      </c>
      <c r="O316" s="36">
        <v>-1</v>
      </c>
      <c r="P316" s="36">
        <v>-1</v>
      </c>
      <c r="Q316" s="36">
        <v>-1</v>
      </c>
      <c r="R316" s="36">
        <v>-1</v>
      </c>
      <c r="S316" s="36">
        <v>-1</v>
      </c>
      <c r="T316" s="36">
        <v>-1</v>
      </c>
      <c r="U316" s="36">
        <v>-1</v>
      </c>
      <c r="V316" s="36">
        <v>-1</v>
      </c>
      <c r="W316" s="36">
        <v>-1</v>
      </c>
      <c r="X316" s="102">
        <v>-1</v>
      </c>
      <c r="Y316" s="29">
        <v>11</v>
      </c>
      <c r="Z316" s="47">
        <v>1</v>
      </c>
      <c r="AA316" s="46">
        <v>75</v>
      </c>
      <c r="AB316" s="50">
        <v>507263</v>
      </c>
      <c r="AC316" s="50" t="s">
        <v>364</v>
      </c>
      <c r="AD316" s="50">
        <v>100</v>
      </c>
      <c r="AE316" s="42">
        <v>55</v>
      </c>
      <c r="AF316" s="43">
        <v>1</v>
      </c>
      <c r="AG316" s="36">
        <v>80</v>
      </c>
      <c r="AH316" s="35">
        <v>0.11</v>
      </c>
      <c r="AI316" s="50">
        <v>40792</v>
      </c>
      <c r="AJ316" s="50" t="s">
        <v>365</v>
      </c>
      <c r="AK316" s="50">
        <v>100</v>
      </c>
      <c r="AL316" s="34">
        <v>1.7</v>
      </c>
      <c r="AM316" s="43">
        <v>1</v>
      </c>
      <c r="AN316" s="35">
        <v>8.458333333333333E-2</v>
      </c>
      <c r="AO316" s="35">
        <v>0.16916666666666666</v>
      </c>
      <c r="AP316" s="35">
        <v>0.30449999999999999</v>
      </c>
      <c r="AQ316" s="83">
        <v>0.42291666666666666</v>
      </c>
      <c r="AR316" s="46">
        <v>19276</v>
      </c>
      <c r="AS316" s="46" t="s">
        <v>158</v>
      </c>
      <c r="AT316" s="46">
        <v>100</v>
      </c>
      <c r="AU316" s="44">
        <v>-1</v>
      </c>
      <c r="AV316" s="48">
        <v>-1</v>
      </c>
      <c r="AW316" s="48">
        <v>-1</v>
      </c>
      <c r="AX316" s="48">
        <v>-1</v>
      </c>
      <c r="AY316" s="48">
        <v>-1</v>
      </c>
      <c r="AZ316" s="45">
        <v>1</v>
      </c>
      <c r="BA316" s="36">
        <v>20.3</v>
      </c>
      <c r="BB316" s="43">
        <v>1.5</v>
      </c>
      <c r="BC316" s="45">
        <v>-1</v>
      </c>
      <c r="BD316" s="45">
        <v>-1</v>
      </c>
      <c r="BE316" s="45">
        <v>-1</v>
      </c>
      <c r="BF316" s="45">
        <v>75</v>
      </c>
      <c r="BG316" s="45">
        <v>-1</v>
      </c>
      <c r="BH316" s="45">
        <v>-1</v>
      </c>
      <c r="BI316" s="45">
        <v>25</v>
      </c>
      <c r="BJ316" s="28">
        <v>1</v>
      </c>
      <c r="BK316" s="36">
        <v>20.3</v>
      </c>
      <c r="BL316" s="43">
        <v>0.4</v>
      </c>
      <c r="BM316" s="45">
        <v>3</v>
      </c>
      <c r="BN316" s="36">
        <v>13.5</v>
      </c>
      <c r="BO316" s="43">
        <v>0.1</v>
      </c>
    </row>
    <row r="317" spans="1:67" s="50" customFormat="1" ht="15" customHeight="1" x14ac:dyDescent="0.25">
      <c r="A317" s="50">
        <v>316</v>
      </c>
      <c r="B317" s="52" t="s">
        <v>323</v>
      </c>
      <c r="C317" s="68">
        <v>9212061</v>
      </c>
      <c r="D317" s="36" t="s">
        <v>351</v>
      </c>
      <c r="E317" s="11" t="s">
        <v>16</v>
      </c>
      <c r="F317" s="39">
        <v>53.7</v>
      </c>
      <c r="G317" s="36">
        <v>53.7</v>
      </c>
      <c r="H317" s="36">
        <v>58.174999999999997</v>
      </c>
      <c r="I317" s="36">
        <v>73.537401574803155</v>
      </c>
      <c r="J317" s="36">
        <v>6.6852183249821051</v>
      </c>
      <c r="K317" s="36">
        <v>25.938647100930567</v>
      </c>
      <c r="L317" s="36">
        <v>19276</v>
      </c>
      <c r="M317" s="36" t="s">
        <v>158</v>
      </c>
      <c r="N317" s="36">
        <v>100</v>
      </c>
      <c r="O317" s="36">
        <v>-1</v>
      </c>
      <c r="P317" s="36">
        <v>-1</v>
      </c>
      <c r="Q317" s="36">
        <v>-1</v>
      </c>
      <c r="R317" s="36">
        <v>-1</v>
      </c>
      <c r="S317" s="36">
        <v>-1</v>
      </c>
      <c r="T317" s="36">
        <v>-1</v>
      </c>
      <c r="U317" s="36">
        <v>-1</v>
      </c>
      <c r="V317" s="36">
        <v>-1</v>
      </c>
      <c r="W317" s="36">
        <v>-1</v>
      </c>
      <c r="X317" s="102">
        <v>-1</v>
      </c>
      <c r="Y317" s="29">
        <v>7.3</v>
      </c>
      <c r="Z317" s="47">
        <v>1</v>
      </c>
      <c r="AA317" s="46">
        <v>75</v>
      </c>
      <c r="AB317" s="50">
        <v>507263</v>
      </c>
      <c r="AC317" s="50" t="s">
        <v>364</v>
      </c>
      <c r="AD317" s="50">
        <v>100</v>
      </c>
      <c r="AE317" s="42">
        <v>37</v>
      </c>
      <c r="AF317" s="43">
        <v>1</v>
      </c>
      <c r="AG317" s="36">
        <v>80</v>
      </c>
      <c r="AH317" s="35">
        <v>7.3400000000000007E-2</v>
      </c>
      <c r="AI317" s="50">
        <v>40792</v>
      </c>
      <c r="AJ317" s="50" t="s">
        <v>365</v>
      </c>
      <c r="AK317" s="50">
        <v>100</v>
      </c>
      <c r="AL317" s="34">
        <v>4.5</v>
      </c>
      <c r="AM317" s="43">
        <v>1</v>
      </c>
      <c r="AN317" s="35">
        <v>0.22375</v>
      </c>
      <c r="AO317" s="35">
        <v>0.44750000000000001</v>
      </c>
      <c r="AP317" s="35">
        <v>0.8055000000000001</v>
      </c>
      <c r="AQ317" s="83">
        <v>1.1187499999999999</v>
      </c>
      <c r="AR317" s="46">
        <v>19276</v>
      </c>
      <c r="AS317" s="46" t="s">
        <v>158</v>
      </c>
      <c r="AT317" s="46">
        <v>100</v>
      </c>
      <c r="AU317" s="44">
        <v>-1</v>
      </c>
      <c r="AV317" s="48">
        <v>-1</v>
      </c>
      <c r="AW317" s="48">
        <v>-1</v>
      </c>
      <c r="AX317" s="48">
        <v>-1</v>
      </c>
      <c r="AY317" s="48">
        <v>-1</v>
      </c>
      <c r="AZ317" s="45">
        <v>1</v>
      </c>
      <c r="BA317" s="36">
        <v>53.7</v>
      </c>
      <c r="BB317" s="43">
        <v>1.5</v>
      </c>
      <c r="BC317" s="45">
        <v>-1</v>
      </c>
      <c r="BD317" s="45">
        <v>-1</v>
      </c>
      <c r="BE317" s="45">
        <v>-1</v>
      </c>
      <c r="BF317" s="45">
        <v>75</v>
      </c>
      <c r="BG317" s="45">
        <v>-1</v>
      </c>
      <c r="BH317" s="45">
        <v>-1</v>
      </c>
      <c r="BI317" s="45">
        <v>25</v>
      </c>
      <c r="BJ317" s="28">
        <v>1</v>
      </c>
      <c r="BK317" s="36">
        <v>53.7</v>
      </c>
      <c r="BL317" s="43">
        <v>0.4</v>
      </c>
      <c r="BM317" s="45">
        <v>3</v>
      </c>
      <c r="BN317" s="36">
        <v>35.799999999999997</v>
      </c>
      <c r="BO317" s="43">
        <v>0.1</v>
      </c>
    </row>
    <row r="318" spans="1:67" s="50" customFormat="1" ht="15" customHeight="1" x14ac:dyDescent="0.25">
      <c r="A318" s="50">
        <v>317</v>
      </c>
      <c r="B318" s="52" t="s">
        <v>324</v>
      </c>
      <c r="C318" s="68">
        <v>9112091</v>
      </c>
      <c r="D318" s="36" t="s">
        <v>351</v>
      </c>
      <c r="E318" s="24" t="s">
        <v>353</v>
      </c>
      <c r="F318" s="39">
        <v>22.4</v>
      </c>
      <c r="G318" s="36">
        <v>22.4</v>
      </c>
      <c r="H318" s="36">
        <v>44.8</v>
      </c>
      <c r="I318" s="36">
        <v>35.834645669291334</v>
      </c>
      <c r="J318" s="36">
        <v>13.12807086614173</v>
      </c>
      <c r="K318" s="36">
        <v>9.8593700787401559</v>
      </c>
      <c r="L318" s="36">
        <v>18035</v>
      </c>
      <c r="M318" s="36" t="s">
        <v>370</v>
      </c>
      <c r="N318" s="36">
        <v>100</v>
      </c>
      <c r="O318" s="36">
        <v>11.419607843137255</v>
      </c>
      <c r="P318" s="36">
        <v>71.592156862745099</v>
      </c>
      <c r="Q318" s="36">
        <v>24.212598425196848</v>
      </c>
      <c r="R318" s="36">
        <v>5.6657480314960624</v>
      </c>
      <c r="S318" s="36">
        <v>6.6342519685039356</v>
      </c>
      <c r="T318" s="36">
        <v>18035</v>
      </c>
      <c r="U318" s="36" t="s">
        <v>370</v>
      </c>
      <c r="V318" s="36">
        <v>100</v>
      </c>
      <c r="W318" s="36">
        <v>1</v>
      </c>
      <c r="X318" s="102">
        <v>4</v>
      </c>
      <c r="Y318" s="29">
        <v>26.76</v>
      </c>
      <c r="Z318" s="47">
        <v>2.4300000000000002</v>
      </c>
      <c r="AA318" s="46">
        <v>88</v>
      </c>
      <c r="AB318" s="50">
        <v>507263</v>
      </c>
      <c r="AC318" s="50" t="s">
        <v>364</v>
      </c>
      <c r="AD318" s="50">
        <v>100</v>
      </c>
      <c r="AE318" s="42">
        <v>42</v>
      </c>
      <c r="AF318" s="43">
        <v>0.72500000000000009</v>
      </c>
      <c r="AG318" s="36">
        <v>67</v>
      </c>
      <c r="AH318" s="35">
        <v>0.27286350388601033</v>
      </c>
      <c r="AI318" s="50">
        <v>39369</v>
      </c>
      <c r="AJ318" s="50" t="s">
        <v>367</v>
      </c>
      <c r="AK318" s="50">
        <v>100</v>
      </c>
      <c r="AL318" s="34">
        <v>14.1</v>
      </c>
      <c r="AM318" s="43">
        <v>1.5</v>
      </c>
      <c r="AN318" s="35">
        <v>7.0274509803921567E-2</v>
      </c>
      <c r="AO318" s="35">
        <v>0.3843137254901961</v>
      </c>
      <c r="AP318" s="35">
        <v>0.61929411764705877</v>
      </c>
      <c r="AQ318" s="83">
        <v>1.7980392156862743</v>
      </c>
      <c r="AR318" s="46">
        <v>18035</v>
      </c>
      <c r="AS318" s="46" t="s">
        <v>366</v>
      </c>
      <c r="AT318" s="46">
        <v>100</v>
      </c>
      <c r="AU318" s="44">
        <v>-1</v>
      </c>
      <c r="AV318" s="48">
        <v>-1</v>
      </c>
      <c r="AW318" s="45">
        <v>2</v>
      </c>
      <c r="AX318" s="36">
        <v>1.63</v>
      </c>
      <c r="AY318" s="43">
        <v>0.33</v>
      </c>
      <c r="AZ318" s="45">
        <v>1</v>
      </c>
      <c r="BA318" s="36">
        <v>28.9</v>
      </c>
      <c r="BB318" s="43">
        <v>0.69</v>
      </c>
      <c r="BC318" s="45">
        <v>45</v>
      </c>
      <c r="BD318" s="45">
        <v>45</v>
      </c>
      <c r="BE318" s="45">
        <v>-1</v>
      </c>
      <c r="BF318" s="45">
        <v>-1</v>
      </c>
      <c r="BG318" s="45">
        <v>-1</v>
      </c>
      <c r="BH318" s="45">
        <v>-1</v>
      </c>
      <c r="BI318" s="45">
        <v>10</v>
      </c>
      <c r="BJ318" s="28">
        <v>1</v>
      </c>
      <c r="BK318" s="36">
        <v>29.3</v>
      </c>
      <c r="BL318" s="43">
        <v>0.66</v>
      </c>
      <c r="BM318" s="45">
        <v>3</v>
      </c>
      <c r="BN318" s="36">
        <v>26.9</v>
      </c>
      <c r="BO318" s="43">
        <v>0.84</v>
      </c>
    </row>
    <row r="319" spans="1:67" s="50" customFormat="1" ht="15" customHeight="1" x14ac:dyDescent="0.25">
      <c r="A319" s="50">
        <v>318</v>
      </c>
      <c r="B319" s="52" t="s">
        <v>325</v>
      </c>
      <c r="C319" s="68">
        <v>9212091</v>
      </c>
      <c r="D319" s="36" t="s">
        <v>351</v>
      </c>
      <c r="E319" s="24" t="s">
        <v>353</v>
      </c>
      <c r="F319" s="39">
        <v>52.6</v>
      </c>
      <c r="G319" s="36">
        <v>52.6</v>
      </c>
      <c r="H319" s="36">
        <v>105.2</v>
      </c>
      <c r="I319" s="36">
        <v>73.12237532808399</v>
      </c>
      <c r="J319" s="36">
        <v>26.788481015464285</v>
      </c>
      <c r="K319" s="36">
        <v>20.118534617294461</v>
      </c>
      <c r="L319" s="36">
        <v>18035</v>
      </c>
      <c r="M319" s="36" t="s">
        <v>370</v>
      </c>
      <c r="N319" s="36">
        <v>100</v>
      </c>
      <c r="O319" s="36">
        <v>26.815686274509808</v>
      </c>
      <c r="P319" s="36">
        <v>168.11372549019612</v>
      </c>
      <c r="Q319" s="36">
        <v>49.407010356813508</v>
      </c>
      <c r="R319" s="36">
        <v>11.561240423494359</v>
      </c>
      <c r="S319" s="36">
        <v>13.5375208377669</v>
      </c>
      <c r="T319" s="36">
        <v>18035</v>
      </c>
      <c r="U319" s="36" t="s">
        <v>370</v>
      </c>
      <c r="V319" s="36">
        <v>100</v>
      </c>
      <c r="W319" s="36">
        <v>1</v>
      </c>
      <c r="X319" s="102">
        <v>4</v>
      </c>
      <c r="Y319" s="29">
        <v>18.55</v>
      </c>
      <c r="Z319" s="47">
        <v>2.4300000000000002</v>
      </c>
      <c r="AA319" s="46">
        <v>88</v>
      </c>
      <c r="AB319" s="50">
        <v>507263</v>
      </c>
      <c r="AC319" s="50" t="s">
        <v>364</v>
      </c>
      <c r="AD319" s="50">
        <v>100</v>
      </c>
      <c r="AE319" s="42">
        <v>29</v>
      </c>
      <c r="AF319" s="43">
        <v>0.72500000000000009</v>
      </c>
      <c r="AG319" s="36">
        <v>67</v>
      </c>
      <c r="AH319" s="35">
        <v>0.18918798575129536</v>
      </c>
      <c r="AI319" s="50">
        <v>39369</v>
      </c>
      <c r="AJ319" s="50" t="s">
        <v>367</v>
      </c>
      <c r="AK319" s="50">
        <v>100</v>
      </c>
      <c r="AL319" s="34">
        <v>33.1</v>
      </c>
      <c r="AM319" s="43">
        <v>1.5</v>
      </c>
      <c r="AN319" s="35">
        <v>0.16501960784313727</v>
      </c>
      <c r="AO319" s="35">
        <v>0.90245098039215699</v>
      </c>
      <c r="AP319" s="35">
        <v>1.4542352941176471</v>
      </c>
      <c r="AQ319" s="83">
        <v>4.22218137254902</v>
      </c>
      <c r="AR319" s="46">
        <v>18035</v>
      </c>
      <c r="AS319" s="46" t="s">
        <v>366</v>
      </c>
      <c r="AT319" s="46">
        <v>100</v>
      </c>
      <c r="AU319" s="44">
        <v>-1</v>
      </c>
      <c r="AV319" s="48">
        <v>-1</v>
      </c>
      <c r="AW319" s="45">
        <v>2</v>
      </c>
      <c r="AX319" s="36">
        <v>1.63</v>
      </c>
      <c r="AY319" s="43">
        <v>0.33</v>
      </c>
      <c r="AZ319" s="45">
        <v>1</v>
      </c>
      <c r="BA319" s="36">
        <v>67.8</v>
      </c>
      <c r="BB319" s="43">
        <v>0.69</v>
      </c>
      <c r="BC319" s="45">
        <v>45</v>
      </c>
      <c r="BD319" s="45">
        <v>45</v>
      </c>
      <c r="BE319" s="45">
        <v>-1</v>
      </c>
      <c r="BF319" s="45">
        <v>-1</v>
      </c>
      <c r="BG319" s="45">
        <v>-1</v>
      </c>
      <c r="BH319" s="45">
        <v>-1</v>
      </c>
      <c r="BI319" s="45">
        <v>10</v>
      </c>
      <c r="BJ319" s="28">
        <v>1</v>
      </c>
      <c r="BK319" s="36">
        <v>68.900000000000006</v>
      </c>
      <c r="BL319" s="43">
        <v>0.66</v>
      </c>
      <c r="BM319" s="45">
        <v>3</v>
      </c>
      <c r="BN319" s="36">
        <v>63.2</v>
      </c>
      <c r="BO319" s="43">
        <v>0.84</v>
      </c>
    </row>
    <row r="320" spans="1:67" s="50" customFormat="1" ht="15" customHeight="1" x14ac:dyDescent="0.25">
      <c r="A320" s="50">
        <v>319</v>
      </c>
      <c r="B320" s="36">
        <v>12100</v>
      </c>
      <c r="C320" s="36">
        <v>12100</v>
      </c>
      <c r="D320" s="36" t="s">
        <v>351</v>
      </c>
      <c r="E320" s="17" t="s">
        <v>134</v>
      </c>
      <c r="F320" s="39">
        <v>40.700000000000003</v>
      </c>
      <c r="G320" s="36">
        <v>40.700000000000003</v>
      </c>
      <c r="H320" s="36">
        <v>14.776169491525424</v>
      </c>
      <c r="I320" s="36">
        <v>71.153215223097106</v>
      </c>
      <c r="J320" s="36">
        <v>30.295704919209314</v>
      </c>
      <c r="K320" s="36">
        <v>31.560342142901078</v>
      </c>
      <c r="L320" s="36">
        <v>18035</v>
      </c>
      <c r="M320" s="36" t="s">
        <v>370</v>
      </c>
      <c r="N320" s="36">
        <v>100</v>
      </c>
      <c r="O320" s="36">
        <v>24.14406779661017</v>
      </c>
      <c r="P320" s="36">
        <v>36.78176271186441</v>
      </c>
      <c r="Q320" s="36">
        <v>40.162654686474731</v>
      </c>
      <c r="R320" s="36">
        <v>14.452996842191601</v>
      </c>
      <c r="S320" s="36">
        <v>11.854236833066762</v>
      </c>
      <c r="T320" s="36">
        <v>19276</v>
      </c>
      <c r="U320" s="36" t="s">
        <v>158</v>
      </c>
      <c r="V320" s="36">
        <v>100</v>
      </c>
      <c r="W320" s="36">
        <v>1</v>
      </c>
      <c r="X320" s="102">
        <v>4</v>
      </c>
      <c r="Y320" s="29">
        <v>28</v>
      </c>
      <c r="Z320" s="47">
        <v>3.54</v>
      </c>
      <c r="AA320" s="46">
        <v>84</v>
      </c>
      <c r="AB320" s="46">
        <v>5</v>
      </c>
      <c r="AC320" s="46" t="s">
        <v>368</v>
      </c>
      <c r="AD320" s="50">
        <v>100</v>
      </c>
      <c r="AE320" s="42">
        <v>25</v>
      </c>
      <c r="AF320" s="43">
        <v>1.3</v>
      </c>
      <c r="AG320" s="36">
        <v>77</v>
      </c>
      <c r="AH320" s="35">
        <v>0.19474860335195526</v>
      </c>
      <c r="AI320" s="50">
        <v>40792</v>
      </c>
      <c r="AJ320" s="50" t="s">
        <v>365</v>
      </c>
      <c r="AK320" s="50">
        <v>100</v>
      </c>
      <c r="AL320" s="34">
        <v>46.356610169491532</v>
      </c>
      <c r="AM320" s="43">
        <v>2.66</v>
      </c>
      <c r="AN320" s="35">
        <v>0.28972881355932206</v>
      </c>
      <c r="AO320" s="35">
        <v>1.0899322033898304</v>
      </c>
      <c r="AP320" s="35">
        <v>0.93816949152542373</v>
      </c>
      <c r="AQ320" s="83">
        <v>1.0485423728813561</v>
      </c>
      <c r="AR320" s="46">
        <v>18035</v>
      </c>
      <c r="AS320" s="50" t="s">
        <v>366</v>
      </c>
      <c r="AT320" s="50">
        <v>100</v>
      </c>
      <c r="AU320" s="44">
        <v>-1</v>
      </c>
      <c r="AV320" s="48">
        <v>-1</v>
      </c>
      <c r="AW320" s="45">
        <v>2</v>
      </c>
      <c r="AX320" s="36">
        <v>2.8</v>
      </c>
      <c r="AY320" s="43">
        <v>0.24</v>
      </c>
      <c r="AZ320" s="45">
        <v>1</v>
      </c>
      <c r="BA320" s="36">
        <v>59</v>
      </c>
      <c r="BB320" s="43">
        <v>0.56000000000000005</v>
      </c>
      <c r="BC320" s="45">
        <v>40</v>
      </c>
      <c r="BD320" s="45">
        <v>40</v>
      </c>
      <c r="BE320" s="45">
        <v>-1</v>
      </c>
      <c r="BF320" s="45">
        <v>20</v>
      </c>
      <c r="BG320" s="45">
        <v>-1</v>
      </c>
      <c r="BH320" s="45">
        <v>-1</v>
      </c>
      <c r="BI320" s="45">
        <v>-1</v>
      </c>
      <c r="BJ320" s="28">
        <v>1</v>
      </c>
      <c r="BK320" s="36">
        <v>60.4</v>
      </c>
      <c r="BL320" s="43">
        <v>0.3</v>
      </c>
      <c r="BM320" s="45">
        <v>3</v>
      </c>
      <c r="BN320" s="36">
        <v>60.4</v>
      </c>
      <c r="BO320" s="43">
        <v>0.45999999999999996</v>
      </c>
    </row>
    <row r="321" spans="1:67" s="50" customFormat="1" ht="15" customHeight="1" x14ac:dyDescent="0.25">
      <c r="A321" s="50">
        <v>320</v>
      </c>
      <c r="B321" s="36">
        <v>12110</v>
      </c>
      <c r="C321" s="36">
        <v>12110</v>
      </c>
      <c r="D321" s="36" t="s">
        <v>351</v>
      </c>
      <c r="E321" s="12" t="s">
        <v>9</v>
      </c>
      <c r="F321" s="39">
        <v>7.1</v>
      </c>
      <c r="G321" s="36">
        <v>7.1</v>
      </c>
      <c r="H321" s="36">
        <v>2.5776610169491518</v>
      </c>
      <c r="I321" s="36">
        <v>41.61450131233596</v>
      </c>
      <c r="J321" s="36">
        <v>17.718674386893046</v>
      </c>
      <c r="K321" s="36">
        <v>18.458307125061516</v>
      </c>
      <c r="L321" s="36">
        <v>18035</v>
      </c>
      <c r="M321" s="36" t="s">
        <v>370</v>
      </c>
      <c r="N321" s="36">
        <v>100</v>
      </c>
      <c r="O321" s="36">
        <v>4.2118644067796609</v>
      </c>
      <c r="P321" s="36">
        <v>6.4164745762711863</v>
      </c>
      <c r="Q321" s="36">
        <v>23.489435311064632</v>
      </c>
      <c r="R321" s="36">
        <v>8.452945579068242</v>
      </c>
      <c r="S321" s="36">
        <v>6.9330409412934708</v>
      </c>
      <c r="T321" s="36">
        <v>19276</v>
      </c>
      <c r="U321" s="36" t="s">
        <v>158</v>
      </c>
      <c r="V321" s="36">
        <v>100</v>
      </c>
      <c r="W321" s="36">
        <v>1</v>
      </c>
      <c r="X321" s="102">
        <v>4</v>
      </c>
      <c r="Y321" s="29">
        <v>32</v>
      </c>
      <c r="Z321" s="47">
        <v>3.54</v>
      </c>
      <c r="AA321" s="46">
        <v>84</v>
      </c>
      <c r="AB321" s="46">
        <v>5</v>
      </c>
      <c r="AC321" s="46" t="s">
        <v>368</v>
      </c>
      <c r="AD321" s="50">
        <v>100</v>
      </c>
      <c r="AE321" s="42">
        <v>28</v>
      </c>
      <c r="AF321" s="43">
        <v>1.3</v>
      </c>
      <c r="AG321" s="36">
        <v>77</v>
      </c>
      <c r="AH321" s="35">
        <v>0.22212290502793294</v>
      </c>
      <c r="AI321" s="50">
        <v>40792</v>
      </c>
      <c r="AJ321" s="50" t="s">
        <v>365</v>
      </c>
      <c r="AK321" s="50">
        <v>100</v>
      </c>
      <c r="AL321" s="34">
        <v>8.0867796610169496</v>
      </c>
      <c r="AM321" s="43">
        <v>2.66</v>
      </c>
      <c r="AN321" s="35">
        <v>5.0542372881355935E-2</v>
      </c>
      <c r="AO321" s="35">
        <v>0.19013559322033896</v>
      </c>
      <c r="AP321" s="35">
        <v>0.16366101694915253</v>
      </c>
      <c r="AQ321" s="83">
        <v>0.18291525423728813</v>
      </c>
      <c r="AR321" s="46">
        <v>18035</v>
      </c>
      <c r="AS321" s="50" t="s">
        <v>366</v>
      </c>
      <c r="AT321" s="50">
        <v>100</v>
      </c>
      <c r="AU321" s="44">
        <v>-1</v>
      </c>
      <c r="AV321" s="48">
        <v>-1</v>
      </c>
      <c r="AW321" s="45">
        <v>2</v>
      </c>
      <c r="AX321" s="36">
        <v>2.8</v>
      </c>
      <c r="AY321" s="43">
        <v>0.24</v>
      </c>
      <c r="AZ321" s="45">
        <v>1</v>
      </c>
      <c r="BA321" s="36">
        <v>10.3</v>
      </c>
      <c r="BB321" s="43">
        <v>0.56000000000000005</v>
      </c>
      <c r="BC321" s="45">
        <v>40</v>
      </c>
      <c r="BD321" s="45">
        <v>40</v>
      </c>
      <c r="BE321" s="45">
        <v>-1</v>
      </c>
      <c r="BF321" s="45">
        <v>20</v>
      </c>
      <c r="BG321" s="45">
        <v>-1</v>
      </c>
      <c r="BH321" s="45">
        <v>-1</v>
      </c>
      <c r="BI321" s="45">
        <v>-1</v>
      </c>
      <c r="BJ321" s="28">
        <v>1</v>
      </c>
      <c r="BK321" s="36">
        <v>10.5</v>
      </c>
      <c r="BL321" s="43">
        <v>0.3</v>
      </c>
      <c r="BM321" s="45">
        <v>3</v>
      </c>
      <c r="BN321" s="36">
        <v>10.5</v>
      </c>
      <c r="BO321" s="43">
        <v>0.45999999999999996</v>
      </c>
    </row>
    <row r="322" spans="1:67" s="50" customFormat="1" ht="15" customHeight="1" x14ac:dyDescent="0.25">
      <c r="A322" s="50">
        <v>321</v>
      </c>
      <c r="B322" s="36">
        <v>12113</v>
      </c>
      <c r="C322" s="71">
        <v>12113</v>
      </c>
      <c r="D322" s="36" t="s">
        <v>351</v>
      </c>
      <c r="E322" s="34" t="s">
        <v>408</v>
      </c>
      <c r="F322" s="39">
        <v>5</v>
      </c>
      <c r="G322" s="36">
        <v>5</v>
      </c>
      <c r="H322" s="36">
        <v>1</v>
      </c>
      <c r="I322" s="43">
        <v>22</v>
      </c>
      <c r="J322" s="36">
        <v>14</v>
      </c>
      <c r="K322" s="36">
        <v>8</v>
      </c>
      <c r="L322" s="36">
        <v>27189</v>
      </c>
      <c r="M322" s="36" t="s">
        <v>401</v>
      </c>
      <c r="N322" s="36">
        <v>100</v>
      </c>
      <c r="O322" s="36">
        <v>2.4285714285714284</v>
      </c>
      <c r="P322" s="36">
        <v>6.0714285714285712</v>
      </c>
      <c r="Q322" s="36">
        <v>10.996363636363636</v>
      </c>
      <c r="R322" s="36">
        <v>5.0909090909090908</v>
      </c>
      <c r="S322" s="36">
        <v>3.0545454545454547</v>
      </c>
      <c r="T322" s="36">
        <v>27189</v>
      </c>
      <c r="U322" s="36" t="s">
        <v>401</v>
      </c>
      <c r="V322" s="36">
        <v>100</v>
      </c>
      <c r="W322" s="36">
        <v>1</v>
      </c>
      <c r="X322" s="102">
        <v>4</v>
      </c>
      <c r="Y322" s="81">
        <v>-1</v>
      </c>
      <c r="Z322" s="10">
        <v>-1</v>
      </c>
      <c r="AA322" s="10">
        <v>-1</v>
      </c>
      <c r="AB322" s="10">
        <v>-1</v>
      </c>
      <c r="AC322" s="10">
        <v>-1</v>
      </c>
      <c r="AD322" s="10">
        <v>-1</v>
      </c>
      <c r="AE322" s="42">
        <v>67</v>
      </c>
      <c r="AF322" s="43">
        <v>0.5</v>
      </c>
      <c r="AG322" s="45">
        <v>80</v>
      </c>
      <c r="AH322" s="35">
        <v>0.56000000000000005</v>
      </c>
      <c r="AI322" s="50">
        <v>39369</v>
      </c>
      <c r="AJ322" s="50" t="s">
        <v>391</v>
      </c>
      <c r="AK322" s="50">
        <v>100</v>
      </c>
      <c r="AL322" s="34">
        <v>4.9000000000000004</v>
      </c>
      <c r="AM322" s="43">
        <v>3</v>
      </c>
      <c r="AN322" s="35">
        <v>0</v>
      </c>
      <c r="AO322" s="35">
        <v>0.2</v>
      </c>
      <c r="AP322" s="35">
        <v>0.3</v>
      </c>
      <c r="AQ322" s="83">
        <v>0.2</v>
      </c>
      <c r="AR322" s="46">
        <v>27189</v>
      </c>
      <c r="AS322" s="50" t="s">
        <v>401</v>
      </c>
      <c r="AT322" s="50">
        <v>100</v>
      </c>
      <c r="AU322" s="44">
        <v>-1</v>
      </c>
      <c r="AV322" s="48">
        <v>-1</v>
      </c>
      <c r="AW322" s="48">
        <v>-1</v>
      </c>
      <c r="AX322" s="48">
        <v>-1</v>
      </c>
      <c r="AY322" s="48">
        <v>-1</v>
      </c>
      <c r="AZ322" s="45">
        <v>1</v>
      </c>
      <c r="BA322" s="45">
        <v>6</v>
      </c>
      <c r="BB322" s="35">
        <v>1.8</v>
      </c>
      <c r="BC322" s="45">
        <v>-1</v>
      </c>
      <c r="BD322" s="45">
        <v>-1</v>
      </c>
      <c r="BE322" s="45">
        <v>-1</v>
      </c>
      <c r="BF322" s="45">
        <v>-1</v>
      </c>
      <c r="BG322" s="45">
        <v>100</v>
      </c>
      <c r="BH322" s="45">
        <v>-1</v>
      </c>
      <c r="BI322" s="45">
        <v>-1</v>
      </c>
      <c r="BJ322" s="28">
        <v>1</v>
      </c>
      <c r="BK322" s="45">
        <v>6</v>
      </c>
      <c r="BL322" s="43">
        <v>2</v>
      </c>
      <c r="BM322" s="45">
        <v>3</v>
      </c>
      <c r="BN322" s="45">
        <v>6</v>
      </c>
      <c r="BO322" s="43">
        <v>2</v>
      </c>
    </row>
    <row r="323" spans="1:67" s="50" customFormat="1" ht="15" customHeight="1" x14ac:dyDescent="0.25">
      <c r="A323" s="50">
        <v>322</v>
      </c>
      <c r="B323" s="36">
        <v>12123</v>
      </c>
      <c r="C323" s="71">
        <v>12123</v>
      </c>
      <c r="D323" s="36" t="s">
        <v>351</v>
      </c>
      <c r="E323" s="32" t="s">
        <v>403</v>
      </c>
      <c r="F323" s="39">
        <v>8</v>
      </c>
      <c r="G323" s="36">
        <v>8</v>
      </c>
      <c r="H323" s="36">
        <v>1</v>
      </c>
      <c r="I323" s="43">
        <v>22</v>
      </c>
      <c r="J323" s="36">
        <v>13</v>
      </c>
      <c r="K323" s="36">
        <v>8</v>
      </c>
      <c r="L323" s="36">
        <v>27189</v>
      </c>
      <c r="M323" s="36" t="s">
        <v>401</v>
      </c>
      <c r="N323" s="36">
        <v>100</v>
      </c>
      <c r="O323" s="36">
        <v>3.6666666666666665</v>
      </c>
      <c r="P323" s="36">
        <v>9.1666666666666661</v>
      </c>
      <c r="Q323" s="36">
        <v>10.554545454545455</v>
      </c>
      <c r="R323" s="36">
        <v>4.8863636363636367</v>
      </c>
      <c r="S323" s="36">
        <v>2.9318181818181817</v>
      </c>
      <c r="T323" s="36">
        <v>27189</v>
      </c>
      <c r="U323" s="36" t="s">
        <v>401</v>
      </c>
      <c r="V323" s="36">
        <v>100</v>
      </c>
      <c r="W323" s="36">
        <v>1</v>
      </c>
      <c r="X323" s="102">
        <v>4</v>
      </c>
      <c r="Y323" s="81">
        <v>-1</v>
      </c>
      <c r="Z323" s="10">
        <v>-1</v>
      </c>
      <c r="AA323" s="10">
        <v>-1</v>
      </c>
      <c r="AB323" s="10">
        <v>-1</v>
      </c>
      <c r="AC323" s="10">
        <v>-1</v>
      </c>
      <c r="AD323" s="10">
        <v>-1</v>
      </c>
      <c r="AE323" s="42">
        <v>64</v>
      </c>
      <c r="AF323" s="43">
        <v>0.5</v>
      </c>
      <c r="AG323" s="45">
        <v>80</v>
      </c>
      <c r="AH323" s="35">
        <v>0.53</v>
      </c>
      <c r="AI323" s="50">
        <v>39369</v>
      </c>
      <c r="AJ323" s="50" t="s">
        <v>391</v>
      </c>
      <c r="AK323" s="50">
        <v>100</v>
      </c>
      <c r="AL323" s="34">
        <v>7.3</v>
      </c>
      <c r="AM323" s="43">
        <v>3</v>
      </c>
      <c r="AN323" s="35">
        <v>0.1</v>
      </c>
      <c r="AO323" s="35">
        <v>0.3</v>
      </c>
      <c r="AP323" s="35">
        <v>0.4</v>
      </c>
      <c r="AQ323" s="83">
        <v>0.4</v>
      </c>
      <c r="AR323" s="46">
        <v>27189</v>
      </c>
      <c r="AS323" s="50" t="s">
        <v>401</v>
      </c>
      <c r="AT323" s="50">
        <v>100</v>
      </c>
      <c r="AU323" s="44">
        <v>-1</v>
      </c>
      <c r="AV323" s="48">
        <v>-1</v>
      </c>
      <c r="AW323" s="48">
        <v>-1</v>
      </c>
      <c r="AX323" s="48">
        <v>-1</v>
      </c>
      <c r="AY323" s="48">
        <v>-1</v>
      </c>
      <c r="AZ323" s="45">
        <v>1</v>
      </c>
      <c r="BA323" s="45">
        <v>9</v>
      </c>
      <c r="BB323" s="35">
        <v>1.8</v>
      </c>
      <c r="BC323" s="45">
        <v>-1</v>
      </c>
      <c r="BD323" s="45">
        <v>-1</v>
      </c>
      <c r="BE323" s="45">
        <v>-1</v>
      </c>
      <c r="BF323" s="45">
        <v>-1</v>
      </c>
      <c r="BG323" s="45">
        <v>100</v>
      </c>
      <c r="BH323" s="45">
        <v>-1</v>
      </c>
      <c r="BI323" s="45">
        <v>-1</v>
      </c>
      <c r="BJ323" s="28">
        <v>1</v>
      </c>
      <c r="BK323" s="45">
        <v>9</v>
      </c>
      <c r="BL323" s="43">
        <v>2</v>
      </c>
      <c r="BM323" s="45">
        <v>3</v>
      </c>
      <c r="BN323" s="45">
        <v>9</v>
      </c>
      <c r="BO323" s="43">
        <v>2</v>
      </c>
    </row>
    <row r="324" spans="1:67" s="50" customFormat="1" ht="15" customHeight="1" x14ac:dyDescent="0.25">
      <c r="A324" s="50">
        <v>323</v>
      </c>
      <c r="B324" s="36">
        <v>12130</v>
      </c>
      <c r="C324" s="46">
        <v>12130</v>
      </c>
      <c r="D324" s="36" t="s">
        <v>351</v>
      </c>
      <c r="E324" s="14" t="s">
        <v>10</v>
      </c>
      <c r="F324" s="39">
        <v>-3</v>
      </c>
      <c r="G324" s="36">
        <v>-3</v>
      </c>
      <c r="H324" s="36">
        <v>-3</v>
      </c>
      <c r="I324" s="36">
        <v>-3</v>
      </c>
      <c r="J324" s="36">
        <v>-3</v>
      </c>
      <c r="K324" s="36">
        <v>-3</v>
      </c>
      <c r="L324" s="45">
        <v>-3</v>
      </c>
      <c r="M324" s="45">
        <v>-3</v>
      </c>
      <c r="N324" s="45">
        <v>-3</v>
      </c>
      <c r="O324" s="36">
        <v>-3</v>
      </c>
      <c r="P324" s="36">
        <v>-3</v>
      </c>
      <c r="Q324" s="36">
        <v>-3</v>
      </c>
      <c r="R324" s="36">
        <v>-3</v>
      </c>
      <c r="S324" s="36">
        <v>-3</v>
      </c>
      <c r="T324" s="45">
        <v>-3</v>
      </c>
      <c r="U324" s="45">
        <v>-3</v>
      </c>
      <c r="V324" s="45">
        <v>-3</v>
      </c>
      <c r="W324" s="45">
        <v>-3</v>
      </c>
      <c r="X324" s="103">
        <v>-3</v>
      </c>
      <c r="Y324" s="29">
        <v>70</v>
      </c>
      <c r="Z324" s="47">
        <v>7.4</v>
      </c>
      <c r="AA324" s="46">
        <v>75</v>
      </c>
      <c r="AB324" s="46">
        <v>5</v>
      </c>
      <c r="AC324" s="46" t="s">
        <v>368</v>
      </c>
      <c r="AD324" s="50">
        <v>100</v>
      </c>
      <c r="AE324" s="42">
        <v>-3</v>
      </c>
      <c r="AF324" s="10">
        <v>-3</v>
      </c>
      <c r="AG324" s="10">
        <v>-3</v>
      </c>
      <c r="AH324" s="10">
        <v>-3</v>
      </c>
      <c r="AI324" s="10">
        <v>-3</v>
      </c>
      <c r="AJ324" s="10">
        <v>-3</v>
      </c>
      <c r="AK324" s="10">
        <v>-3</v>
      </c>
      <c r="AL324" s="34">
        <v>25.714285714285715</v>
      </c>
      <c r="AM324" s="43">
        <v>0.45</v>
      </c>
      <c r="AN324" s="35">
        <v>0.34285714285714292</v>
      </c>
      <c r="AO324" s="35">
        <v>0.41428571428571437</v>
      </c>
      <c r="AP324" s="35">
        <v>0.35714285714285715</v>
      </c>
      <c r="AQ324" s="83">
        <v>0</v>
      </c>
      <c r="AR324" s="46">
        <v>5</v>
      </c>
      <c r="AS324" s="46" t="s">
        <v>368</v>
      </c>
      <c r="AT324" s="50">
        <v>100</v>
      </c>
      <c r="AU324" s="44">
        <v>-1</v>
      </c>
      <c r="AV324" s="48">
        <v>-1</v>
      </c>
      <c r="AW324" s="48">
        <v>-1</v>
      </c>
      <c r="AX324" s="48">
        <v>-1</v>
      </c>
      <c r="AY324" s="48">
        <v>-1</v>
      </c>
      <c r="AZ324" s="45">
        <v>1</v>
      </c>
      <c r="BA324" s="36">
        <v>90</v>
      </c>
      <c r="BB324" s="43">
        <v>2.25</v>
      </c>
      <c r="BC324" s="45">
        <v>-1</v>
      </c>
      <c r="BD324" s="45">
        <v>-1</v>
      </c>
      <c r="BE324" s="45">
        <v>-1</v>
      </c>
      <c r="BF324" s="45">
        <v>-1</v>
      </c>
      <c r="BG324" s="45">
        <v>100</v>
      </c>
      <c r="BH324" s="45">
        <v>-1</v>
      </c>
      <c r="BI324" s="45">
        <v>-1</v>
      </c>
      <c r="BJ324" s="28">
        <v>1</v>
      </c>
      <c r="BK324" s="36">
        <v>48</v>
      </c>
      <c r="BL324" s="43">
        <v>7.5000000000000011E-2</v>
      </c>
      <c r="BM324" s="45">
        <v>3</v>
      </c>
      <c r="BN324" s="36">
        <v>48</v>
      </c>
      <c r="BO324" s="43">
        <v>0.05</v>
      </c>
    </row>
    <row r="325" spans="1:67" s="50" customFormat="1" ht="15" customHeight="1" x14ac:dyDescent="0.25">
      <c r="A325" s="50">
        <v>324</v>
      </c>
      <c r="B325" s="36">
        <v>12133</v>
      </c>
      <c r="C325" s="71">
        <v>12133</v>
      </c>
      <c r="D325" s="36" t="s">
        <v>351</v>
      </c>
      <c r="E325" s="31" t="s">
        <v>405</v>
      </c>
      <c r="F325" s="39">
        <v>-3</v>
      </c>
      <c r="G325" s="45">
        <v>-3</v>
      </c>
      <c r="H325" s="45">
        <v>-3</v>
      </c>
      <c r="I325" s="36">
        <v>-3</v>
      </c>
      <c r="J325" s="45">
        <v>-3</v>
      </c>
      <c r="K325" s="45">
        <v>-3</v>
      </c>
      <c r="L325" s="45">
        <v>-3</v>
      </c>
      <c r="M325" s="45">
        <v>-3</v>
      </c>
      <c r="N325" s="45">
        <v>-3</v>
      </c>
      <c r="O325" s="45">
        <v>-3</v>
      </c>
      <c r="P325" s="45">
        <v>-3</v>
      </c>
      <c r="Q325" s="45">
        <v>-3</v>
      </c>
      <c r="R325" s="45">
        <v>-3</v>
      </c>
      <c r="S325" s="45">
        <v>-3</v>
      </c>
      <c r="T325" s="45">
        <v>-3</v>
      </c>
      <c r="U325" s="45">
        <v>-3</v>
      </c>
      <c r="V325" s="45">
        <v>-3</v>
      </c>
      <c r="W325" s="45">
        <v>-3</v>
      </c>
      <c r="X325" s="103">
        <v>-3</v>
      </c>
      <c r="Y325" s="29">
        <v>65.349999999999994</v>
      </c>
      <c r="Z325" s="47">
        <v>5</v>
      </c>
      <c r="AA325" s="47">
        <v>80</v>
      </c>
      <c r="AB325" s="50">
        <v>26417</v>
      </c>
      <c r="AC325" s="50" t="s">
        <v>147</v>
      </c>
      <c r="AD325" s="50">
        <v>100</v>
      </c>
      <c r="AE325" s="42">
        <v>-3</v>
      </c>
      <c r="AF325" s="10">
        <v>-3</v>
      </c>
      <c r="AG325" s="10">
        <v>-3</v>
      </c>
      <c r="AH325" s="10">
        <v>-3</v>
      </c>
      <c r="AI325" s="10">
        <v>-3</v>
      </c>
      <c r="AJ325" s="10">
        <v>-3</v>
      </c>
      <c r="AK325" s="10">
        <v>-3</v>
      </c>
      <c r="AL325" s="34">
        <v>21.426328703703703</v>
      </c>
      <c r="AM325" s="43">
        <v>1.5</v>
      </c>
      <c r="AN325" s="35">
        <v>0.3824185185185186</v>
      </c>
      <c r="AO325" s="35">
        <v>0.68617499999999987</v>
      </c>
      <c r="AP325" s="35">
        <v>0.29649537037037038</v>
      </c>
      <c r="AQ325" s="83">
        <v>6.6010101010101005E-2</v>
      </c>
      <c r="AR325" s="50">
        <v>26417</v>
      </c>
      <c r="AS325" s="50" t="s">
        <v>147</v>
      </c>
      <c r="AT325" s="50">
        <v>100</v>
      </c>
      <c r="AU325" s="44">
        <v>-1</v>
      </c>
      <c r="AV325" s="48">
        <v>-1</v>
      </c>
      <c r="AW325" s="48">
        <v>-1</v>
      </c>
      <c r="AX325" s="48">
        <v>-1</v>
      </c>
      <c r="AY325" s="48">
        <v>-1</v>
      </c>
      <c r="AZ325" s="45">
        <v>1</v>
      </c>
      <c r="BA325" s="45">
        <v>100</v>
      </c>
      <c r="BB325" s="35">
        <v>0.75</v>
      </c>
      <c r="BC325" s="45">
        <v>-1</v>
      </c>
      <c r="BD325" s="45">
        <v>-1</v>
      </c>
      <c r="BE325" s="45">
        <v>-1</v>
      </c>
      <c r="BF325" s="45">
        <v>-1</v>
      </c>
      <c r="BG325" s="45">
        <v>100</v>
      </c>
      <c r="BH325" s="45">
        <v>-1</v>
      </c>
      <c r="BI325" s="45">
        <v>-1</v>
      </c>
      <c r="BJ325" s="28">
        <v>-1</v>
      </c>
      <c r="BK325" s="48">
        <v>-1</v>
      </c>
      <c r="BL325" s="48">
        <v>-1</v>
      </c>
      <c r="BM325" s="48">
        <v>-1</v>
      </c>
      <c r="BN325" s="48">
        <v>-1</v>
      </c>
      <c r="BO325" s="48">
        <v>-1</v>
      </c>
    </row>
    <row r="326" spans="1:67" s="50" customFormat="1" ht="15" customHeight="1" x14ac:dyDescent="0.25">
      <c r="A326" s="50">
        <v>325</v>
      </c>
      <c r="B326" s="36">
        <v>12140</v>
      </c>
      <c r="C326" s="46">
        <v>12140</v>
      </c>
      <c r="D326" s="36" t="s">
        <v>351</v>
      </c>
      <c r="E326" s="15" t="s">
        <v>14</v>
      </c>
      <c r="F326" s="39">
        <v>-3</v>
      </c>
      <c r="G326" s="36">
        <v>-3</v>
      </c>
      <c r="H326" s="36">
        <v>-3</v>
      </c>
      <c r="I326" s="36">
        <v>-3</v>
      </c>
      <c r="J326" s="36">
        <v>-3</v>
      </c>
      <c r="K326" s="36">
        <v>-3</v>
      </c>
      <c r="L326" s="45">
        <v>-3</v>
      </c>
      <c r="M326" s="45">
        <v>-3</v>
      </c>
      <c r="N326" s="45">
        <v>-3</v>
      </c>
      <c r="O326" s="36">
        <v>-3</v>
      </c>
      <c r="P326" s="36">
        <v>-3</v>
      </c>
      <c r="Q326" s="36">
        <v>-3</v>
      </c>
      <c r="R326" s="36">
        <v>-3</v>
      </c>
      <c r="S326" s="36">
        <v>-3</v>
      </c>
      <c r="T326" s="45">
        <v>-3</v>
      </c>
      <c r="U326" s="45">
        <v>-3</v>
      </c>
      <c r="V326" s="45">
        <v>-3</v>
      </c>
      <c r="W326" s="45">
        <v>-3</v>
      </c>
      <c r="X326" s="103">
        <v>-3</v>
      </c>
      <c r="Y326" s="81">
        <v>-3</v>
      </c>
      <c r="Z326" s="19">
        <v>-3</v>
      </c>
      <c r="AA326" s="48">
        <v>-3</v>
      </c>
      <c r="AB326" s="10">
        <v>-3</v>
      </c>
      <c r="AC326" s="10">
        <v>-3</v>
      </c>
      <c r="AD326" s="10">
        <v>-3</v>
      </c>
      <c r="AE326" s="42">
        <v>65</v>
      </c>
      <c r="AF326" s="43">
        <v>1.35</v>
      </c>
      <c r="AG326" s="36">
        <v>90</v>
      </c>
      <c r="AH326" s="35">
        <v>0.98703703703703705</v>
      </c>
      <c r="AI326" s="50">
        <v>40792</v>
      </c>
      <c r="AJ326" s="50" t="s">
        <v>365</v>
      </c>
      <c r="AK326" s="50">
        <v>100</v>
      </c>
      <c r="AL326" s="34">
        <v>-3</v>
      </c>
      <c r="AM326" s="48">
        <v>-3</v>
      </c>
      <c r="AN326" s="48">
        <v>-3</v>
      </c>
      <c r="AO326" s="48">
        <v>-3</v>
      </c>
      <c r="AP326" s="48">
        <v>-3</v>
      </c>
      <c r="AQ326" s="48">
        <v>-3</v>
      </c>
      <c r="AR326" s="48">
        <v>-3</v>
      </c>
      <c r="AS326" s="10">
        <v>-3</v>
      </c>
      <c r="AT326" s="10">
        <v>-3</v>
      </c>
      <c r="AU326" s="44">
        <v>-1</v>
      </c>
      <c r="AV326" s="48">
        <v>-1</v>
      </c>
      <c r="AW326" s="45">
        <v>2</v>
      </c>
      <c r="AX326" s="36">
        <v>18.5</v>
      </c>
      <c r="AY326" s="43">
        <v>0.05</v>
      </c>
      <c r="AZ326" s="45">
        <v>1</v>
      </c>
      <c r="BA326" s="36">
        <v>55.4</v>
      </c>
      <c r="BB326" s="43">
        <v>0.35</v>
      </c>
      <c r="BC326" s="45">
        <v>-1</v>
      </c>
      <c r="BD326" s="45">
        <v>-1</v>
      </c>
      <c r="BE326" s="45">
        <v>-1</v>
      </c>
      <c r="BF326" s="45">
        <v>-1</v>
      </c>
      <c r="BG326" s="45">
        <v>-1</v>
      </c>
      <c r="BH326" s="45">
        <v>-1</v>
      </c>
      <c r="BI326" s="45">
        <v>100</v>
      </c>
      <c r="BJ326" s="28">
        <v>1</v>
      </c>
      <c r="BK326" s="36">
        <v>43.3</v>
      </c>
      <c r="BL326" s="43">
        <v>0.05</v>
      </c>
      <c r="BM326" s="45">
        <v>3</v>
      </c>
      <c r="BN326" s="36">
        <v>43.3</v>
      </c>
      <c r="BO326" s="43">
        <v>0.05</v>
      </c>
    </row>
    <row r="327" spans="1:67" s="50" customFormat="1" ht="15" customHeight="1" x14ac:dyDescent="0.25">
      <c r="A327" s="50">
        <v>326</v>
      </c>
      <c r="B327" s="36">
        <v>12150</v>
      </c>
      <c r="C327" s="46">
        <v>12150</v>
      </c>
      <c r="D327" s="36" t="s">
        <v>351</v>
      </c>
      <c r="E327" s="18" t="s">
        <v>15</v>
      </c>
      <c r="F327" s="39">
        <v>-3</v>
      </c>
      <c r="G327" s="36">
        <v>-3</v>
      </c>
      <c r="H327" s="36">
        <v>-3</v>
      </c>
      <c r="I327" s="36">
        <v>-3</v>
      </c>
      <c r="J327" s="36">
        <v>-3</v>
      </c>
      <c r="K327" s="36">
        <v>-3</v>
      </c>
      <c r="L327" s="45">
        <v>-3</v>
      </c>
      <c r="M327" s="45">
        <v>-3</v>
      </c>
      <c r="N327" s="45">
        <v>-3</v>
      </c>
      <c r="O327" s="36">
        <v>-3</v>
      </c>
      <c r="P327" s="36">
        <v>-3</v>
      </c>
      <c r="Q327" s="36">
        <v>-3</v>
      </c>
      <c r="R327" s="36">
        <v>-3</v>
      </c>
      <c r="S327" s="36">
        <v>-3</v>
      </c>
      <c r="T327" s="45">
        <v>-3</v>
      </c>
      <c r="U327" s="45">
        <v>-3</v>
      </c>
      <c r="V327" s="45">
        <v>-3</v>
      </c>
      <c r="W327" s="45">
        <v>-3</v>
      </c>
      <c r="X327" s="103">
        <v>-3</v>
      </c>
      <c r="Y327" s="29">
        <v>7.1</v>
      </c>
      <c r="Z327" s="47">
        <v>7.375</v>
      </c>
      <c r="AA327" s="46">
        <v>75</v>
      </c>
      <c r="AB327" s="46">
        <v>5</v>
      </c>
      <c r="AC327" s="46" t="s">
        <v>368</v>
      </c>
      <c r="AD327" s="50">
        <v>100</v>
      </c>
      <c r="AE327" s="42">
        <v>7.9</v>
      </c>
      <c r="AF327" s="43">
        <v>1.35</v>
      </c>
      <c r="AG327" s="36">
        <v>90</v>
      </c>
      <c r="AH327" s="35">
        <v>0.11996296296296297</v>
      </c>
      <c r="AI327" s="50">
        <v>40792</v>
      </c>
      <c r="AJ327" s="50" t="s">
        <v>365</v>
      </c>
      <c r="AK327" s="50">
        <v>100</v>
      </c>
      <c r="AL327" s="34">
        <v>2.6</v>
      </c>
      <c r="AM327" s="43">
        <v>0.45</v>
      </c>
      <c r="AN327" s="35">
        <v>3.4775510204081636E-2</v>
      </c>
      <c r="AO327" s="35">
        <v>4.2020408163265306E-2</v>
      </c>
      <c r="AP327" s="35">
        <v>3.6224489795918365E-2</v>
      </c>
      <c r="AQ327" s="83">
        <v>0</v>
      </c>
      <c r="AR327" s="46">
        <v>5</v>
      </c>
      <c r="AS327" s="46" t="s">
        <v>368</v>
      </c>
      <c r="AT327" s="50">
        <v>100</v>
      </c>
      <c r="AU327" s="44">
        <v>-1</v>
      </c>
      <c r="AV327" s="48">
        <v>-1</v>
      </c>
      <c r="AW327" s="48">
        <v>-1</v>
      </c>
      <c r="AX327" s="48">
        <v>-1</v>
      </c>
      <c r="AY327" s="48">
        <v>-1</v>
      </c>
      <c r="AZ327" s="45">
        <v>1</v>
      </c>
      <c r="BA327" s="36">
        <v>6.7</v>
      </c>
      <c r="BB327" s="43">
        <v>0.35</v>
      </c>
      <c r="BC327" s="45">
        <v>-1</v>
      </c>
      <c r="BD327" s="45">
        <v>-1</v>
      </c>
      <c r="BE327" s="45">
        <v>-1</v>
      </c>
      <c r="BF327" s="45">
        <v>-1</v>
      </c>
      <c r="BG327" s="45">
        <v>50</v>
      </c>
      <c r="BH327" s="45">
        <v>-1</v>
      </c>
      <c r="BI327" s="45">
        <v>50</v>
      </c>
      <c r="BJ327" s="28">
        <v>1</v>
      </c>
      <c r="BK327" s="36">
        <v>5.24</v>
      </c>
      <c r="BL327" s="43">
        <v>0.05</v>
      </c>
      <c r="BM327" s="45">
        <v>3</v>
      </c>
      <c r="BN327" s="36">
        <v>5.2</v>
      </c>
      <c r="BO327" s="43">
        <v>0.05</v>
      </c>
    </row>
    <row r="328" spans="1:67" s="50" customFormat="1" ht="15" customHeight="1" x14ac:dyDescent="0.25">
      <c r="A328" s="50">
        <v>327</v>
      </c>
      <c r="B328" s="36">
        <v>13010</v>
      </c>
      <c r="C328" s="46">
        <v>13010</v>
      </c>
      <c r="D328" s="22" t="s">
        <v>163</v>
      </c>
      <c r="E328" s="25" t="s">
        <v>410</v>
      </c>
      <c r="F328" s="39">
        <v>-3</v>
      </c>
      <c r="G328" s="45">
        <v>-3</v>
      </c>
      <c r="H328" s="45">
        <v>-3</v>
      </c>
      <c r="I328" s="36">
        <v>-3</v>
      </c>
      <c r="J328" s="45">
        <v>-3</v>
      </c>
      <c r="K328" s="45">
        <v>-3</v>
      </c>
      <c r="L328" s="45">
        <v>-3</v>
      </c>
      <c r="M328" s="45">
        <v>-3</v>
      </c>
      <c r="N328" s="45">
        <v>-3</v>
      </c>
      <c r="O328" s="45">
        <v>-3</v>
      </c>
      <c r="P328" s="45">
        <v>-3</v>
      </c>
      <c r="Q328" s="45">
        <v>-3</v>
      </c>
      <c r="R328" s="45">
        <v>-3</v>
      </c>
      <c r="S328" s="45">
        <v>-3</v>
      </c>
      <c r="T328" s="45">
        <v>-3</v>
      </c>
      <c r="U328" s="45">
        <v>-3</v>
      </c>
      <c r="V328" s="45">
        <v>-3</v>
      </c>
      <c r="W328" s="45">
        <v>-3</v>
      </c>
      <c r="X328" s="103">
        <v>-3</v>
      </c>
      <c r="Y328" s="81">
        <v>-3</v>
      </c>
      <c r="Z328" s="10">
        <v>-3</v>
      </c>
      <c r="AA328" s="48">
        <v>-3</v>
      </c>
      <c r="AB328" s="10">
        <v>-3</v>
      </c>
      <c r="AC328" s="10">
        <v>-3</v>
      </c>
      <c r="AD328" s="10">
        <v>-3</v>
      </c>
      <c r="AE328" s="42">
        <v>100</v>
      </c>
      <c r="AF328" s="43">
        <v>0.5</v>
      </c>
      <c r="AG328" s="36">
        <v>0</v>
      </c>
      <c r="AH328" s="35">
        <v>0.17</v>
      </c>
      <c r="AI328" s="50">
        <v>42236</v>
      </c>
      <c r="AJ328" s="50" t="s">
        <v>207</v>
      </c>
      <c r="AK328" s="50">
        <v>100</v>
      </c>
      <c r="AL328" s="34">
        <v>-3</v>
      </c>
      <c r="AM328" s="48">
        <v>-3</v>
      </c>
      <c r="AN328" s="48">
        <v>-3</v>
      </c>
      <c r="AO328" s="48">
        <v>-3</v>
      </c>
      <c r="AP328" s="48">
        <v>-3</v>
      </c>
      <c r="AQ328" s="48">
        <v>-3</v>
      </c>
      <c r="AR328" s="48">
        <v>-3</v>
      </c>
      <c r="AS328" s="10">
        <v>-3</v>
      </c>
      <c r="AT328" s="10">
        <v>-3</v>
      </c>
      <c r="AU328" s="44">
        <v>-1</v>
      </c>
      <c r="AV328" s="48">
        <v>-1</v>
      </c>
      <c r="AW328" s="48">
        <v>-1</v>
      </c>
      <c r="AX328" s="48">
        <v>-1</v>
      </c>
      <c r="AY328" s="48">
        <v>-1</v>
      </c>
      <c r="AZ328" s="45">
        <v>2</v>
      </c>
      <c r="BA328" s="45">
        <v>65</v>
      </c>
      <c r="BB328" s="35">
        <v>0.5</v>
      </c>
      <c r="BC328" s="53">
        <v>-1</v>
      </c>
      <c r="BD328" s="53">
        <v>-1</v>
      </c>
      <c r="BE328" s="53">
        <v>-1</v>
      </c>
      <c r="BF328" s="53">
        <v>-1</v>
      </c>
      <c r="BG328" s="53">
        <v>-1</v>
      </c>
      <c r="BH328" s="53">
        <v>-1</v>
      </c>
      <c r="BI328" s="45">
        <v>100</v>
      </c>
      <c r="BJ328" s="28">
        <v>-1</v>
      </c>
      <c r="BK328" s="48">
        <v>-1</v>
      </c>
      <c r="BL328" s="48">
        <v>-1</v>
      </c>
      <c r="BM328" s="48">
        <v>-1</v>
      </c>
      <c r="BN328" s="48">
        <v>-1</v>
      </c>
      <c r="BO328" s="48">
        <v>-1</v>
      </c>
    </row>
    <row r="329" spans="1:67" s="50" customFormat="1" ht="15" customHeight="1" x14ac:dyDescent="0.25">
      <c r="A329" s="50">
        <v>328</v>
      </c>
      <c r="B329" s="36">
        <v>13011</v>
      </c>
      <c r="C329" s="46">
        <v>13011</v>
      </c>
      <c r="D329" s="22" t="s">
        <v>163</v>
      </c>
      <c r="E329" s="25" t="s">
        <v>411</v>
      </c>
      <c r="F329" s="39">
        <v>-3</v>
      </c>
      <c r="G329" s="45">
        <v>-3</v>
      </c>
      <c r="H329" s="45">
        <v>-3</v>
      </c>
      <c r="I329" s="36">
        <v>-3</v>
      </c>
      <c r="J329" s="45">
        <v>-3</v>
      </c>
      <c r="K329" s="45">
        <v>-3</v>
      </c>
      <c r="L329" s="45">
        <v>-3</v>
      </c>
      <c r="M329" s="45">
        <v>-3</v>
      </c>
      <c r="N329" s="45">
        <v>-3</v>
      </c>
      <c r="O329" s="45">
        <v>-3</v>
      </c>
      <c r="P329" s="45">
        <v>-3</v>
      </c>
      <c r="Q329" s="45">
        <v>-3</v>
      </c>
      <c r="R329" s="45">
        <v>-3</v>
      </c>
      <c r="S329" s="45">
        <v>-3</v>
      </c>
      <c r="T329" s="45">
        <v>-3</v>
      </c>
      <c r="U329" s="45">
        <v>-3</v>
      </c>
      <c r="V329" s="45">
        <v>-3</v>
      </c>
      <c r="W329" s="45">
        <v>-3</v>
      </c>
      <c r="X329" s="103">
        <v>-3</v>
      </c>
      <c r="Y329" s="81">
        <v>-3</v>
      </c>
      <c r="Z329" s="10">
        <v>-3</v>
      </c>
      <c r="AA329" s="48">
        <v>-3</v>
      </c>
      <c r="AB329" s="10">
        <v>-3</v>
      </c>
      <c r="AC329" s="10">
        <v>-3</v>
      </c>
      <c r="AD329" s="10">
        <v>-3</v>
      </c>
      <c r="AE329" s="42">
        <v>100</v>
      </c>
      <c r="AF329" s="43">
        <v>0.5</v>
      </c>
      <c r="AG329" s="45">
        <v>0</v>
      </c>
      <c r="AH329" s="35">
        <v>1.29</v>
      </c>
      <c r="AI329" s="50">
        <v>41976</v>
      </c>
      <c r="AJ329" s="50" t="s">
        <v>209</v>
      </c>
      <c r="AK329" s="50">
        <v>100</v>
      </c>
      <c r="AL329" s="34">
        <v>-3</v>
      </c>
      <c r="AM329" s="48">
        <v>-3</v>
      </c>
      <c r="AN329" s="48">
        <v>-3</v>
      </c>
      <c r="AO329" s="48">
        <v>-3</v>
      </c>
      <c r="AP329" s="48">
        <v>-3</v>
      </c>
      <c r="AQ329" s="48">
        <v>-3</v>
      </c>
      <c r="AR329" s="48">
        <v>-3</v>
      </c>
      <c r="AS329" s="10">
        <v>-3</v>
      </c>
      <c r="AT329" s="10">
        <v>-3</v>
      </c>
      <c r="AU329" s="44">
        <v>-1</v>
      </c>
      <c r="AV329" s="48">
        <v>-1</v>
      </c>
      <c r="AW329" s="48">
        <v>-1</v>
      </c>
      <c r="AX329" s="48">
        <v>-1</v>
      </c>
      <c r="AY329" s="48">
        <v>-1</v>
      </c>
      <c r="AZ329" s="45">
        <v>2</v>
      </c>
      <c r="BA329" s="45">
        <v>65</v>
      </c>
      <c r="BB329" s="35">
        <v>0.5</v>
      </c>
      <c r="BC329" s="53">
        <v>-1</v>
      </c>
      <c r="BD329" s="53">
        <v>-1</v>
      </c>
      <c r="BE329" s="53">
        <v>-1</v>
      </c>
      <c r="BF329" s="53">
        <v>-1</v>
      </c>
      <c r="BG329" s="53">
        <v>-1</v>
      </c>
      <c r="BH329" s="53">
        <v>-1</v>
      </c>
      <c r="BI329" s="45">
        <v>100</v>
      </c>
      <c r="BJ329" s="28">
        <v>-1</v>
      </c>
      <c r="BK329" s="48">
        <v>-1</v>
      </c>
      <c r="BL329" s="48">
        <v>-1</v>
      </c>
      <c r="BM329" s="48">
        <v>-1</v>
      </c>
      <c r="BN329" s="48">
        <v>-1</v>
      </c>
      <c r="BO329" s="48">
        <v>-1</v>
      </c>
    </row>
    <row r="330" spans="1:67" s="50" customFormat="1" ht="15" customHeight="1" x14ac:dyDescent="0.25">
      <c r="A330" s="50">
        <v>329</v>
      </c>
      <c r="B330" s="36">
        <v>13012</v>
      </c>
      <c r="C330" s="46">
        <v>13012</v>
      </c>
      <c r="D330" s="22" t="s">
        <v>163</v>
      </c>
      <c r="E330" s="25" t="s">
        <v>412</v>
      </c>
      <c r="F330" s="39">
        <v>-3</v>
      </c>
      <c r="G330" s="45">
        <v>-3</v>
      </c>
      <c r="H330" s="45">
        <v>-3</v>
      </c>
      <c r="I330" s="36">
        <v>-3</v>
      </c>
      <c r="J330" s="45">
        <v>-3</v>
      </c>
      <c r="K330" s="45">
        <v>-3</v>
      </c>
      <c r="L330" s="45">
        <v>-3</v>
      </c>
      <c r="M330" s="45">
        <v>-3</v>
      </c>
      <c r="N330" s="45">
        <v>-3</v>
      </c>
      <c r="O330" s="45">
        <v>-3</v>
      </c>
      <c r="P330" s="45">
        <v>-3</v>
      </c>
      <c r="Q330" s="45">
        <v>-3</v>
      </c>
      <c r="R330" s="45">
        <v>-3</v>
      </c>
      <c r="S330" s="45">
        <v>-3</v>
      </c>
      <c r="T330" s="45">
        <v>-3</v>
      </c>
      <c r="U330" s="45">
        <v>-3</v>
      </c>
      <c r="V330" s="45">
        <v>-3</v>
      </c>
      <c r="W330" s="45">
        <v>-3</v>
      </c>
      <c r="X330" s="103">
        <v>-3</v>
      </c>
      <c r="Y330" s="81">
        <v>-3</v>
      </c>
      <c r="Z330" s="10">
        <v>-3</v>
      </c>
      <c r="AA330" s="48">
        <v>-3</v>
      </c>
      <c r="AB330" s="10">
        <v>-3</v>
      </c>
      <c r="AC330" s="10">
        <v>-3</v>
      </c>
      <c r="AD330" s="10">
        <v>-3</v>
      </c>
      <c r="AE330" s="42">
        <v>100</v>
      </c>
      <c r="AF330" s="66">
        <v>0.5</v>
      </c>
      <c r="AG330" s="62">
        <v>0</v>
      </c>
      <c r="AH330" s="63">
        <v>0.48</v>
      </c>
      <c r="AI330" s="50">
        <v>42269</v>
      </c>
      <c r="AJ330" s="50" t="s">
        <v>206</v>
      </c>
      <c r="AK330" s="50">
        <v>100</v>
      </c>
      <c r="AL330" s="34">
        <v>-3</v>
      </c>
      <c r="AM330" s="48">
        <v>-3</v>
      </c>
      <c r="AN330" s="48">
        <v>-3</v>
      </c>
      <c r="AO330" s="48">
        <v>-3</v>
      </c>
      <c r="AP330" s="48">
        <v>-3</v>
      </c>
      <c r="AQ330" s="48">
        <v>-3</v>
      </c>
      <c r="AR330" s="48">
        <v>-3</v>
      </c>
      <c r="AS330" s="10">
        <v>-3</v>
      </c>
      <c r="AT330" s="10">
        <v>-3</v>
      </c>
      <c r="AU330" s="44">
        <v>-1</v>
      </c>
      <c r="AV330" s="48">
        <v>-1</v>
      </c>
      <c r="AW330" s="48">
        <v>-1</v>
      </c>
      <c r="AX330" s="48">
        <v>-1</v>
      </c>
      <c r="AY330" s="48">
        <v>-1</v>
      </c>
      <c r="AZ330" s="45">
        <v>2</v>
      </c>
      <c r="BA330" s="45">
        <v>65</v>
      </c>
      <c r="BB330" s="35">
        <v>0.5</v>
      </c>
      <c r="BC330" s="53">
        <v>-1</v>
      </c>
      <c r="BD330" s="53">
        <v>-1</v>
      </c>
      <c r="BE330" s="53">
        <v>-1</v>
      </c>
      <c r="BF330" s="53">
        <v>-1</v>
      </c>
      <c r="BG330" s="53">
        <v>-1</v>
      </c>
      <c r="BH330" s="53">
        <v>-1</v>
      </c>
      <c r="BI330" s="45">
        <v>100</v>
      </c>
      <c r="BJ330" s="28">
        <v>-1</v>
      </c>
      <c r="BK330" s="48">
        <v>-1</v>
      </c>
      <c r="BL330" s="48">
        <v>-1</v>
      </c>
      <c r="BM330" s="48">
        <v>-1</v>
      </c>
      <c r="BN330" s="48">
        <v>-1</v>
      </c>
      <c r="BO330" s="48">
        <v>-1</v>
      </c>
    </row>
    <row r="331" spans="1:67" s="50" customFormat="1" ht="15" customHeight="1" x14ac:dyDescent="0.25">
      <c r="A331" s="50">
        <v>330</v>
      </c>
      <c r="B331" s="36">
        <v>13014</v>
      </c>
      <c r="C331" s="46">
        <v>13014</v>
      </c>
      <c r="D331" s="22" t="s">
        <v>163</v>
      </c>
      <c r="E331" s="25" t="s">
        <v>422</v>
      </c>
      <c r="F331" s="39">
        <v>-3</v>
      </c>
      <c r="G331" s="45">
        <v>-3</v>
      </c>
      <c r="H331" s="45">
        <v>-3</v>
      </c>
      <c r="I331" s="36">
        <v>-3</v>
      </c>
      <c r="J331" s="45">
        <v>-3</v>
      </c>
      <c r="K331" s="45">
        <v>-3</v>
      </c>
      <c r="L331" s="45">
        <v>-3</v>
      </c>
      <c r="M331" s="45">
        <v>-3</v>
      </c>
      <c r="N331" s="45">
        <v>-3</v>
      </c>
      <c r="O331" s="45">
        <v>-3</v>
      </c>
      <c r="P331" s="45">
        <v>-3</v>
      </c>
      <c r="Q331" s="45">
        <v>-3</v>
      </c>
      <c r="R331" s="45">
        <v>-3</v>
      </c>
      <c r="S331" s="45">
        <v>-3</v>
      </c>
      <c r="T331" s="45">
        <v>-3</v>
      </c>
      <c r="U331" s="45">
        <v>-3</v>
      </c>
      <c r="V331" s="45">
        <v>-3</v>
      </c>
      <c r="W331" s="45">
        <v>-3</v>
      </c>
      <c r="X331" s="103">
        <v>-3</v>
      </c>
      <c r="Y331" s="81">
        <v>-3</v>
      </c>
      <c r="Z331" s="10">
        <v>-3</v>
      </c>
      <c r="AA331" s="48">
        <v>-3</v>
      </c>
      <c r="AB331" s="10">
        <v>-3</v>
      </c>
      <c r="AC331" s="10">
        <v>-3</v>
      </c>
      <c r="AD331" s="10">
        <v>-3</v>
      </c>
      <c r="AE331" s="42">
        <v>100</v>
      </c>
      <c r="AF331" s="66">
        <v>0.5</v>
      </c>
      <c r="AG331" s="62">
        <v>0</v>
      </c>
      <c r="AH331" s="63">
        <v>0.48</v>
      </c>
      <c r="AI331" s="50">
        <v>42013</v>
      </c>
      <c r="AJ331" s="50" t="s">
        <v>423</v>
      </c>
      <c r="AK331" s="58">
        <v>100</v>
      </c>
      <c r="AL331" s="34">
        <v>-3</v>
      </c>
      <c r="AM331" s="48">
        <v>-3</v>
      </c>
      <c r="AN331" s="48">
        <v>-3</v>
      </c>
      <c r="AO331" s="48">
        <v>-3</v>
      </c>
      <c r="AP331" s="48">
        <v>-3</v>
      </c>
      <c r="AQ331" s="48">
        <v>-3</v>
      </c>
      <c r="AR331" s="48">
        <v>-3</v>
      </c>
      <c r="AS331" s="10">
        <v>-3</v>
      </c>
      <c r="AT331" s="10">
        <v>-3</v>
      </c>
      <c r="AU331" s="44">
        <v>-1</v>
      </c>
      <c r="AV331" s="48">
        <v>-1</v>
      </c>
      <c r="AW331" s="48">
        <v>-1</v>
      </c>
      <c r="AX331" s="48">
        <v>-1</v>
      </c>
      <c r="AY331" s="48">
        <v>-1</v>
      </c>
      <c r="AZ331" s="45">
        <v>2</v>
      </c>
      <c r="BA331" s="45">
        <v>65</v>
      </c>
      <c r="BB331" s="35">
        <v>0.5</v>
      </c>
      <c r="BC331" s="53">
        <v>-1</v>
      </c>
      <c r="BD331" s="53">
        <v>-1</v>
      </c>
      <c r="BE331" s="53">
        <v>-1</v>
      </c>
      <c r="BF331" s="53">
        <v>-1</v>
      </c>
      <c r="BG331" s="53">
        <v>-1</v>
      </c>
      <c r="BH331" s="53">
        <v>-1</v>
      </c>
      <c r="BI331" s="45">
        <v>100</v>
      </c>
      <c r="BJ331" s="28">
        <v>-1</v>
      </c>
      <c r="BK331" s="48">
        <v>-1</v>
      </c>
      <c r="BL331" s="48">
        <v>-1</v>
      </c>
      <c r="BM331" s="48">
        <v>-1</v>
      </c>
      <c r="BN331" s="48">
        <v>-1</v>
      </c>
      <c r="BO331" s="48">
        <v>-1</v>
      </c>
    </row>
    <row r="332" spans="1:67" s="50" customFormat="1" ht="15" customHeight="1" x14ac:dyDescent="0.25">
      <c r="A332" s="50">
        <v>331</v>
      </c>
      <c r="B332" s="36">
        <v>13015</v>
      </c>
      <c r="C332" s="46">
        <v>13015</v>
      </c>
      <c r="D332" s="22" t="s">
        <v>163</v>
      </c>
      <c r="E332" s="25" t="s">
        <v>424</v>
      </c>
      <c r="F332" s="39">
        <v>-3</v>
      </c>
      <c r="G332" s="45">
        <v>-3</v>
      </c>
      <c r="H332" s="45">
        <v>-3</v>
      </c>
      <c r="I332" s="36">
        <v>-3</v>
      </c>
      <c r="J332" s="45">
        <v>-3</v>
      </c>
      <c r="K332" s="45">
        <v>-3</v>
      </c>
      <c r="L332" s="45">
        <v>-3</v>
      </c>
      <c r="M332" s="45">
        <v>-3</v>
      </c>
      <c r="N332" s="45">
        <v>-3</v>
      </c>
      <c r="O332" s="45">
        <v>-3</v>
      </c>
      <c r="P332" s="45">
        <v>-3</v>
      </c>
      <c r="Q332" s="45">
        <v>-3</v>
      </c>
      <c r="R332" s="45">
        <v>-3</v>
      </c>
      <c r="S332" s="45">
        <v>-3</v>
      </c>
      <c r="T332" s="45">
        <v>-3</v>
      </c>
      <c r="U332" s="45">
        <v>-3</v>
      </c>
      <c r="V332" s="45">
        <v>-3</v>
      </c>
      <c r="W332" s="45">
        <v>-3</v>
      </c>
      <c r="X332" s="103">
        <v>-3</v>
      </c>
      <c r="Y332" s="81">
        <v>-3</v>
      </c>
      <c r="Z332" s="10">
        <v>-3</v>
      </c>
      <c r="AA332" s="48">
        <v>-3</v>
      </c>
      <c r="AB332" s="10">
        <v>-3</v>
      </c>
      <c r="AC332" s="10">
        <v>-3</v>
      </c>
      <c r="AD332" s="10">
        <v>-3</v>
      </c>
      <c r="AE332" s="42">
        <v>100</v>
      </c>
      <c r="AF332" s="66">
        <v>0.5</v>
      </c>
      <c r="AG332" s="62">
        <v>0</v>
      </c>
      <c r="AH332" s="63">
        <v>0.69</v>
      </c>
      <c r="AI332" s="50">
        <v>21711</v>
      </c>
      <c r="AJ332" s="50" t="s">
        <v>425</v>
      </c>
      <c r="AK332" s="50">
        <v>100</v>
      </c>
      <c r="AL332" s="34">
        <v>-3</v>
      </c>
      <c r="AM332" s="48">
        <v>-3</v>
      </c>
      <c r="AN332" s="48">
        <v>-3</v>
      </c>
      <c r="AO332" s="48">
        <v>-3</v>
      </c>
      <c r="AP332" s="48">
        <v>-3</v>
      </c>
      <c r="AQ332" s="48">
        <v>-3</v>
      </c>
      <c r="AR332" s="48">
        <v>-3</v>
      </c>
      <c r="AS332" s="10">
        <v>-3</v>
      </c>
      <c r="AT332" s="10">
        <v>-3</v>
      </c>
      <c r="AU332" s="44">
        <v>-1</v>
      </c>
      <c r="AV332" s="48">
        <v>-1</v>
      </c>
      <c r="AW332" s="48">
        <v>-1</v>
      </c>
      <c r="AX332" s="48">
        <v>-1</v>
      </c>
      <c r="AY332" s="48">
        <v>-1</v>
      </c>
      <c r="AZ332" s="45">
        <v>2</v>
      </c>
      <c r="BA332" s="45">
        <v>65</v>
      </c>
      <c r="BB332" s="35">
        <v>0.5</v>
      </c>
      <c r="BC332" s="53">
        <v>-1</v>
      </c>
      <c r="BD332" s="53">
        <v>-1</v>
      </c>
      <c r="BE332" s="53">
        <v>-1</v>
      </c>
      <c r="BF332" s="53">
        <v>-1</v>
      </c>
      <c r="BG332" s="53">
        <v>-1</v>
      </c>
      <c r="BH332" s="53">
        <v>-1</v>
      </c>
      <c r="BI332" s="45">
        <v>100</v>
      </c>
      <c r="BJ332" s="28">
        <v>-1</v>
      </c>
      <c r="BK332" s="48">
        <v>-1</v>
      </c>
      <c r="BL332" s="48">
        <v>-1</v>
      </c>
      <c r="BM332" s="48">
        <v>-1</v>
      </c>
      <c r="BN332" s="48">
        <v>-1</v>
      </c>
      <c r="BO332" s="48">
        <v>-1</v>
      </c>
    </row>
    <row r="333" spans="1:67" s="50" customFormat="1" ht="15" customHeight="1" x14ac:dyDescent="0.25">
      <c r="A333" s="50">
        <v>332</v>
      </c>
      <c r="B333" s="36">
        <v>13016</v>
      </c>
      <c r="C333" s="46">
        <v>13016</v>
      </c>
      <c r="D333" s="22" t="s">
        <v>163</v>
      </c>
      <c r="E333" s="25" t="s">
        <v>414</v>
      </c>
      <c r="F333" s="39">
        <v>-3</v>
      </c>
      <c r="G333" s="45">
        <v>-3</v>
      </c>
      <c r="H333" s="45">
        <v>-3</v>
      </c>
      <c r="I333" s="36">
        <v>-3</v>
      </c>
      <c r="J333" s="45">
        <v>-3</v>
      </c>
      <c r="K333" s="45">
        <v>-3</v>
      </c>
      <c r="L333" s="45">
        <v>-3</v>
      </c>
      <c r="M333" s="45">
        <v>-3</v>
      </c>
      <c r="N333" s="45">
        <v>-3</v>
      </c>
      <c r="O333" s="45">
        <v>-3</v>
      </c>
      <c r="P333" s="45">
        <v>-3</v>
      </c>
      <c r="Q333" s="45">
        <v>-3</v>
      </c>
      <c r="R333" s="45">
        <v>-3</v>
      </c>
      <c r="S333" s="45">
        <v>-3</v>
      </c>
      <c r="T333" s="45">
        <v>-3</v>
      </c>
      <c r="U333" s="45">
        <v>-3</v>
      </c>
      <c r="V333" s="45">
        <v>-3</v>
      </c>
      <c r="W333" s="45">
        <v>-3</v>
      </c>
      <c r="X333" s="103">
        <v>-3</v>
      </c>
      <c r="Y333" s="81">
        <v>-3</v>
      </c>
      <c r="Z333" s="10">
        <v>-3</v>
      </c>
      <c r="AA333" s="48">
        <v>-3</v>
      </c>
      <c r="AB333" s="10">
        <v>-3</v>
      </c>
      <c r="AC333" s="10">
        <v>-3</v>
      </c>
      <c r="AD333" s="10">
        <v>-3</v>
      </c>
      <c r="AE333" s="42">
        <v>100</v>
      </c>
      <c r="AF333" s="66">
        <v>0.3</v>
      </c>
      <c r="AG333" s="62">
        <v>0</v>
      </c>
      <c r="AH333" s="63">
        <v>0.17</v>
      </c>
      <c r="AI333" s="58">
        <v>26857</v>
      </c>
      <c r="AJ333" s="47" t="s">
        <v>415</v>
      </c>
      <c r="AK333" s="58">
        <v>100</v>
      </c>
      <c r="AL333" s="34">
        <v>-3</v>
      </c>
      <c r="AM333" s="48">
        <v>-3</v>
      </c>
      <c r="AN333" s="48">
        <v>-3</v>
      </c>
      <c r="AO333" s="48">
        <v>-3</v>
      </c>
      <c r="AP333" s="48">
        <v>-3</v>
      </c>
      <c r="AQ333" s="48">
        <v>-3</v>
      </c>
      <c r="AR333" s="48">
        <v>-3</v>
      </c>
      <c r="AS333" s="10">
        <v>-3</v>
      </c>
      <c r="AT333" s="10">
        <v>-3</v>
      </c>
      <c r="AU333" s="44">
        <v>-1</v>
      </c>
      <c r="AV333" s="48">
        <v>-1</v>
      </c>
      <c r="AW333" s="48">
        <v>-1</v>
      </c>
      <c r="AX333" s="48">
        <v>-1</v>
      </c>
      <c r="AY333" s="48">
        <v>-1</v>
      </c>
      <c r="AZ333" s="45">
        <v>2</v>
      </c>
      <c r="BA333" s="45">
        <v>65</v>
      </c>
      <c r="BB333" s="35">
        <v>0.5</v>
      </c>
      <c r="BC333" s="53">
        <v>-1</v>
      </c>
      <c r="BD333" s="53">
        <v>-1</v>
      </c>
      <c r="BE333" s="53">
        <v>-1</v>
      </c>
      <c r="BF333" s="53">
        <v>-1</v>
      </c>
      <c r="BG333" s="53">
        <v>-1</v>
      </c>
      <c r="BH333" s="53">
        <v>-1</v>
      </c>
      <c r="BI333" s="45">
        <v>100</v>
      </c>
      <c r="BJ333" s="28">
        <v>-1</v>
      </c>
      <c r="BK333" s="48">
        <v>-1</v>
      </c>
      <c r="BL333" s="48">
        <v>-1</v>
      </c>
      <c r="BM333" s="48">
        <v>-1</v>
      </c>
      <c r="BN333" s="48">
        <v>-1</v>
      </c>
      <c r="BO333" s="48">
        <v>-1</v>
      </c>
    </row>
    <row r="334" spans="1:67" s="50" customFormat="1" ht="15" customHeight="1" x14ac:dyDescent="0.25">
      <c r="A334" s="50">
        <v>333</v>
      </c>
      <c r="B334" s="36">
        <v>13017</v>
      </c>
      <c r="C334" s="46">
        <v>13017</v>
      </c>
      <c r="D334" s="22" t="s">
        <v>163</v>
      </c>
      <c r="E334" s="25" t="s">
        <v>416</v>
      </c>
      <c r="F334" s="39">
        <v>-3</v>
      </c>
      <c r="G334" s="45">
        <v>-3</v>
      </c>
      <c r="H334" s="45">
        <v>-3</v>
      </c>
      <c r="I334" s="36">
        <v>-3</v>
      </c>
      <c r="J334" s="45">
        <v>-3</v>
      </c>
      <c r="K334" s="45">
        <v>-3</v>
      </c>
      <c r="L334" s="45">
        <v>-3</v>
      </c>
      <c r="M334" s="45">
        <v>-3</v>
      </c>
      <c r="N334" s="45">
        <v>-3</v>
      </c>
      <c r="O334" s="45">
        <v>-3</v>
      </c>
      <c r="P334" s="45">
        <v>-3</v>
      </c>
      <c r="Q334" s="45">
        <v>-3</v>
      </c>
      <c r="R334" s="45">
        <v>-3</v>
      </c>
      <c r="S334" s="45">
        <v>-3</v>
      </c>
      <c r="T334" s="45">
        <v>-3</v>
      </c>
      <c r="U334" s="45">
        <v>-3</v>
      </c>
      <c r="V334" s="45">
        <v>-3</v>
      </c>
      <c r="W334" s="45">
        <v>-3</v>
      </c>
      <c r="X334" s="103">
        <v>-3</v>
      </c>
      <c r="Y334" s="81">
        <v>-3</v>
      </c>
      <c r="Z334" s="10">
        <v>-3</v>
      </c>
      <c r="AA334" s="48">
        <v>-3</v>
      </c>
      <c r="AB334" s="10">
        <v>-3</v>
      </c>
      <c r="AC334" s="10">
        <v>-3</v>
      </c>
      <c r="AD334" s="10">
        <v>-3</v>
      </c>
      <c r="AE334" s="42">
        <v>75</v>
      </c>
      <c r="AF334" s="66">
        <v>0.1</v>
      </c>
      <c r="AG334" s="62">
        <v>0</v>
      </c>
      <c r="AH334" s="35">
        <v>0</v>
      </c>
      <c r="AI334" s="50">
        <v>505272</v>
      </c>
      <c r="AJ334" s="47" t="s">
        <v>417</v>
      </c>
      <c r="AK334" s="50">
        <v>100</v>
      </c>
      <c r="AL334" s="34">
        <v>-3</v>
      </c>
      <c r="AM334" s="48">
        <v>-3</v>
      </c>
      <c r="AN334" s="48">
        <v>-3</v>
      </c>
      <c r="AO334" s="48">
        <v>-3</v>
      </c>
      <c r="AP334" s="48">
        <v>-3</v>
      </c>
      <c r="AQ334" s="48">
        <v>-3</v>
      </c>
      <c r="AR334" s="48">
        <v>-3</v>
      </c>
      <c r="AS334" s="10">
        <v>-3</v>
      </c>
      <c r="AT334" s="10">
        <v>-3</v>
      </c>
      <c r="AU334" s="44">
        <v>-1</v>
      </c>
      <c r="AV334" s="48">
        <v>-1</v>
      </c>
      <c r="AW334" s="48">
        <v>-1</v>
      </c>
      <c r="AX334" s="48">
        <v>-1</v>
      </c>
      <c r="AY334" s="48">
        <v>-1</v>
      </c>
      <c r="AZ334" s="45">
        <v>2</v>
      </c>
      <c r="BA334" s="45">
        <v>65</v>
      </c>
      <c r="BB334" s="35">
        <v>0.5</v>
      </c>
      <c r="BC334" s="53">
        <v>-1</v>
      </c>
      <c r="BD334" s="53">
        <v>-1</v>
      </c>
      <c r="BE334" s="53">
        <v>-1</v>
      </c>
      <c r="BF334" s="53">
        <v>-1</v>
      </c>
      <c r="BG334" s="53">
        <v>-1</v>
      </c>
      <c r="BH334" s="53">
        <v>-1</v>
      </c>
      <c r="BI334" s="45">
        <v>100</v>
      </c>
      <c r="BJ334" s="28">
        <v>-1</v>
      </c>
      <c r="BK334" s="48">
        <v>-1</v>
      </c>
      <c r="BL334" s="48">
        <v>-1</v>
      </c>
      <c r="BM334" s="48">
        <v>-1</v>
      </c>
      <c r="BN334" s="48">
        <v>-1</v>
      </c>
      <c r="BO334" s="48">
        <v>-1</v>
      </c>
    </row>
    <row r="335" spans="1:67" s="50" customFormat="1" ht="15" customHeight="1" x14ac:dyDescent="0.25">
      <c r="A335" s="50">
        <v>334</v>
      </c>
      <c r="B335" s="36">
        <v>13020</v>
      </c>
      <c r="C335" s="46">
        <v>13020</v>
      </c>
      <c r="D335" s="22" t="s">
        <v>163</v>
      </c>
      <c r="E335" s="38" t="s">
        <v>427</v>
      </c>
      <c r="F335" s="39">
        <v>3.16954</v>
      </c>
      <c r="G335" s="45">
        <v>3</v>
      </c>
      <c r="H335" s="45">
        <v>5</v>
      </c>
      <c r="I335" s="36">
        <v>28.681299212598425</v>
      </c>
      <c r="J335" s="45">
        <v>3</v>
      </c>
      <c r="K335" s="45">
        <v>18</v>
      </c>
      <c r="L335" s="36">
        <v>19276</v>
      </c>
      <c r="M335" s="36" t="s">
        <v>158</v>
      </c>
      <c r="N335" s="36">
        <v>100</v>
      </c>
      <c r="O335" s="36">
        <v>-1</v>
      </c>
      <c r="P335" s="36">
        <v>-1</v>
      </c>
      <c r="Q335" s="36">
        <v>-1</v>
      </c>
      <c r="R335" s="36">
        <v>-1</v>
      </c>
      <c r="S335" s="36">
        <v>-1</v>
      </c>
      <c r="T335" s="36">
        <v>-1</v>
      </c>
      <c r="U335" s="36">
        <v>-1</v>
      </c>
      <c r="V335" s="36">
        <v>-1</v>
      </c>
      <c r="W335" s="36">
        <v>1</v>
      </c>
      <c r="X335" s="102">
        <v>4</v>
      </c>
      <c r="Y335" s="29">
        <v>16.830460000000002</v>
      </c>
      <c r="Z335" s="45">
        <v>4</v>
      </c>
      <c r="AA335" s="36">
        <v>95</v>
      </c>
      <c r="AB335" s="50">
        <v>26417</v>
      </c>
      <c r="AC335" s="50" t="s">
        <v>147</v>
      </c>
      <c r="AD335" s="50">
        <v>100</v>
      </c>
      <c r="AE335" s="42">
        <v>60</v>
      </c>
      <c r="AF335" s="43">
        <v>0.5</v>
      </c>
      <c r="AG335" s="45">
        <v>0</v>
      </c>
      <c r="AH335" s="35">
        <v>0.10200000000000001</v>
      </c>
      <c r="AI335" s="50">
        <v>42236</v>
      </c>
      <c r="AJ335" s="50" t="s">
        <v>207</v>
      </c>
      <c r="AK335" s="50">
        <v>100</v>
      </c>
      <c r="AL335" s="34">
        <v>0.15847700000000001</v>
      </c>
      <c r="AM335" s="43">
        <v>6</v>
      </c>
      <c r="AN335" s="35">
        <v>7.9238499999999996E-3</v>
      </c>
      <c r="AO335" s="35">
        <v>3.1695399999999999E-2</v>
      </c>
      <c r="AP335" s="35">
        <v>6.3390799999999997E-2</v>
      </c>
      <c r="AQ335" s="84">
        <v>7.9238500000000003E-2</v>
      </c>
      <c r="AR335" s="46">
        <v>19276</v>
      </c>
      <c r="AS335" s="46" t="s">
        <v>158</v>
      </c>
      <c r="AT335" s="46">
        <v>100</v>
      </c>
      <c r="AU335" s="44">
        <v>-1</v>
      </c>
      <c r="AV335" s="48">
        <v>-1</v>
      </c>
      <c r="AW335" s="48">
        <v>-1</v>
      </c>
      <c r="AX335" s="48">
        <v>-1</v>
      </c>
      <c r="AY335" s="48">
        <v>-1</v>
      </c>
      <c r="AZ335" s="45">
        <v>2</v>
      </c>
      <c r="BA335" s="45">
        <v>42</v>
      </c>
      <c r="BB335" s="35">
        <v>0.3</v>
      </c>
      <c r="BC335" s="53">
        <v>-1</v>
      </c>
      <c r="BD335" s="53">
        <v>-1</v>
      </c>
      <c r="BE335" s="53">
        <v>-1</v>
      </c>
      <c r="BF335" s="53">
        <v>40</v>
      </c>
      <c r="BG335" s="53">
        <v>-1</v>
      </c>
      <c r="BH335" s="53">
        <v>-1</v>
      </c>
      <c r="BI335" s="45">
        <v>60</v>
      </c>
      <c r="BJ335" s="28">
        <v>-1</v>
      </c>
      <c r="BK335" s="48">
        <v>-1</v>
      </c>
      <c r="BL335" s="48">
        <v>-1</v>
      </c>
      <c r="BM335" s="48">
        <v>-1</v>
      </c>
      <c r="BN335" s="48">
        <v>-1</v>
      </c>
      <c r="BO335" s="48">
        <v>-1</v>
      </c>
    </row>
    <row r="336" spans="1:67" s="50" customFormat="1" ht="15" customHeight="1" x14ac:dyDescent="0.25">
      <c r="A336" s="50">
        <v>335</v>
      </c>
      <c r="B336" s="36">
        <v>13022</v>
      </c>
      <c r="C336" s="46">
        <v>13022</v>
      </c>
      <c r="D336" s="22" t="s">
        <v>163</v>
      </c>
      <c r="E336" s="38" t="s">
        <v>428</v>
      </c>
      <c r="F336" s="39">
        <v>17.644300000000001</v>
      </c>
      <c r="G336" s="45">
        <v>18</v>
      </c>
      <c r="H336" s="45">
        <v>26</v>
      </c>
      <c r="I336" s="36">
        <v>33.804461942257213</v>
      </c>
      <c r="J336" s="45">
        <v>3</v>
      </c>
      <c r="K336" s="45">
        <v>22</v>
      </c>
      <c r="L336" s="36">
        <v>19276</v>
      </c>
      <c r="M336" s="36" t="s">
        <v>158</v>
      </c>
      <c r="N336" s="36">
        <v>100</v>
      </c>
      <c r="O336" s="36">
        <v>-1</v>
      </c>
      <c r="P336" s="36">
        <v>-1</v>
      </c>
      <c r="Q336" s="36">
        <v>-1</v>
      </c>
      <c r="R336" s="36">
        <v>-1</v>
      </c>
      <c r="S336" s="36">
        <v>-1</v>
      </c>
      <c r="T336" s="36">
        <v>-1</v>
      </c>
      <c r="U336" s="36">
        <v>-1</v>
      </c>
      <c r="V336" s="36">
        <v>-1</v>
      </c>
      <c r="W336" s="36">
        <v>1</v>
      </c>
      <c r="X336" s="102">
        <v>4</v>
      </c>
      <c r="Y336" s="29">
        <v>2.3556999999999988</v>
      </c>
      <c r="Z336" s="45">
        <v>4</v>
      </c>
      <c r="AA336" s="36">
        <v>95</v>
      </c>
      <c r="AB336" s="50">
        <v>26417</v>
      </c>
      <c r="AC336" s="50" t="s">
        <v>147</v>
      </c>
      <c r="AD336" s="50">
        <v>100</v>
      </c>
      <c r="AE336" s="42">
        <v>60</v>
      </c>
      <c r="AF336" s="43">
        <v>0.5</v>
      </c>
      <c r="AG336" s="45">
        <v>0</v>
      </c>
      <c r="AH336" s="35">
        <v>0.28799999999999998</v>
      </c>
      <c r="AI336" s="50">
        <v>42269</v>
      </c>
      <c r="AJ336" s="50" t="s">
        <v>206</v>
      </c>
      <c r="AK336" s="50">
        <v>100</v>
      </c>
      <c r="AL336" s="34">
        <v>0.88221500000000008</v>
      </c>
      <c r="AM336" s="43">
        <v>6</v>
      </c>
      <c r="AN336" s="35">
        <v>4.4110750000000004E-2</v>
      </c>
      <c r="AO336" s="35">
        <v>0.17644300000000002</v>
      </c>
      <c r="AP336" s="35">
        <v>0.35288600000000003</v>
      </c>
      <c r="AQ336" s="84">
        <v>0.44110750000000004</v>
      </c>
      <c r="AR336" s="46">
        <v>19276</v>
      </c>
      <c r="AS336" s="46" t="s">
        <v>158</v>
      </c>
      <c r="AT336" s="46">
        <v>100</v>
      </c>
      <c r="AU336" s="44">
        <v>-1</v>
      </c>
      <c r="AV336" s="48">
        <v>-1</v>
      </c>
      <c r="AW336" s="48">
        <v>-1</v>
      </c>
      <c r="AX336" s="48">
        <v>-1</v>
      </c>
      <c r="AY336" s="48">
        <v>-1</v>
      </c>
      <c r="AZ336" s="45">
        <v>2</v>
      </c>
      <c r="BA336" s="45">
        <v>57</v>
      </c>
      <c r="BB336" s="35">
        <v>0.3</v>
      </c>
      <c r="BC336" s="53">
        <v>-1</v>
      </c>
      <c r="BD336" s="53">
        <v>-1</v>
      </c>
      <c r="BE336" s="53">
        <v>-1</v>
      </c>
      <c r="BF336" s="53">
        <v>40</v>
      </c>
      <c r="BG336" s="53">
        <v>-1</v>
      </c>
      <c r="BH336" s="53">
        <v>-1</v>
      </c>
      <c r="BI336" s="45">
        <v>60</v>
      </c>
      <c r="BJ336" s="28">
        <v>-1</v>
      </c>
      <c r="BK336" s="48">
        <v>-1</v>
      </c>
      <c r="BL336" s="48">
        <v>-1</v>
      </c>
      <c r="BM336" s="48">
        <v>-1</v>
      </c>
      <c r="BN336" s="48">
        <v>-1</v>
      </c>
      <c r="BO336" s="48">
        <v>-1</v>
      </c>
    </row>
    <row r="337" spans="1:67" s="50" customFormat="1" ht="15" customHeight="1" x14ac:dyDescent="0.25">
      <c r="A337" s="50">
        <v>336</v>
      </c>
      <c r="B337" s="36">
        <v>13025</v>
      </c>
      <c r="C337" s="46">
        <v>13025</v>
      </c>
      <c r="D337" s="22" t="s">
        <v>163</v>
      </c>
      <c r="E337" s="38" t="s">
        <v>437</v>
      </c>
      <c r="F337" s="39">
        <v>2.8319200000000002</v>
      </c>
      <c r="G337" s="45">
        <v>3</v>
      </c>
      <c r="H337" s="45">
        <v>4</v>
      </c>
      <c r="I337" s="36">
        <v>25.267880577427821</v>
      </c>
      <c r="J337" s="45">
        <v>2</v>
      </c>
      <c r="K337" s="45">
        <v>16</v>
      </c>
      <c r="L337" s="36">
        <v>19276</v>
      </c>
      <c r="M337" s="36" t="s">
        <v>158</v>
      </c>
      <c r="N337" s="36">
        <v>100</v>
      </c>
      <c r="O337" s="36">
        <v>-1</v>
      </c>
      <c r="P337" s="36">
        <v>-1</v>
      </c>
      <c r="Q337" s="36">
        <v>-1</v>
      </c>
      <c r="R337" s="36">
        <v>-1</v>
      </c>
      <c r="S337" s="36">
        <v>-1</v>
      </c>
      <c r="T337" s="36">
        <v>-1</v>
      </c>
      <c r="U337" s="36">
        <v>-1</v>
      </c>
      <c r="V337" s="36">
        <v>-1</v>
      </c>
      <c r="W337" s="36">
        <v>1</v>
      </c>
      <c r="X337" s="102">
        <v>4</v>
      </c>
      <c r="Y337" s="29">
        <v>17.168080000000003</v>
      </c>
      <c r="Z337" s="45">
        <v>4</v>
      </c>
      <c r="AA337" s="36">
        <v>95</v>
      </c>
      <c r="AB337" s="50">
        <v>26417</v>
      </c>
      <c r="AC337" s="50" t="s">
        <v>147</v>
      </c>
      <c r="AD337" s="50">
        <v>100</v>
      </c>
      <c r="AE337" s="42">
        <v>60</v>
      </c>
      <c r="AF337" s="43">
        <v>0.5</v>
      </c>
      <c r="AG337" s="45">
        <v>0</v>
      </c>
      <c r="AH337" s="35">
        <v>0.41399999999999998</v>
      </c>
      <c r="AI337" s="50">
        <v>21711</v>
      </c>
      <c r="AJ337" s="50" t="s">
        <v>425</v>
      </c>
      <c r="AK337" s="50">
        <v>100</v>
      </c>
      <c r="AL337" s="34">
        <v>0.141596</v>
      </c>
      <c r="AM337" s="43">
        <v>6</v>
      </c>
      <c r="AN337" s="35">
        <v>7.0798000000000015E-3</v>
      </c>
      <c r="AO337" s="35">
        <v>2.8319200000000006E-2</v>
      </c>
      <c r="AP337" s="35">
        <v>5.6638400000000012E-2</v>
      </c>
      <c r="AQ337" s="84">
        <v>7.0798E-2</v>
      </c>
      <c r="AR337" s="46">
        <v>19276</v>
      </c>
      <c r="AS337" s="46" t="s">
        <v>158</v>
      </c>
      <c r="AT337" s="46">
        <v>100</v>
      </c>
      <c r="AU337" s="44">
        <v>-1</v>
      </c>
      <c r="AV337" s="48">
        <v>-1</v>
      </c>
      <c r="AW337" s="48">
        <v>-1</v>
      </c>
      <c r="AX337" s="48">
        <v>-1</v>
      </c>
      <c r="AY337" s="48">
        <v>-1</v>
      </c>
      <c r="AZ337" s="45">
        <v>2</v>
      </c>
      <c r="BA337" s="45">
        <v>42</v>
      </c>
      <c r="BB337" s="35">
        <v>0.3</v>
      </c>
      <c r="BC337" s="53">
        <v>-1</v>
      </c>
      <c r="BD337" s="53">
        <v>-1</v>
      </c>
      <c r="BE337" s="53">
        <v>-1</v>
      </c>
      <c r="BF337" s="53">
        <v>40</v>
      </c>
      <c r="BG337" s="53">
        <v>-1</v>
      </c>
      <c r="BH337" s="53">
        <v>-1</v>
      </c>
      <c r="BI337" s="45">
        <v>60</v>
      </c>
      <c r="BJ337" s="28">
        <v>-1</v>
      </c>
      <c r="BK337" s="48">
        <v>-1</v>
      </c>
      <c r="BL337" s="48">
        <v>-1</v>
      </c>
      <c r="BM337" s="48">
        <v>-1</v>
      </c>
      <c r="BN337" s="48">
        <v>-1</v>
      </c>
      <c r="BO337" s="48">
        <v>-1</v>
      </c>
    </row>
    <row r="338" spans="1:67" s="50" customFormat="1" ht="15" customHeight="1" x14ac:dyDescent="0.25">
      <c r="A338" s="50">
        <v>337</v>
      </c>
      <c r="B338" s="36">
        <v>13026</v>
      </c>
      <c r="C338" s="36">
        <v>13026</v>
      </c>
      <c r="D338" s="22" t="s">
        <v>163</v>
      </c>
      <c r="E338" s="38" t="s">
        <v>430</v>
      </c>
      <c r="F338" s="39">
        <v>-1</v>
      </c>
      <c r="G338" s="36">
        <v>-1</v>
      </c>
      <c r="H338" s="36">
        <v>-1</v>
      </c>
      <c r="I338" s="36">
        <v>-1</v>
      </c>
      <c r="J338" s="36">
        <v>-1</v>
      </c>
      <c r="K338" s="36">
        <v>-1</v>
      </c>
      <c r="L338" s="36">
        <v>-1</v>
      </c>
      <c r="M338" s="36">
        <v>-1</v>
      </c>
      <c r="N338" s="36">
        <v>-1</v>
      </c>
      <c r="O338" s="36">
        <v>-1</v>
      </c>
      <c r="P338" s="36">
        <v>-1</v>
      </c>
      <c r="Q338" s="36">
        <v>-1</v>
      </c>
      <c r="R338" s="36">
        <v>-1</v>
      </c>
      <c r="S338" s="36">
        <v>-1</v>
      </c>
      <c r="T338" s="36">
        <v>-1</v>
      </c>
      <c r="U338" s="36">
        <v>-1</v>
      </c>
      <c r="V338" s="36">
        <v>-1</v>
      </c>
      <c r="W338" s="36">
        <v>-1</v>
      </c>
      <c r="X338" s="102">
        <v>-1</v>
      </c>
      <c r="Y338" s="29">
        <v>10</v>
      </c>
      <c r="Z338" s="47">
        <v>4</v>
      </c>
      <c r="AA338" s="46">
        <v>50</v>
      </c>
      <c r="AB338" s="50">
        <v>26417</v>
      </c>
      <c r="AC338" s="50" t="s">
        <v>147</v>
      </c>
      <c r="AD338" s="50">
        <v>100</v>
      </c>
      <c r="AE338" s="42">
        <v>60</v>
      </c>
      <c r="AF338" s="43">
        <v>0.5</v>
      </c>
      <c r="AG338" s="36">
        <v>0</v>
      </c>
      <c r="AH338" s="35">
        <v>0.10200000000000001</v>
      </c>
      <c r="AI338" s="58">
        <v>26857</v>
      </c>
      <c r="AJ338" s="47" t="s">
        <v>415</v>
      </c>
      <c r="AK338" s="58">
        <v>100</v>
      </c>
      <c r="AL338" s="34">
        <v>1</v>
      </c>
      <c r="AM338" s="43">
        <v>0.25</v>
      </c>
      <c r="AN338" s="35">
        <v>6.1538461538461542E-2</v>
      </c>
      <c r="AO338" s="35">
        <v>0.12307692307692308</v>
      </c>
      <c r="AP338" s="35">
        <v>0</v>
      </c>
      <c r="AQ338" s="84">
        <v>0</v>
      </c>
      <c r="AR338" s="46">
        <v>26417</v>
      </c>
      <c r="AS338" s="46" t="s">
        <v>147</v>
      </c>
      <c r="AT338" s="46">
        <v>100</v>
      </c>
      <c r="AU338" s="44">
        <v>-1</v>
      </c>
      <c r="AV338" s="48">
        <v>-1</v>
      </c>
      <c r="AW338" s="48">
        <v>-1</v>
      </c>
      <c r="AX338" s="48">
        <v>-1</v>
      </c>
      <c r="AY338" s="48">
        <v>-1</v>
      </c>
      <c r="AZ338" s="45">
        <v>2</v>
      </c>
      <c r="BA338" s="43">
        <v>49</v>
      </c>
      <c r="BB338" s="45">
        <v>0.3</v>
      </c>
      <c r="BC338" s="53">
        <v>-1</v>
      </c>
      <c r="BD338" s="53">
        <v>-1</v>
      </c>
      <c r="BE338" s="53">
        <v>-1</v>
      </c>
      <c r="BF338" s="53">
        <v>70</v>
      </c>
      <c r="BG338" s="53">
        <v>-1</v>
      </c>
      <c r="BH338" s="53">
        <v>-1</v>
      </c>
      <c r="BI338" s="45">
        <v>30</v>
      </c>
      <c r="BJ338" s="28">
        <v>-1</v>
      </c>
      <c r="BK338" s="48">
        <v>-1</v>
      </c>
      <c r="BL338" s="48">
        <v>-1</v>
      </c>
      <c r="BM338" s="48">
        <v>-1</v>
      </c>
      <c r="BN338" s="48">
        <v>-1</v>
      </c>
      <c r="BO338" s="48">
        <v>-1</v>
      </c>
    </row>
    <row r="339" spans="1:67" s="50" customFormat="1" ht="15" customHeight="1" x14ac:dyDescent="0.25">
      <c r="A339" s="50">
        <v>338</v>
      </c>
      <c r="B339" s="36">
        <v>13030</v>
      </c>
      <c r="C339" s="36">
        <v>13030</v>
      </c>
      <c r="D339" s="22" t="s">
        <v>163</v>
      </c>
      <c r="E339" s="39" t="s">
        <v>461</v>
      </c>
      <c r="F339" s="39">
        <v>2.1448299999999998</v>
      </c>
      <c r="G339" s="36">
        <v>2.1448299999999998</v>
      </c>
      <c r="H339" s="36">
        <v>3.2172449999999997</v>
      </c>
      <c r="I339" s="36">
        <v>29.176837270341206</v>
      </c>
      <c r="J339" s="36">
        <v>2.6524397518492004</v>
      </c>
      <c r="K339" s="36">
        <v>18.567078262944406</v>
      </c>
      <c r="L339" s="36">
        <v>19276</v>
      </c>
      <c r="M339" s="36" t="s">
        <v>158</v>
      </c>
      <c r="N339" s="36">
        <v>100</v>
      </c>
      <c r="O339" s="36">
        <v>-1</v>
      </c>
      <c r="P339" s="36">
        <v>-1</v>
      </c>
      <c r="Q339" s="36">
        <v>-1</v>
      </c>
      <c r="R339" s="36">
        <v>-1</v>
      </c>
      <c r="S339" s="36">
        <v>-1</v>
      </c>
      <c r="T339" s="36">
        <v>-1</v>
      </c>
      <c r="U339" s="36">
        <v>-1</v>
      </c>
      <c r="V339" s="36">
        <v>-1</v>
      </c>
      <c r="W339" s="36">
        <v>1</v>
      </c>
      <c r="X339" s="102">
        <v>4</v>
      </c>
      <c r="Y339" s="29">
        <v>37.855170000000001</v>
      </c>
      <c r="Z339" s="47">
        <v>4</v>
      </c>
      <c r="AA339" s="46">
        <v>95</v>
      </c>
      <c r="AB339" s="50">
        <v>26417</v>
      </c>
      <c r="AC339" s="50" t="s">
        <v>147</v>
      </c>
      <c r="AD339" s="50">
        <v>100</v>
      </c>
      <c r="AE339" s="42">
        <v>30</v>
      </c>
      <c r="AF339" s="43">
        <v>0.5</v>
      </c>
      <c r="AG339" s="36">
        <v>0</v>
      </c>
      <c r="AH339" s="35">
        <v>5.1000000000000004E-2</v>
      </c>
      <c r="AI339" s="50">
        <v>42236</v>
      </c>
      <c r="AJ339" s="50" t="s">
        <v>207</v>
      </c>
      <c r="AK339" s="50">
        <v>100</v>
      </c>
      <c r="AL339" s="34">
        <v>0.10724149999999999</v>
      </c>
      <c r="AM339" s="43">
        <v>6</v>
      </c>
      <c r="AN339" s="35">
        <v>5.3620749999999991E-3</v>
      </c>
      <c r="AO339" s="35">
        <v>2.1448299999999997E-2</v>
      </c>
      <c r="AP339" s="35">
        <v>4.2896599999999993E-2</v>
      </c>
      <c r="AQ339" s="83">
        <v>5.3620749999999995E-2</v>
      </c>
      <c r="AR339" s="46">
        <v>19276</v>
      </c>
      <c r="AS339" s="46" t="s">
        <v>158</v>
      </c>
      <c r="AT339" s="46">
        <v>100</v>
      </c>
      <c r="AU339" s="44">
        <v>-1</v>
      </c>
      <c r="AV339" s="48">
        <v>-1</v>
      </c>
      <c r="AW339" s="48">
        <v>-1</v>
      </c>
      <c r="AX339" s="48">
        <v>-1</v>
      </c>
      <c r="AY339" s="48">
        <v>-1</v>
      </c>
      <c r="AZ339" s="45">
        <v>1</v>
      </c>
      <c r="BA339" s="36">
        <v>21.644829999999999</v>
      </c>
      <c r="BB339" s="43">
        <v>0.3</v>
      </c>
      <c r="BC339" s="53">
        <v>-1</v>
      </c>
      <c r="BD339" s="53">
        <v>-1</v>
      </c>
      <c r="BE339" s="53">
        <v>-1</v>
      </c>
      <c r="BF339" s="53">
        <v>70</v>
      </c>
      <c r="BG339" s="53">
        <v>-1</v>
      </c>
      <c r="BH339" s="53">
        <v>-1</v>
      </c>
      <c r="BI339" s="45">
        <v>30</v>
      </c>
      <c r="BJ339" s="28">
        <v>-1</v>
      </c>
      <c r="BK339" s="48">
        <v>-1</v>
      </c>
      <c r="BL339" s="48">
        <v>-1</v>
      </c>
      <c r="BM339" s="48">
        <v>-1</v>
      </c>
      <c r="BN339" s="48">
        <v>-1</v>
      </c>
      <c r="BO339" s="48">
        <v>-1</v>
      </c>
    </row>
    <row r="340" spans="1:67" s="50" customFormat="1" ht="15" customHeight="1" x14ac:dyDescent="0.25">
      <c r="A340" s="50">
        <v>339</v>
      </c>
      <c r="B340" s="36">
        <v>13032</v>
      </c>
      <c r="C340" s="46">
        <v>13032</v>
      </c>
      <c r="D340" s="22" t="s">
        <v>163</v>
      </c>
      <c r="E340" s="39" t="s">
        <v>462</v>
      </c>
      <c r="F340" s="39">
        <v>11.202400000000001</v>
      </c>
      <c r="G340" s="36">
        <v>11.202400000000001</v>
      </c>
      <c r="H340" s="36">
        <v>16.803599999999999</v>
      </c>
      <c r="I340" s="36">
        <v>31.235662729658792</v>
      </c>
      <c r="J340" s="36">
        <v>2.8396057026962538</v>
      </c>
      <c r="K340" s="36">
        <v>19.877239918873777</v>
      </c>
      <c r="L340" s="36">
        <v>19276</v>
      </c>
      <c r="M340" s="36" t="s">
        <v>158</v>
      </c>
      <c r="N340" s="36">
        <v>100</v>
      </c>
      <c r="O340" s="36">
        <v>-1</v>
      </c>
      <c r="P340" s="36">
        <v>-1</v>
      </c>
      <c r="Q340" s="36">
        <v>-1</v>
      </c>
      <c r="R340" s="36">
        <v>-1</v>
      </c>
      <c r="S340" s="36">
        <v>-1</v>
      </c>
      <c r="T340" s="36">
        <v>-1</v>
      </c>
      <c r="U340" s="36">
        <v>-1</v>
      </c>
      <c r="V340" s="36">
        <v>-1</v>
      </c>
      <c r="W340" s="36">
        <v>1</v>
      </c>
      <c r="X340" s="102">
        <v>4</v>
      </c>
      <c r="Y340" s="29">
        <v>28.797600000000003</v>
      </c>
      <c r="Z340" s="47">
        <v>4</v>
      </c>
      <c r="AA340" s="46">
        <v>95</v>
      </c>
      <c r="AB340" s="50">
        <v>26417</v>
      </c>
      <c r="AC340" s="50" t="s">
        <v>147</v>
      </c>
      <c r="AD340" s="50">
        <v>100</v>
      </c>
      <c r="AE340" s="42">
        <v>30</v>
      </c>
      <c r="AF340" s="43">
        <v>0.5</v>
      </c>
      <c r="AG340" s="36">
        <v>0</v>
      </c>
      <c r="AH340" s="35">
        <v>0.14399999999999999</v>
      </c>
      <c r="AI340" s="50">
        <v>42269</v>
      </c>
      <c r="AJ340" s="50" t="s">
        <v>206</v>
      </c>
      <c r="AK340" s="50">
        <v>100</v>
      </c>
      <c r="AL340" s="34">
        <v>0.56012000000000006</v>
      </c>
      <c r="AM340" s="43">
        <v>6</v>
      </c>
      <c r="AN340" s="35">
        <v>2.8006000000000003E-2</v>
      </c>
      <c r="AO340" s="35">
        <v>0.11202400000000001</v>
      </c>
      <c r="AP340" s="35">
        <v>0.22404800000000002</v>
      </c>
      <c r="AQ340" s="83">
        <v>0.28006000000000003</v>
      </c>
      <c r="AR340" s="46">
        <v>19276</v>
      </c>
      <c r="AS340" s="46" t="s">
        <v>158</v>
      </c>
      <c r="AT340" s="46">
        <v>100</v>
      </c>
      <c r="AU340" s="44">
        <v>-1</v>
      </c>
      <c r="AV340" s="48">
        <v>-1</v>
      </c>
      <c r="AW340" s="48">
        <v>-1</v>
      </c>
      <c r="AX340" s="48">
        <v>-1</v>
      </c>
      <c r="AY340" s="48">
        <v>-1</v>
      </c>
      <c r="AZ340" s="45">
        <v>1</v>
      </c>
      <c r="BA340" s="36">
        <v>30.702400000000001</v>
      </c>
      <c r="BB340" s="43">
        <v>0.3</v>
      </c>
      <c r="BC340" s="53">
        <v>-1</v>
      </c>
      <c r="BD340" s="53">
        <v>-1</v>
      </c>
      <c r="BE340" s="53">
        <v>-1</v>
      </c>
      <c r="BF340" s="53">
        <v>70</v>
      </c>
      <c r="BG340" s="53">
        <v>-1</v>
      </c>
      <c r="BH340" s="53">
        <v>-1</v>
      </c>
      <c r="BI340" s="45">
        <v>30</v>
      </c>
      <c r="BJ340" s="28">
        <v>-1</v>
      </c>
      <c r="BK340" s="48">
        <v>-1</v>
      </c>
      <c r="BL340" s="48">
        <v>-1</v>
      </c>
      <c r="BM340" s="48">
        <v>-1</v>
      </c>
      <c r="BN340" s="48">
        <v>-1</v>
      </c>
      <c r="BO340" s="48">
        <v>-1</v>
      </c>
    </row>
    <row r="341" spans="1:67" s="50" customFormat="1" ht="15" customHeight="1" x14ac:dyDescent="0.25">
      <c r="A341" s="50">
        <v>340</v>
      </c>
      <c r="B341" s="36">
        <v>13034</v>
      </c>
      <c r="C341" s="46">
        <v>13034</v>
      </c>
      <c r="D341" s="22" t="s">
        <v>163</v>
      </c>
      <c r="E341" s="33" t="s">
        <v>471</v>
      </c>
      <c r="F341" s="39">
        <v>1.2860199999999999</v>
      </c>
      <c r="G341" s="36">
        <v>1.2860199999999999</v>
      </c>
      <c r="H341" s="36">
        <v>1.9290299999999998</v>
      </c>
      <c r="I341" s="36">
        <v>18.759055118110236</v>
      </c>
      <c r="J341" s="36">
        <v>1.7053686471009306</v>
      </c>
      <c r="K341" s="36">
        <v>11.937580529706514</v>
      </c>
      <c r="L341" s="36">
        <v>19276</v>
      </c>
      <c r="M341" s="36" t="s">
        <v>158</v>
      </c>
      <c r="N341" s="36">
        <v>100</v>
      </c>
      <c r="O341" s="36">
        <v>-1</v>
      </c>
      <c r="P341" s="36">
        <v>-1</v>
      </c>
      <c r="Q341" s="36">
        <v>-1</v>
      </c>
      <c r="R341" s="36">
        <v>-1</v>
      </c>
      <c r="S341" s="36">
        <v>-1</v>
      </c>
      <c r="T341" s="36">
        <v>-1</v>
      </c>
      <c r="U341" s="36">
        <v>-1</v>
      </c>
      <c r="V341" s="36">
        <v>-1</v>
      </c>
      <c r="W341" s="36">
        <v>1</v>
      </c>
      <c r="X341" s="102">
        <v>4</v>
      </c>
      <c r="Y341" s="29">
        <v>38.713980000000006</v>
      </c>
      <c r="Z341" s="47">
        <v>4</v>
      </c>
      <c r="AA341" s="46">
        <v>95</v>
      </c>
      <c r="AB341" s="50">
        <v>26417</v>
      </c>
      <c r="AC341" s="50" t="s">
        <v>147</v>
      </c>
      <c r="AD341" s="50">
        <v>100</v>
      </c>
      <c r="AE341" s="42">
        <v>30</v>
      </c>
      <c r="AF341" s="43">
        <v>0.5</v>
      </c>
      <c r="AG341" s="36">
        <v>0</v>
      </c>
      <c r="AH341" s="35">
        <v>0.14399999999999999</v>
      </c>
      <c r="AI341" s="50">
        <v>42013</v>
      </c>
      <c r="AJ341" s="50" t="s">
        <v>423</v>
      </c>
      <c r="AK341" s="58">
        <v>100</v>
      </c>
      <c r="AL341" s="34">
        <v>6.4300999999999997E-2</v>
      </c>
      <c r="AM341" s="43">
        <v>6</v>
      </c>
      <c r="AN341" s="35">
        <v>3.2150499999999997E-3</v>
      </c>
      <c r="AO341" s="35">
        <v>1.2860199999999999E-2</v>
      </c>
      <c r="AP341" s="35">
        <v>2.5720399999999997E-2</v>
      </c>
      <c r="AQ341" s="83">
        <v>3.2150499999999999E-2</v>
      </c>
      <c r="AR341" s="46">
        <v>19276</v>
      </c>
      <c r="AS341" s="46" t="s">
        <v>158</v>
      </c>
      <c r="AT341" s="46">
        <v>100</v>
      </c>
      <c r="AU341" s="44">
        <v>-1</v>
      </c>
      <c r="AV341" s="48">
        <v>-1</v>
      </c>
      <c r="AW341" s="48">
        <v>-1</v>
      </c>
      <c r="AX341" s="48">
        <v>-1</v>
      </c>
      <c r="AY341" s="48">
        <v>-1</v>
      </c>
      <c r="AZ341" s="45">
        <v>1</v>
      </c>
      <c r="BA341" s="36">
        <v>20.786020000000001</v>
      </c>
      <c r="BB341" s="43">
        <v>0.3</v>
      </c>
      <c r="BC341" s="53">
        <v>-1</v>
      </c>
      <c r="BD341" s="53">
        <v>-1</v>
      </c>
      <c r="BE341" s="53">
        <v>-1</v>
      </c>
      <c r="BF341" s="53">
        <v>70</v>
      </c>
      <c r="BG341" s="53">
        <v>-1</v>
      </c>
      <c r="BH341" s="53">
        <v>-1</v>
      </c>
      <c r="BI341" s="45">
        <v>30</v>
      </c>
      <c r="BJ341" s="28">
        <v>-1</v>
      </c>
      <c r="BK341" s="48">
        <v>-1</v>
      </c>
      <c r="BL341" s="48">
        <v>-1</v>
      </c>
      <c r="BM341" s="48">
        <v>-1</v>
      </c>
      <c r="BN341" s="48">
        <v>-1</v>
      </c>
      <c r="BO341" s="48">
        <v>-1</v>
      </c>
    </row>
    <row r="342" spans="1:67" s="50" customFormat="1" ht="15" customHeight="1" x14ac:dyDescent="0.25">
      <c r="A342" s="50">
        <v>341</v>
      </c>
      <c r="B342" s="36">
        <v>13035</v>
      </c>
      <c r="C342" s="46">
        <v>13035</v>
      </c>
      <c r="D342" s="22" t="s">
        <v>163</v>
      </c>
      <c r="E342" s="33" t="s">
        <v>470</v>
      </c>
      <c r="F342" s="39">
        <v>1.67723</v>
      </c>
      <c r="G342" s="36">
        <v>1.67723</v>
      </c>
      <c r="H342" s="36">
        <v>2.5158449999999997</v>
      </c>
      <c r="I342" s="36">
        <v>27.719389763779525</v>
      </c>
      <c r="J342" s="36">
        <v>2.5199445239799569</v>
      </c>
      <c r="K342" s="36">
        <v>17.639611667859697</v>
      </c>
      <c r="L342" s="36">
        <v>19276</v>
      </c>
      <c r="M342" s="36" t="s">
        <v>158</v>
      </c>
      <c r="N342" s="36">
        <v>100</v>
      </c>
      <c r="O342" s="36">
        <v>-1</v>
      </c>
      <c r="P342" s="36">
        <v>-1</v>
      </c>
      <c r="Q342" s="36">
        <v>-1</v>
      </c>
      <c r="R342" s="36">
        <v>-1</v>
      </c>
      <c r="S342" s="36">
        <v>-1</v>
      </c>
      <c r="T342" s="36">
        <v>-1</v>
      </c>
      <c r="U342" s="36">
        <v>-1</v>
      </c>
      <c r="V342" s="36">
        <v>-1</v>
      </c>
      <c r="W342" s="36">
        <v>1</v>
      </c>
      <c r="X342" s="102">
        <v>4</v>
      </c>
      <c r="Y342" s="29">
        <v>38.322770000000006</v>
      </c>
      <c r="Z342" s="47">
        <v>4</v>
      </c>
      <c r="AA342" s="46">
        <v>95</v>
      </c>
      <c r="AB342" s="50">
        <v>26417</v>
      </c>
      <c r="AC342" s="50" t="s">
        <v>147</v>
      </c>
      <c r="AD342" s="50">
        <v>100</v>
      </c>
      <c r="AE342" s="42">
        <v>30</v>
      </c>
      <c r="AF342" s="43">
        <v>0.5</v>
      </c>
      <c r="AG342" s="36">
        <v>0</v>
      </c>
      <c r="AH342" s="35">
        <v>0.20699999999999999</v>
      </c>
      <c r="AI342" s="50">
        <v>21711</v>
      </c>
      <c r="AJ342" s="50" t="s">
        <v>425</v>
      </c>
      <c r="AK342" s="50">
        <v>100</v>
      </c>
      <c r="AL342" s="34">
        <v>8.3861500000000005E-2</v>
      </c>
      <c r="AM342" s="43">
        <v>6</v>
      </c>
      <c r="AN342" s="35">
        <v>4.1930750000000001E-3</v>
      </c>
      <c r="AO342" s="35">
        <v>1.67723E-2</v>
      </c>
      <c r="AP342" s="35">
        <v>3.3544600000000001E-2</v>
      </c>
      <c r="AQ342" s="83">
        <v>4.1930750000000003E-2</v>
      </c>
      <c r="AR342" s="46">
        <v>19276</v>
      </c>
      <c r="AS342" s="46" t="s">
        <v>158</v>
      </c>
      <c r="AT342" s="46">
        <v>100</v>
      </c>
      <c r="AU342" s="44">
        <v>-1</v>
      </c>
      <c r="AV342" s="48">
        <v>-1</v>
      </c>
      <c r="AW342" s="48">
        <v>-1</v>
      </c>
      <c r="AX342" s="48">
        <v>-1</v>
      </c>
      <c r="AY342" s="48">
        <v>-1</v>
      </c>
      <c r="AZ342" s="45">
        <v>1</v>
      </c>
      <c r="BA342" s="36">
        <v>21.177230000000002</v>
      </c>
      <c r="BB342" s="43">
        <v>0.3</v>
      </c>
      <c r="BC342" s="53">
        <v>-1</v>
      </c>
      <c r="BD342" s="53">
        <v>-1</v>
      </c>
      <c r="BE342" s="53">
        <v>-1</v>
      </c>
      <c r="BF342" s="53">
        <v>70</v>
      </c>
      <c r="BG342" s="53">
        <v>-1</v>
      </c>
      <c r="BH342" s="53">
        <v>-1</v>
      </c>
      <c r="BI342" s="45">
        <v>30</v>
      </c>
      <c r="BJ342" s="28">
        <v>-1</v>
      </c>
      <c r="BK342" s="48">
        <v>-1</v>
      </c>
      <c r="BL342" s="48">
        <v>-1</v>
      </c>
      <c r="BM342" s="48">
        <v>-1</v>
      </c>
      <c r="BN342" s="48">
        <v>-1</v>
      </c>
      <c r="BO342" s="48">
        <v>-1</v>
      </c>
    </row>
    <row r="343" spans="1:67" s="50" customFormat="1" ht="15" customHeight="1" x14ac:dyDescent="0.25">
      <c r="A343" s="50">
        <v>342</v>
      </c>
      <c r="B343" s="36">
        <v>13036</v>
      </c>
      <c r="C343" s="36">
        <v>13036</v>
      </c>
      <c r="D343" s="22" t="s">
        <v>163</v>
      </c>
      <c r="E343" s="39" t="s">
        <v>465</v>
      </c>
      <c r="F343" s="39">
        <v>-1</v>
      </c>
      <c r="G343" s="36">
        <v>-1</v>
      </c>
      <c r="H343" s="36">
        <v>-1</v>
      </c>
      <c r="I343" s="36">
        <v>-1</v>
      </c>
      <c r="J343" s="36">
        <v>-1</v>
      </c>
      <c r="K343" s="36">
        <v>-1</v>
      </c>
      <c r="L343" s="36">
        <v>-1</v>
      </c>
      <c r="M343" s="36">
        <v>-1</v>
      </c>
      <c r="N343" s="36">
        <v>-1</v>
      </c>
      <c r="O343" s="36">
        <v>-1</v>
      </c>
      <c r="P343" s="36">
        <v>-1</v>
      </c>
      <c r="Q343" s="36">
        <v>-1</v>
      </c>
      <c r="R343" s="36">
        <v>-1</v>
      </c>
      <c r="S343" s="36">
        <v>-1</v>
      </c>
      <c r="T343" s="36">
        <v>-1</v>
      </c>
      <c r="U343" s="36">
        <v>-1</v>
      </c>
      <c r="V343" s="36">
        <v>-1</v>
      </c>
      <c r="W343" s="36">
        <v>-1</v>
      </c>
      <c r="X343" s="102">
        <v>-1</v>
      </c>
      <c r="Y343" s="29">
        <v>40</v>
      </c>
      <c r="Z343" s="45">
        <v>3.6</v>
      </c>
      <c r="AA343" s="45">
        <v>50</v>
      </c>
      <c r="AB343" s="46">
        <v>26417</v>
      </c>
      <c r="AC343" s="46" t="s">
        <v>147</v>
      </c>
      <c r="AD343" s="46">
        <v>100</v>
      </c>
      <c r="AE343" s="42">
        <v>30</v>
      </c>
      <c r="AF343" s="43">
        <v>0.5</v>
      </c>
      <c r="AG343" s="45">
        <v>0</v>
      </c>
      <c r="AH343" s="35">
        <v>5.1000000000000004E-2</v>
      </c>
      <c r="AI343" s="58">
        <v>26857</v>
      </c>
      <c r="AJ343" s="47" t="s">
        <v>415</v>
      </c>
      <c r="AK343" s="58">
        <v>100</v>
      </c>
      <c r="AL343" s="34">
        <v>5</v>
      </c>
      <c r="AM343" s="43">
        <v>0.25</v>
      </c>
      <c r="AN343" s="35">
        <v>0.24615384615384617</v>
      </c>
      <c r="AO343" s="35">
        <v>0.49230769230769234</v>
      </c>
      <c r="AP343" s="35">
        <v>0</v>
      </c>
      <c r="AQ343" s="84">
        <v>0</v>
      </c>
      <c r="AR343" s="46">
        <v>26417</v>
      </c>
      <c r="AS343" s="46" t="s">
        <v>147</v>
      </c>
      <c r="AT343" s="46">
        <v>100</v>
      </c>
      <c r="AU343" s="44">
        <v>-1</v>
      </c>
      <c r="AV343" s="48">
        <v>-1</v>
      </c>
      <c r="AW343" s="48">
        <v>-1</v>
      </c>
      <c r="AX343" s="48">
        <v>-1</v>
      </c>
      <c r="AY343" s="48">
        <v>-1</v>
      </c>
      <c r="AZ343" s="45">
        <v>1</v>
      </c>
      <c r="BA343" s="36">
        <v>40</v>
      </c>
      <c r="BB343" s="43">
        <v>0.3</v>
      </c>
      <c r="BC343" s="53">
        <v>-1</v>
      </c>
      <c r="BD343" s="53">
        <v>-1</v>
      </c>
      <c r="BE343" s="53">
        <v>-1</v>
      </c>
      <c r="BF343" s="53">
        <v>70</v>
      </c>
      <c r="BG343" s="53">
        <v>-1</v>
      </c>
      <c r="BH343" s="53">
        <v>-1</v>
      </c>
      <c r="BI343" s="45">
        <v>30</v>
      </c>
      <c r="BJ343" s="28">
        <v>-1</v>
      </c>
      <c r="BK343" s="48">
        <v>-1</v>
      </c>
      <c r="BL343" s="48">
        <v>-1</v>
      </c>
      <c r="BM343" s="48">
        <v>-1</v>
      </c>
      <c r="BN343" s="48">
        <v>-1</v>
      </c>
      <c r="BO343" s="48">
        <v>-1</v>
      </c>
    </row>
    <row r="344" spans="1:67" s="50" customFormat="1" ht="15" customHeight="1" x14ac:dyDescent="0.25">
      <c r="A344" s="50">
        <v>343</v>
      </c>
      <c r="B344" s="36">
        <v>13037</v>
      </c>
      <c r="C344" s="46">
        <v>13037</v>
      </c>
      <c r="D344" s="22" t="s">
        <v>163</v>
      </c>
      <c r="E344" s="39" t="s">
        <v>466</v>
      </c>
      <c r="F344" s="39">
        <v>7.7488799999999998</v>
      </c>
      <c r="G344" s="36">
        <v>7.7488799999999998</v>
      </c>
      <c r="H344" s="36">
        <v>11.62332</v>
      </c>
      <c r="I344" s="36">
        <v>32.47349081364829</v>
      </c>
      <c r="J344" s="36">
        <v>2.9521355285134807</v>
      </c>
      <c r="K344" s="36">
        <v>20.664948699594365</v>
      </c>
      <c r="L344" s="36">
        <v>19276</v>
      </c>
      <c r="M344" s="36" t="s">
        <v>158</v>
      </c>
      <c r="N344" s="36">
        <v>100</v>
      </c>
      <c r="O344" s="36">
        <v>-1</v>
      </c>
      <c r="P344" s="36">
        <v>-1</v>
      </c>
      <c r="Q344" s="36">
        <v>-1</v>
      </c>
      <c r="R344" s="36">
        <v>-1</v>
      </c>
      <c r="S344" s="36">
        <v>-1</v>
      </c>
      <c r="T344" s="36">
        <v>-1</v>
      </c>
      <c r="U344" s="36">
        <v>-1</v>
      </c>
      <c r="V344" s="36">
        <v>-1</v>
      </c>
      <c r="W344" s="36">
        <v>1</v>
      </c>
      <c r="X344" s="102">
        <v>4</v>
      </c>
      <c r="Y344" s="29">
        <v>32.25112</v>
      </c>
      <c r="Z344" s="47">
        <v>4</v>
      </c>
      <c r="AA344" s="46">
        <v>95</v>
      </c>
      <c r="AB344" s="50">
        <v>26417</v>
      </c>
      <c r="AC344" s="50" t="s">
        <v>147</v>
      </c>
      <c r="AD344" s="50">
        <v>100</v>
      </c>
      <c r="AE344" s="42">
        <v>30</v>
      </c>
      <c r="AF344" s="43">
        <v>0.5</v>
      </c>
      <c r="AG344" s="36">
        <v>0</v>
      </c>
      <c r="AH344" s="35">
        <v>0</v>
      </c>
      <c r="AI344" s="50">
        <v>505272</v>
      </c>
      <c r="AJ344" s="47" t="s">
        <v>417</v>
      </c>
      <c r="AK344" s="50">
        <v>100</v>
      </c>
      <c r="AL344" s="34">
        <v>0.38744400000000001</v>
      </c>
      <c r="AM344" s="43">
        <v>6</v>
      </c>
      <c r="AN344" s="35">
        <v>1.9372199999999999E-2</v>
      </c>
      <c r="AO344" s="35">
        <v>7.7488799999999997E-2</v>
      </c>
      <c r="AP344" s="35">
        <v>0.15497759999999999</v>
      </c>
      <c r="AQ344" s="83">
        <v>0.19372200000000001</v>
      </c>
      <c r="AR344" s="46">
        <v>19276</v>
      </c>
      <c r="AS344" s="46" t="s">
        <v>158</v>
      </c>
      <c r="AT344" s="46">
        <v>100</v>
      </c>
      <c r="AU344" s="44">
        <v>-1</v>
      </c>
      <c r="AV344" s="48">
        <v>-1</v>
      </c>
      <c r="AW344" s="48">
        <v>-1</v>
      </c>
      <c r="AX344" s="48">
        <v>-1</v>
      </c>
      <c r="AY344" s="48">
        <v>-1</v>
      </c>
      <c r="AZ344" s="45">
        <v>1</v>
      </c>
      <c r="BA344" s="36">
        <v>27.24888</v>
      </c>
      <c r="BB344" s="43">
        <v>0.3</v>
      </c>
      <c r="BC344" s="53">
        <v>-1</v>
      </c>
      <c r="BD344" s="53">
        <v>-1</v>
      </c>
      <c r="BE344" s="53">
        <v>-1</v>
      </c>
      <c r="BF344" s="53">
        <v>70</v>
      </c>
      <c r="BG344" s="53">
        <v>-1</v>
      </c>
      <c r="BH344" s="53">
        <v>-1</v>
      </c>
      <c r="BI344" s="45">
        <v>30</v>
      </c>
      <c r="BJ344" s="28">
        <v>-1</v>
      </c>
      <c r="BK344" s="48">
        <v>-1</v>
      </c>
      <c r="BL344" s="48">
        <v>-1</v>
      </c>
      <c r="BM344" s="48">
        <v>-1</v>
      </c>
      <c r="BN344" s="48">
        <v>-1</v>
      </c>
      <c r="BO344" s="48">
        <v>-1</v>
      </c>
    </row>
    <row r="345" spans="1:67" s="50" customFormat="1" ht="15" customHeight="1" x14ac:dyDescent="0.25">
      <c r="A345" s="50">
        <v>344</v>
      </c>
      <c r="B345" s="36">
        <v>13061</v>
      </c>
      <c r="C345" s="46">
        <v>13061</v>
      </c>
      <c r="D345" s="22" t="s">
        <v>163</v>
      </c>
      <c r="E345" s="11" t="s">
        <v>16</v>
      </c>
      <c r="F345" s="39">
        <v>22.4</v>
      </c>
      <c r="G345" s="36">
        <v>22.4</v>
      </c>
      <c r="H345" s="36">
        <v>33.6</v>
      </c>
      <c r="I345" s="36">
        <v>41.655183727034121</v>
      </c>
      <c r="J345" s="36">
        <v>3.7868348842758293</v>
      </c>
      <c r="K345" s="36">
        <v>26.507844189930804</v>
      </c>
      <c r="L345" s="36">
        <v>19276</v>
      </c>
      <c r="M345" s="36" t="s">
        <v>158</v>
      </c>
      <c r="N345" s="36">
        <v>100</v>
      </c>
      <c r="O345" s="36">
        <v>-1</v>
      </c>
      <c r="P345" s="36">
        <v>-1</v>
      </c>
      <c r="Q345" s="36">
        <v>-1</v>
      </c>
      <c r="R345" s="36">
        <v>-1</v>
      </c>
      <c r="S345" s="36">
        <v>-1</v>
      </c>
      <c r="T345" s="36">
        <v>-1</v>
      </c>
      <c r="U345" s="36">
        <v>-1</v>
      </c>
      <c r="V345" s="36">
        <v>-1</v>
      </c>
      <c r="W345" s="36">
        <v>1</v>
      </c>
      <c r="X345" s="102">
        <v>4</v>
      </c>
      <c r="Y345" s="29">
        <v>47.327325000000002</v>
      </c>
      <c r="Z345" s="47">
        <v>4</v>
      </c>
      <c r="AA345" s="46">
        <v>95</v>
      </c>
      <c r="AB345" s="50">
        <v>26417</v>
      </c>
      <c r="AC345" s="50" t="s">
        <v>147</v>
      </c>
      <c r="AD345" s="50">
        <v>100</v>
      </c>
      <c r="AE345" s="42">
        <v>16</v>
      </c>
      <c r="AF345" s="43">
        <v>0.5</v>
      </c>
      <c r="AG345" s="36">
        <v>85</v>
      </c>
      <c r="AH345" s="35">
        <v>0.3155155</v>
      </c>
      <c r="AI345" s="50">
        <v>185323</v>
      </c>
      <c r="AJ345" s="50" t="s">
        <v>382</v>
      </c>
      <c r="AK345" s="50">
        <v>100</v>
      </c>
      <c r="AL345" s="34">
        <v>1.1199999999999999</v>
      </c>
      <c r="AM345" s="43">
        <v>6</v>
      </c>
      <c r="AN345" s="35">
        <v>5.5999999999999994E-2</v>
      </c>
      <c r="AO345" s="35">
        <v>0.22399999999999998</v>
      </c>
      <c r="AP345" s="35">
        <v>0.44799999999999995</v>
      </c>
      <c r="AQ345" s="83">
        <v>0.55999999999999994</v>
      </c>
      <c r="AR345" s="46">
        <v>19276</v>
      </c>
      <c r="AS345" s="46" t="s">
        <v>158</v>
      </c>
      <c r="AT345" s="46">
        <v>100</v>
      </c>
      <c r="AU345" s="44">
        <v>-1</v>
      </c>
      <c r="AV345" s="48">
        <v>-1</v>
      </c>
      <c r="AW345" s="48">
        <v>-1</v>
      </c>
      <c r="AX345" s="48">
        <v>-1</v>
      </c>
      <c r="AY345" s="48">
        <v>-1</v>
      </c>
      <c r="AZ345" s="45">
        <v>1</v>
      </c>
      <c r="BA345" s="36">
        <v>11.551702465218453</v>
      </c>
      <c r="BB345" s="43">
        <v>0.3</v>
      </c>
      <c r="BC345" s="45">
        <v>-1</v>
      </c>
      <c r="BD345" s="45">
        <v>-1</v>
      </c>
      <c r="BE345" s="45">
        <v>-1</v>
      </c>
      <c r="BF345" s="45">
        <v>100</v>
      </c>
      <c r="BG345" s="45">
        <v>-1</v>
      </c>
      <c r="BH345" s="45">
        <v>-1</v>
      </c>
      <c r="BI345" s="45">
        <v>-1</v>
      </c>
      <c r="BJ345" s="28">
        <v>-1</v>
      </c>
      <c r="BK345" s="48">
        <v>-1</v>
      </c>
      <c r="BL345" s="48">
        <v>-1</v>
      </c>
      <c r="BM345" s="48">
        <v>-1</v>
      </c>
      <c r="BN345" s="48">
        <v>-1</v>
      </c>
      <c r="BO345" s="48">
        <v>-1</v>
      </c>
    </row>
    <row r="346" spans="1:67" s="50" customFormat="1" ht="15" customHeight="1" x14ac:dyDescent="0.25">
      <c r="A346" s="50">
        <v>345</v>
      </c>
      <c r="B346" s="36">
        <v>13091</v>
      </c>
      <c r="C346" s="46">
        <v>13091</v>
      </c>
      <c r="D346" s="22" t="s">
        <v>163</v>
      </c>
      <c r="E346" s="24" t="s">
        <v>353</v>
      </c>
      <c r="F346" s="39">
        <v>17</v>
      </c>
      <c r="G346" s="36">
        <v>17</v>
      </c>
      <c r="H346" s="36">
        <v>11.379279279279281</v>
      </c>
      <c r="I346" s="36">
        <v>50.984251968503933</v>
      </c>
      <c r="J346" s="36">
        <v>15.124059819015159</v>
      </c>
      <c r="K346" s="36">
        <v>14.829188212480901</v>
      </c>
      <c r="L346" s="36">
        <v>18035</v>
      </c>
      <c r="M346" s="36" t="s">
        <v>370</v>
      </c>
      <c r="N346" s="36">
        <v>100</v>
      </c>
      <c r="O346" s="36">
        <v>10.830115830115831</v>
      </c>
      <c r="P346" s="36">
        <v>30.733899613899617</v>
      </c>
      <c r="Q346" s="36">
        <v>36.933687859913036</v>
      </c>
      <c r="R346" s="36">
        <v>9.3557189446468438</v>
      </c>
      <c r="S346" s="36">
        <v>7.655790927253495</v>
      </c>
      <c r="T346" s="36">
        <v>18035</v>
      </c>
      <c r="U346" s="36" t="s">
        <v>370</v>
      </c>
      <c r="V346" s="36">
        <v>100</v>
      </c>
      <c r="W346" s="36">
        <v>1</v>
      </c>
      <c r="X346" s="102">
        <v>4</v>
      </c>
      <c r="Y346" s="29">
        <v>33.490888954518603</v>
      </c>
      <c r="Z346" s="47">
        <v>2.8</v>
      </c>
      <c r="AA346" s="47">
        <v>86</v>
      </c>
      <c r="AB346" s="50">
        <v>35431</v>
      </c>
      <c r="AC346" s="50" t="s">
        <v>383</v>
      </c>
      <c r="AD346" s="50">
        <v>100</v>
      </c>
      <c r="AE346" s="42">
        <v>32</v>
      </c>
      <c r="AF346" s="43">
        <v>0.8</v>
      </c>
      <c r="AG346" s="45">
        <v>80</v>
      </c>
      <c r="AH346" s="35">
        <v>0.4503947135262848</v>
      </c>
      <c r="AI346" s="50">
        <v>41491</v>
      </c>
      <c r="AJ346" s="50" t="s">
        <v>384</v>
      </c>
      <c r="AK346" s="50">
        <v>100</v>
      </c>
      <c r="AL346" s="34">
        <v>15.468468468468469</v>
      </c>
      <c r="AM346" s="43">
        <v>0.8</v>
      </c>
      <c r="AN346" s="35">
        <v>4.5945945945945948E-2</v>
      </c>
      <c r="AO346" s="35">
        <v>0.1715315315315315</v>
      </c>
      <c r="AP346" s="35">
        <v>0.31855855855855852</v>
      </c>
      <c r="AQ346" s="83">
        <v>0.19297297297297294</v>
      </c>
      <c r="AR346" s="50">
        <v>18035</v>
      </c>
      <c r="AS346" s="46" t="s">
        <v>370</v>
      </c>
      <c r="AT346" s="46">
        <v>100</v>
      </c>
      <c r="AU346" s="44">
        <v>-1</v>
      </c>
      <c r="AV346" s="48">
        <v>-1</v>
      </c>
      <c r="AW346" s="48">
        <v>-1</v>
      </c>
      <c r="AX346" s="48">
        <v>-1</v>
      </c>
      <c r="AY346" s="48">
        <v>-1</v>
      </c>
      <c r="AZ346" s="45">
        <v>1</v>
      </c>
      <c r="BA346" s="45">
        <v>17</v>
      </c>
      <c r="BB346" s="35">
        <v>0.5</v>
      </c>
      <c r="BC346" s="45">
        <v>100</v>
      </c>
      <c r="BD346" s="45">
        <v>-1</v>
      </c>
      <c r="BE346" s="45">
        <v>-1</v>
      </c>
      <c r="BF346" s="45">
        <v>-1</v>
      </c>
      <c r="BG346" s="45">
        <v>-1</v>
      </c>
      <c r="BH346" s="45">
        <v>-1</v>
      </c>
      <c r="BI346" s="45">
        <v>-1</v>
      </c>
      <c r="BJ346" s="28">
        <v>1</v>
      </c>
      <c r="BK346" s="45">
        <v>17</v>
      </c>
      <c r="BL346" s="43">
        <v>0.3</v>
      </c>
      <c r="BM346" s="45">
        <v>3</v>
      </c>
      <c r="BN346" s="45">
        <v>17</v>
      </c>
      <c r="BO346" s="43">
        <v>0.34</v>
      </c>
    </row>
    <row r="347" spans="1:67" s="50" customFormat="1" ht="15" customHeight="1" x14ac:dyDescent="0.25">
      <c r="A347" s="50">
        <v>346</v>
      </c>
      <c r="B347" s="36">
        <v>13110</v>
      </c>
      <c r="C347" s="46">
        <v>13110</v>
      </c>
      <c r="D347" s="22" t="s">
        <v>163</v>
      </c>
      <c r="E347" s="12" t="s">
        <v>9</v>
      </c>
      <c r="F347" s="39">
        <v>4.0999999999999996</v>
      </c>
      <c r="G347" s="36">
        <v>4.0999999999999996</v>
      </c>
      <c r="H347" s="36">
        <v>6.1499999999999995</v>
      </c>
      <c r="I347" s="36">
        <v>30.175164041994751</v>
      </c>
      <c r="J347" s="36">
        <v>2.7431967310904319</v>
      </c>
      <c r="K347" s="36">
        <v>19.202377117633024</v>
      </c>
      <c r="L347" s="36">
        <v>19276</v>
      </c>
      <c r="M347" s="36" t="s">
        <v>158</v>
      </c>
      <c r="N347" s="36">
        <v>100</v>
      </c>
      <c r="O347" s="36">
        <v>-1</v>
      </c>
      <c r="P347" s="36">
        <v>-1</v>
      </c>
      <c r="Q347" s="36">
        <v>-1</v>
      </c>
      <c r="R347" s="36">
        <v>-1</v>
      </c>
      <c r="S347" s="36">
        <v>-1</v>
      </c>
      <c r="T347" s="36">
        <v>-1</v>
      </c>
      <c r="U347" s="36">
        <v>-1</v>
      </c>
      <c r="V347" s="36">
        <v>-1</v>
      </c>
      <c r="W347" s="36">
        <v>1</v>
      </c>
      <c r="X347" s="102">
        <v>4</v>
      </c>
      <c r="Y347" s="29">
        <v>47.204250000000002</v>
      </c>
      <c r="Z347" s="47">
        <v>4</v>
      </c>
      <c r="AA347" s="46">
        <v>95</v>
      </c>
      <c r="AB347" s="50">
        <v>26417</v>
      </c>
      <c r="AC347" s="50" t="s">
        <v>147</v>
      </c>
      <c r="AD347" s="50">
        <v>100</v>
      </c>
      <c r="AE347" s="42">
        <v>16</v>
      </c>
      <c r="AF347" s="43">
        <v>0.5</v>
      </c>
      <c r="AG347" s="36">
        <v>85</v>
      </c>
      <c r="AH347" s="35">
        <v>0.31469500000000006</v>
      </c>
      <c r="AI347" s="50">
        <v>185323</v>
      </c>
      <c r="AJ347" s="50" t="s">
        <v>382</v>
      </c>
      <c r="AK347" s="50">
        <v>100</v>
      </c>
      <c r="AL347" s="34">
        <v>0.20499999999999999</v>
      </c>
      <c r="AM347" s="43">
        <v>6</v>
      </c>
      <c r="AN347" s="35">
        <v>1.0249999999999999E-2</v>
      </c>
      <c r="AO347" s="35">
        <v>4.0999999999999995E-2</v>
      </c>
      <c r="AP347" s="35">
        <v>8.199999999999999E-2</v>
      </c>
      <c r="AQ347" s="83">
        <v>0.10249999999999999</v>
      </c>
      <c r="AR347" s="46">
        <v>19276</v>
      </c>
      <c r="AS347" s="46" t="s">
        <v>158</v>
      </c>
      <c r="AT347" s="46">
        <v>100</v>
      </c>
      <c r="AU347" s="44">
        <v>-1</v>
      </c>
      <c r="AV347" s="48">
        <v>-1</v>
      </c>
      <c r="AW347" s="48">
        <v>-1</v>
      </c>
      <c r="AX347" s="48">
        <v>-1</v>
      </c>
      <c r="AY347" s="48">
        <v>-1</v>
      </c>
      <c r="AZ347" s="45">
        <v>1</v>
      </c>
      <c r="BA347" s="36">
        <v>11.521662191847692</v>
      </c>
      <c r="BB347" s="43">
        <v>0.3</v>
      </c>
      <c r="BC347" s="45">
        <v>-1</v>
      </c>
      <c r="BD347" s="45">
        <v>-1</v>
      </c>
      <c r="BE347" s="45">
        <v>-1</v>
      </c>
      <c r="BF347" s="45">
        <v>100</v>
      </c>
      <c r="BG347" s="45">
        <v>-1</v>
      </c>
      <c r="BH347" s="45">
        <v>-1</v>
      </c>
      <c r="BI347" s="45">
        <v>-1</v>
      </c>
      <c r="BJ347" s="28">
        <v>-1</v>
      </c>
      <c r="BK347" s="48">
        <v>-1</v>
      </c>
      <c r="BL347" s="48">
        <v>-1</v>
      </c>
      <c r="BM347" s="48">
        <v>-1</v>
      </c>
      <c r="BN347" s="48">
        <v>-1</v>
      </c>
      <c r="BO347" s="48">
        <v>-1</v>
      </c>
    </row>
    <row r="348" spans="1:67" s="50" customFormat="1" ht="15" customHeight="1" x14ac:dyDescent="0.25">
      <c r="A348" s="50">
        <v>347</v>
      </c>
      <c r="B348" s="36">
        <v>13113</v>
      </c>
      <c r="C348" s="71">
        <v>13113</v>
      </c>
      <c r="D348" s="22" t="s">
        <v>163</v>
      </c>
      <c r="E348" s="34" t="s">
        <v>408</v>
      </c>
      <c r="F348" s="39">
        <v>3</v>
      </c>
      <c r="G348" s="36">
        <v>3</v>
      </c>
      <c r="H348" s="36">
        <v>1</v>
      </c>
      <c r="I348" s="43">
        <v>22</v>
      </c>
      <c r="J348" s="36">
        <v>13</v>
      </c>
      <c r="K348" s="36">
        <v>6</v>
      </c>
      <c r="L348" s="36">
        <v>26417</v>
      </c>
      <c r="M348" s="36" t="s">
        <v>147</v>
      </c>
      <c r="N348" s="36">
        <v>100</v>
      </c>
      <c r="O348" s="36">
        <v>-1</v>
      </c>
      <c r="P348" s="36">
        <v>-1</v>
      </c>
      <c r="Q348" s="36">
        <v>-1</v>
      </c>
      <c r="R348" s="36">
        <v>-1</v>
      </c>
      <c r="S348" s="36">
        <v>-1</v>
      </c>
      <c r="T348" s="36">
        <v>-1</v>
      </c>
      <c r="U348" s="36">
        <v>-1</v>
      </c>
      <c r="V348" s="36">
        <v>-1</v>
      </c>
      <c r="W348" s="36">
        <v>-1</v>
      </c>
      <c r="X348" s="102">
        <v>-1</v>
      </c>
      <c r="Y348" s="81">
        <v>-1</v>
      </c>
      <c r="Z348" s="10">
        <v>-1</v>
      </c>
      <c r="AA348" s="10">
        <v>-1</v>
      </c>
      <c r="AB348" s="10">
        <v>-1</v>
      </c>
      <c r="AC348" s="10">
        <v>-1</v>
      </c>
      <c r="AD348" s="10">
        <v>-1</v>
      </c>
      <c r="AE348" s="42">
        <v>62</v>
      </c>
      <c r="AF348" s="43">
        <v>0.5</v>
      </c>
      <c r="AG348" s="45">
        <v>80</v>
      </c>
      <c r="AH348" s="35">
        <v>0.52</v>
      </c>
      <c r="AI348" s="50">
        <v>39369</v>
      </c>
      <c r="AJ348" s="50" t="s">
        <v>391</v>
      </c>
      <c r="AK348" s="50">
        <v>100</v>
      </c>
      <c r="AL348" s="34">
        <v>3.1</v>
      </c>
      <c r="AM348" s="43">
        <v>3</v>
      </c>
      <c r="AN348" s="35">
        <v>0</v>
      </c>
      <c r="AO348" s="35">
        <v>0.1</v>
      </c>
      <c r="AP348" s="35">
        <v>0.2</v>
      </c>
      <c r="AQ348" s="83">
        <v>0.2</v>
      </c>
      <c r="AR348" s="46">
        <v>26417</v>
      </c>
      <c r="AS348" s="50" t="s">
        <v>147</v>
      </c>
      <c r="AT348" s="50">
        <v>100</v>
      </c>
      <c r="AU348" s="44">
        <v>-1</v>
      </c>
      <c r="AV348" s="48">
        <v>-1</v>
      </c>
      <c r="AW348" s="48">
        <v>-1</v>
      </c>
      <c r="AX348" s="48">
        <v>-1</v>
      </c>
      <c r="AY348" s="48">
        <v>-1</v>
      </c>
      <c r="AZ348" s="45">
        <v>1</v>
      </c>
      <c r="BA348" s="45">
        <v>4</v>
      </c>
      <c r="BB348" s="35">
        <v>1.8</v>
      </c>
      <c r="BC348" s="45">
        <v>-1</v>
      </c>
      <c r="BD348" s="45">
        <v>-1</v>
      </c>
      <c r="BE348" s="45">
        <v>-1</v>
      </c>
      <c r="BF348" s="45">
        <v>-1</v>
      </c>
      <c r="BG348" s="45">
        <v>100</v>
      </c>
      <c r="BH348" s="45">
        <v>-1</v>
      </c>
      <c r="BI348" s="45">
        <v>-1</v>
      </c>
      <c r="BJ348" s="28">
        <v>1</v>
      </c>
      <c r="BK348" s="45">
        <v>3.9</v>
      </c>
      <c r="BL348" s="43">
        <v>2</v>
      </c>
      <c r="BM348" s="45">
        <v>3</v>
      </c>
      <c r="BN348" s="45">
        <v>3.9</v>
      </c>
      <c r="BO348" s="43">
        <v>2</v>
      </c>
    </row>
    <row r="349" spans="1:67" s="50" customFormat="1" ht="15" customHeight="1" x14ac:dyDescent="0.25">
      <c r="A349" s="50">
        <v>348</v>
      </c>
      <c r="B349" s="36">
        <v>13120</v>
      </c>
      <c r="C349" s="46">
        <v>13120</v>
      </c>
      <c r="D349" s="22" t="s">
        <v>163</v>
      </c>
      <c r="E349" s="13" t="s">
        <v>8</v>
      </c>
      <c r="F349" s="39">
        <v>2.2999999999999998</v>
      </c>
      <c r="G349" s="36">
        <v>2.2999999999999998</v>
      </c>
      <c r="H349" s="36">
        <v>3.45</v>
      </c>
      <c r="I349" s="36">
        <v>25.404461942257218</v>
      </c>
      <c r="J349" s="36">
        <v>2.3094965402052017</v>
      </c>
      <c r="K349" s="36">
        <v>16.166475781436411</v>
      </c>
      <c r="L349" s="36">
        <v>19276</v>
      </c>
      <c r="M349" s="36" t="s">
        <v>158</v>
      </c>
      <c r="N349" s="36">
        <v>100</v>
      </c>
      <c r="O349" s="36">
        <v>-1</v>
      </c>
      <c r="P349" s="36">
        <v>-1</v>
      </c>
      <c r="Q349" s="36">
        <v>-1</v>
      </c>
      <c r="R349" s="36">
        <v>-1</v>
      </c>
      <c r="S349" s="36">
        <v>-1</v>
      </c>
      <c r="T349" s="36">
        <v>-1</v>
      </c>
      <c r="U349" s="36">
        <v>-1</v>
      </c>
      <c r="V349" s="36">
        <v>-1</v>
      </c>
      <c r="W349" s="36">
        <v>1</v>
      </c>
      <c r="X349" s="102">
        <v>4</v>
      </c>
      <c r="Y349" s="29">
        <v>35.356875000000002</v>
      </c>
      <c r="Z349" s="47">
        <v>4</v>
      </c>
      <c r="AA349" s="46">
        <v>95</v>
      </c>
      <c r="AB349" s="50">
        <v>26417</v>
      </c>
      <c r="AC349" s="50" t="s">
        <v>147</v>
      </c>
      <c r="AD349" s="50">
        <v>100</v>
      </c>
      <c r="AE349" s="42">
        <v>12</v>
      </c>
      <c r="AF349" s="43">
        <v>0.5</v>
      </c>
      <c r="AG349" s="36">
        <v>85</v>
      </c>
      <c r="AH349" s="35">
        <v>0.23571249999999999</v>
      </c>
      <c r="AI349" s="50">
        <v>185323</v>
      </c>
      <c r="AJ349" s="50" t="s">
        <v>382</v>
      </c>
      <c r="AK349" s="50">
        <v>100</v>
      </c>
      <c r="AL349" s="34">
        <v>0.11499999999999999</v>
      </c>
      <c r="AM349" s="43">
        <v>6</v>
      </c>
      <c r="AN349" s="35">
        <v>5.7499999999999999E-3</v>
      </c>
      <c r="AO349" s="35">
        <v>2.3E-2</v>
      </c>
      <c r="AP349" s="35">
        <v>4.5999999999999999E-2</v>
      </c>
      <c r="AQ349" s="83">
        <v>5.7499999999999996E-2</v>
      </c>
      <c r="AR349" s="46">
        <v>19276</v>
      </c>
      <c r="AS349" s="46" t="s">
        <v>158</v>
      </c>
      <c r="AT349" s="46">
        <v>100</v>
      </c>
      <c r="AU349" s="44">
        <v>-1</v>
      </c>
      <c r="AV349" s="48">
        <v>-1</v>
      </c>
      <c r="AW349" s="48">
        <v>-1</v>
      </c>
      <c r="AX349" s="48">
        <v>-1</v>
      </c>
      <c r="AY349" s="48">
        <v>-1</v>
      </c>
      <c r="AZ349" s="45">
        <v>1</v>
      </c>
      <c r="BA349" s="36">
        <v>8.6299426409567985</v>
      </c>
      <c r="BB349" s="43">
        <v>0.3</v>
      </c>
      <c r="BC349" s="45">
        <v>-1</v>
      </c>
      <c r="BD349" s="45">
        <v>-1</v>
      </c>
      <c r="BE349" s="45">
        <v>-1</v>
      </c>
      <c r="BF349" s="45">
        <v>100</v>
      </c>
      <c r="BG349" s="45">
        <v>-1</v>
      </c>
      <c r="BH349" s="45">
        <v>-1</v>
      </c>
      <c r="BI349" s="45">
        <v>-1</v>
      </c>
      <c r="BJ349" s="28">
        <v>-1</v>
      </c>
      <c r="BK349" s="48">
        <v>-1</v>
      </c>
      <c r="BL349" s="48">
        <v>-1</v>
      </c>
      <c r="BM349" s="48">
        <v>-1</v>
      </c>
      <c r="BN349" s="48">
        <v>-1</v>
      </c>
      <c r="BO349" s="48">
        <v>-1</v>
      </c>
    </row>
    <row r="350" spans="1:67" s="50" customFormat="1" ht="15" customHeight="1" x14ac:dyDescent="0.25">
      <c r="A350" s="50">
        <v>349</v>
      </c>
      <c r="B350" s="36">
        <v>13123</v>
      </c>
      <c r="C350" s="71">
        <v>13123</v>
      </c>
      <c r="D350" s="22" t="s">
        <v>163</v>
      </c>
      <c r="E350" s="32" t="s">
        <v>403</v>
      </c>
      <c r="F350" s="39">
        <v>4</v>
      </c>
      <c r="G350" s="36">
        <v>4</v>
      </c>
      <c r="H350" s="36">
        <v>1</v>
      </c>
      <c r="I350" s="43">
        <v>22</v>
      </c>
      <c r="J350" s="36">
        <v>14</v>
      </c>
      <c r="K350" s="36">
        <v>6</v>
      </c>
      <c r="L350" s="36">
        <v>26417</v>
      </c>
      <c r="M350" s="36" t="s">
        <v>147</v>
      </c>
      <c r="N350" s="36">
        <v>100</v>
      </c>
      <c r="O350" s="36">
        <v>-1</v>
      </c>
      <c r="P350" s="36">
        <v>-1</v>
      </c>
      <c r="Q350" s="36">
        <v>-1</v>
      </c>
      <c r="R350" s="36">
        <v>-1</v>
      </c>
      <c r="S350" s="36">
        <v>-1</v>
      </c>
      <c r="T350" s="36">
        <v>-1</v>
      </c>
      <c r="U350" s="36">
        <v>-1</v>
      </c>
      <c r="V350" s="36">
        <v>-1</v>
      </c>
      <c r="W350" s="36">
        <v>-1</v>
      </c>
      <c r="X350" s="102">
        <v>-1</v>
      </c>
      <c r="Y350" s="81">
        <v>-1</v>
      </c>
      <c r="Z350" s="10">
        <v>-1</v>
      </c>
      <c r="AA350" s="10">
        <v>-1</v>
      </c>
      <c r="AB350" s="10">
        <v>-1</v>
      </c>
      <c r="AC350" s="10">
        <v>-1</v>
      </c>
      <c r="AD350" s="10">
        <v>-1</v>
      </c>
      <c r="AE350" s="42">
        <v>56</v>
      </c>
      <c r="AF350" s="43">
        <v>0.5</v>
      </c>
      <c r="AG350" s="45">
        <v>80</v>
      </c>
      <c r="AH350" s="35">
        <v>0.47</v>
      </c>
      <c r="AI350" s="50">
        <v>39369</v>
      </c>
      <c r="AJ350" s="50" t="s">
        <v>391</v>
      </c>
      <c r="AK350" s="50">
        <v>100</v>
      </c>
      <c r="AL350" s="34">
        <v>3.6</v>
      </c>
      <c r="AM350" s="43">
        <v>3</v>
      </c>
      <c r="AN350" s="35">
        <v>0</v>
      </c>
      <c r="AO350" s="35">
        <v>0.1</v>
      </c>
      <c r="AP350" s="35">
        <v>0.2</v>
      </c>
      <c r="AQ350" s="83">
        <v>0.2</v>
      </c>
      <c r="AR350" s="46">
        <v>26417</v>
      </c>
      <c r="AS350" s="50" t="s">
        <v>147</v>
      </c>
      <c r="AT350" s="50">
        <v>100</v>
      </c>
      <c r="AU350" s="44">
        <v>-1</v>
      </c>
      <c r="AV350" s="48">
        <v>-1</v>
      </c>
      <c r="AW350" s="48">
        <v>-1</v>
      </c>
      <c r="AX350" s="48">
        <v>-1</v>
      </c>
      <c r="AY350" s="48">
        <v>-1</v>
      </c>
      <c r="AZ350" s="45">
        <v>1</v>
      </c>
      <c r="BA350" s="45">
        <v>4</v>
      </c>
      <c r="BB350" s="35">
        <v>1.8</v>
      </c>
      <c r="BC350" s="45">
        <v>-1</v>
      </c>
      <c r="BD350" s="45">
        <v>-1</v>
      </c>
      <c r="BE350" s="45">
        <v>-1</v>
      </c>
      <c r="BF350" s="45">
        <v>-1</v>
      </c>
      <c r="BG350" s="45">
        <v>100</v>
      </c>
      <c r="BH350" s="45">
        <v>-1</v>
      </c>
      <c r="BI350" s="45">
        <v>-1</v>
      </c>
      <c r="BJ350" s="28">
        <v>1</v>
      </c>
      <c r="BK350" s="45">
        <v>4.4000000000000004</v>
      </c>
      <c r="BL350" s="43">
        <v>2</v>
      </c>
      <c r="BM350" s="45">
        <v>3</v>
      </c>
      <c r="BN350" s="45">
        <v>4.4000000000000004</v>
      </c>
      <c r="BO350" s="43">
        <v>2</v>
      </c>
    </row>
    <row r="351" spans="1:67" s="50" customFormat="1" ht="15" customHeight="1" x14ac:dyDescent="0.25">
      <c r="A351" s="50">
        <v>350</v>
      </c>
      <c r="B351" s="36">
        <v>13130</v>
      </c>
      <c r="C351" s="46">
        <v>13130</v>
      </c>
      <c r="D351" s="22" t="s">
        <v>163</v>
      </c>
      <c r="E351" s="14" t="s">
        <v>10</v>
      </c>
      <c r="F351" s="39">
        <v>-3</v>
      </c>
      <c r="G351" s="36">
        <v>-3</v>
      </c>
      <c r="H351" s="36">
        <v>-3</v>
      </c>
      <c r="I351" s="36">
        <v>-3</v>
      </c>
      <c r="J351" s="36">
        <v>-3</v>
      </c>
      <c r="K351" s="36">
        <v>-3</v>
      </c>
      <c r="L351" s="45">
        <v>-3</v>
      </c>
      <c r="M351" s="45">
        <v>-3</v>
      </c>
      <c r="N351" s="45">
        <v>-3</v>
      </c>
      <c r="O351" s="36">
        <v>-3</v>
      </c>
      <c r="P351" s="36">
        <v>-3</v>
      </c>
      <c r="Q351" s="36">
        <v>-3</v>
      </c>
      <c r="R351" s="36">
        <v>-3</v>
      </c>
      <c r="S351" s="36">
        <v>-3</v>
      </c>
      <c r="T351" s="45">
        <v>-3</v>
      </c>
      <c r="U351" s="45">
        <v>-3</v>
      </c>
      <c r="V351" s="45">
        <v>-3</v>
      </c>
      <c r="W351" s="45">
        <v>-3</v>
      </c>
      <c r="X351" s="103">
        <v>-3</v>
      </c>
      <c r="Y351" s="29">
        <v>42.283900000000003</v>
      </c>
      <c r="Z351" s="47">
        <v>3.625</v>
      </c>
      <c r="AA351" s="46">
        <v>47.5</v>
      </c>
      <c r="AB351" s="50">
        <v>26417</v>
      </c>
      <c r="AC351" s="50" t="s">
        <v>147</v>
      </c>
      <c r="AD351" s="50">
        <v>100</v>
      </c>
      <c r="AE351" s="42">
        <v>-3</v>
      </c>
      <c r="AF351" s="10">
        <v>-3</v>
      </c>
      <c r="AG351" s="10">
        <v>-3</v>
      </c>
      <c r="AH351" s="10">
        <v>-3</v>
      </c>
      <c r="AI351" s="10">
        <v>-3</v>
      </c>
      <c r="AJ351" s="10">
        <v>-3</v>
      </c>
      <c r="AK351" s="10">
        <v>-3</v>
      </c>
      <c r="AL351" s="34">
        <v>5.2041723076923079</v>
      </c>
      <c r="AM351" s="43">
        <v>0.25</v>
      </c>
      <c r="AN351" s="35">
        <v>0.26020861538461537</v>
      </c>
      <c r="AO351" s="35">
        <v>0.52041723076923074</v>
      </c>
      <c r="AP351" s="35">
        <v>0</v>
      </c>
      <c r="AQ351" s="83">
        <v>0</v>
      </c>
      <c r="AR351" s="46">
        <v>26417</v>
      </c>
      <c r="AS351" s="50" t="s">
        <v>147</v>
      </c>
      <c r="AT351" s="50">
        <v>100</v>
      </c>
      <c r="AU351" s="44">
        <v>-1</v>
      </c>
      <c r="AV351" s="48">
        <v>-1</v>
      </c>
      <c r="AW351" s="48">
        <v>-1</v>
      </c>
      <c r="AX351" s="48">
        <v>-1</v>
      </c>
      <c r="AY351" s="48">
        <v>-1</v>
      </c>
      <c r="AZ351" s="48">
        <v>-1</v>
      </c>
      <c r="BA351" s="48">
        <v>-1</v>
      </c>
      <c r="BB351" s="48">
        <v>-1</v>
      </c>
      <c r="BC351" s="48">
        <v>-1</v>
      </c>
      <c r="BD351" s="48">
        <v>-1</v>
      </c>
      <c r="BE351" s="48">
        <v>-1</v>
      </c>
      <c r="BF351" s="48">
        <v>-1</v>
      </c>
      <c r="BG351" s="48">
        <v>-1</v>
      </c>
      <c r="BH351" s="48">
        <v>-1</v>
      </c>
      <c r="BI351" s="48">
        <v>-1</v>
      </c>
      <c r="BJ351" s="28">
        <v>-1</v>
      </c>
      <c r="BK351" s="48">
        <v>-1</v>
      </c>
      <c r="BL351" s="48">
        <v>-1</v>
      </c>
      <c r="BM351" s="48">
        <v>-1</v>
      </c>
      <c r="BN351" s="48">
        <v>-1</v>
      </c>
      <c r="BO351" s="48">
        <v>-1</v>
      </c>
    </row>
    <row r="352" spans="1:67" s="50" customFormat="1" ht="15" customHeight="1" x14ac:dyDescent="0.25">
      <c r="A352" s="50">
        <v>351</v>
      </c>
      <c r="B352" s="36">
        <v>13133</v>
      </c>
      <c r="C352" s="71">
        <v>13133</v>
      </c>
      <c r="D352" s="22" t="s">
        <v>163</v>
      </c>
      <c r="E352" s="31" t="s">
        <v>405</v>
      </c>
      <c r="F352" s="39">
        <v>-3</v>
      </c>
      <c r="G352" s="45">
        <v>-3</v>
      </c>
      <c r="H352" s="45">
        <v>-3</v>
      </c>
      <c r="I352" s="36">
        <v>-3</v>
      </c>
      <c r="J352" s="45">
        <v>-3</v>
      </c>
      <c r="K352" s="45">
        <v>-3</v>
      </c>
      <c r="L352" s="45">
        <v>-3</v>
      </c>
      <c r="M352" s="45">
        <v>-3</v>
      </c>
      <c r="N352" s="45">
        <v>-3</v>
      </c>
      <c r="O352" s="45">
        <v>-3</v>
      </c>
      <c r="P352" s="45">
        <v>-3</v>
      </c>
      <c r="Q352" s="45">
        <v>-3</v>
      </c>
      <c r="R352" s="45">
        <v>-3</v>
      </c>
      <c r="S352" s="45">
        <v>-3</v>
      </c>
      <c r="T352" s="45">
        <v>-3</v>
      </c>
      <c r="U352" s="45">
        <v>-3</v>
      </c>
      <c r="V352" s="45">
        <v>-3</v>
      </c>
      <c r="W352" s="45">
        <v>-3</v>
      </c>
      <c r="X352" s="103">
        <v>-3</v>
      </c>
      <c r="Y352" s="29">
        <v>59.77</v>
      </c>
      <c r="Z352" s="47">
        <v>5</v>
      </c>
      <c r="AA352" s="47">
        <v>80</v>
      </c>
      <c r="AB352" s="50">
        <v>26417</v>
      </c>
      <c r="AC352" s="50" t="s">
        <v>147</v>
      </c>
      <c r="AD352" s="50">
        <v>100</v>
      </c>
      <c r="AE352" s="42">
        <v>-3</v>
      </c>
      <c r="AF352" s="10">
        <v>-3</v>
      </c>
      <c r="AG352" s="10">
        <v>-3</v>
      </c>
      <c r="AH352" s="10">
        <v>-3</v>
      </c>
      <c r="AI352" s="10">
        <v>-3</v>
      </c>
      <c r="AJ352" s="10">
        <v>-3</v>
      </c>
      <c r="AK352" s="10">
        <v>-3</v>
      </c>
      <c r="AL352" s="34">
        <v>19.59681203703704</v>
      </c>
      <c r="AM352" s="43">
        <v>1.5</v>
      </c>
      <c r="AN352" s="35">
        <v>0.34976518518518535</v>
      </c>
      <c r="AO352" s="35">
        <v>0.62758499999999995</v>
      </c>
      <c r="AP352" s="35">
        <v>0.27117870370370378</v>
      </c>
      <c r="AQ352" s="83">
        <v>6.0373737373737385E-2</v>
      </c>
      <c r="AR352" s="50">
        <v>26417</v>
      </c>
      <c r="AS352" s="50" t="s">
        <v>147</v>
      </c>
      <c r="AT352" s="50">
        <v>100</v>
      </c>
      <c r="AU352" s="44">
        <v>-1</v>
      </c>
      <c r="AV352" s="48">
        <v>-1</v>
      </c>
      <c r="AW352" s="48">
        <v>-1</v>
      </c>
      <c r="AX352" s="48">
        <v>-1</v>
      </c>
      <c r="AY352" s="48">
        <v>-1</v>
      </c>
      <c r="AZ352" s="45">
        <v>1</v>
      </c>
      <c r="BA352" s="45">
        <v>100</v>
      </c>
      <c r="BB352" s="35">
        <v>0.75</v>
      </c>
      <c r="BC352" s="45">
        <v>-1</v>
      </c>
      <c r="BD352" s="45">
        <v>-1</v>
      </c>
      <c r="BE352" s="45">
        <v>-1</v>
      </c>
      <c r="BF352" s="45">
        <v>-1</v>
      </c>
      <c r="BG352" s="45">
        <v>100</v>
      </c>
      <c r="BH352" s="45">
        <v>-1</v>
      </c>
      <c r="BI352" s="45">
        <v>-1</v>
      </c>
      <c r="BJ352" s="28">
        <v>-1</v>
      </c>
      <c r="BK352" s="48">
        <v>-1</v>
      </c>
      <c r="BL352" s="48">
        <v>-1</v>
      </c>
      <c r="BM352" s="48">
        <v>-1</v>
      </c>
      <c r="BN352" s="48">
        <v>-1</v>
      </c>
      <c r="BO352" s="48">
        <v>-1</v>
      </c>
    </row>
    <row r="353" spans="1:67" s="50" customFormat="1" ht="15" customHeight="1" x14ac:dyDescent="0.25">
      <c r="A353" s="50">
        <v>352</v>
      </c>
      <c r="B353" s="36">
        <v>13140</v>
      </c>
      <c r="C353" s="46">
        <v>13140</v>
      </c>
      <c r="D353" s="22" t="s">
        <v>163</v>
      </c>
      <c r="E353" s="15" t="s">
        <v>14</v>
      </c>
      <c r="F353" s="39">
        <v>-3</v>
      </c>
      <c r="G353" s="36">
        <v>-3</v>
      </c>
      <c r="H353" s="36">
        <v>-3</v>
      </c>
      <c r="I353" s="36">
        <v>-3</v>
      </c>
      <c r="J353" s="36">
        <v>-3</v>
      </c>
      <c r="K353" s="36">
        <v>-3</v>
      </c>
      <c r="L353" s="45">
        <v>-3</v>
      </c>
      <c r="M353" s="45">
        <v>-3</v>
      </c>
      <c r="N353" s="45">
        <v>-3</v>
      </c>
      <c r="O353" s="36">
        <v>-3</v>
      </c>
      <c r="P353" s="36">
        <v>-3</v>
      </c>
      <c r="Q353" s="36">
        <v>-3</v>
      </c>
      <c r="R353" s="36">
        <v>-3</v>
      </c>
      <c r="S353" s="36">
        <v>-3</v>
      </c>
      <c r="T353" s="45">
        <v>-3</v>
      </c>
      <c r="U353" s="45">
        <v>-3</v>
      </c>
      <c r="V353" s="45">
        <v>-3</v>
      </c>
      <c r="W353" s="45">
        <v>-3</v>
      </c>
      <c r="X353" s="103">
        <v>-3</v>
      </c>
      <c r="Y353" s="81">
        <v>-3</v>
      </c>
      <c r="Z353" s="19">
        <v>-3</v>
      </c>
      <c r="AA353" s="48">
        <v>-3</v>
      </c>
      <c r="AB353" s="10">
        <v>-3</v>
      </c>
      <c r="AC353" s="10">
        <v>-3</v>
      </c>
      <c r="AD353" s="10">
        <v>-3</v>
      </c>
      <c r="AE353" s="42">
        <v>45</v>
      </c>
      <c r="AF353" s="43">
        <v>0.7</v>
      </c>
      <c r="AG353" s="36">
        <v>75</v>
      </c>
      <c r="AH353" s="35">
        <v>8.9604799999999998E-2</v>
      </c>
      <c r="AI353" s="50">
        <v>185323</v>
      </c>
      <c r="AJ353" s="50" t="s">
        <v>382</v>
      </c>
      <c r="AK353" s="50">
        <v>100</v>
      </c>
      <c r="AL353" s="34">
        <v>-3</v>
      </c>
      <c r="AM353" s="48">
        <v>-3</v>
      </c>
      <c r="AN353" s="48">
        <v>-3</v>
      </c>
      <c r="AO353" s="48">
        <v>-3</v>
      </c>
      <c r="AP353" s="48">
        <v>-3</v>
      </c>
      <c r="AQ353" s="48">
        <v>-3</v>
      </c>
      <c r="AR353" s="48">
        <v>-3</v>
      </c>
      <c r="AS353" s="10">
        <v>-3</v>
      </c>
      <c r="AT353" s="10">
        <v>-3</v>
      </c>
      <c r="AU353" s="44">
        <v>-1</v>
      </c>
      <c r="AV353" s="48">
        <v>-1</v>
      </c>
      <c r="AW353" s="48">
        <v>-1</v>
      </c>
      <c r="AX353" s="48">
        <v>-1</v>
      </c>
      <c r="AY353" s="48">
        <v>-1</v>
      </c>
      <c r="AZ353" s="48">
        <v>-1</v>
      </c>
      <c r="BA353" s="48">
        <v>-1</v>
      </c>
      <c r="BB353" s="48">
        <v>-1</v>
      </c>
      <c r="BC353" s="48">
        <v>-1</v>
      </c>
      <c r="BD353" s="48">
        <v>-1</v>
      </c>
      <c r="BE353" s="48">
        <v>-1</v>
      </c>
      <c r="BF353" s="48">
        <v>-1</v>
      </c>
      <c r="BG353" s="48">
        <v>-1</v>
      </c>
      <c r="BH353" s="48">
        <v>-1</v>
      </c>
      <c r="BI353" s="48">
        <v>-1</v>
      </c>
      <c r="BJ353" s="28">
        <v>-1</v>
      </c>
      <c r="BK353" s="48">
        <v>-1</v>
      </c>
      <c r="BL353" s="48">
        <v>-1</v>
      </c>
      <c r="BM353" s="48">
        <v>-1</v>
      </c>
      <c r="BN353" s="48">
        <v>-1</v>
      </c>
      <c r="BO353" s="48">
        <v>-1</v>
      </c>
    </row>
    <row r="354" spans="1:67" s="50" customFormat="1" ht="15" customHeight="1" x14ac:dyDescent="0.25">
      <c r="A354" s="50">
        <v>353</v>
      </c>
      <c r="B354" s="36">
        <v>13150</v>
      </c>
      <c r="C354" s="46">
        <v>13150</v>
      </c>
      <c r="D354" s="22" t="s">
        <v>163</v>
      </c>
      <c r="E354" s="18" t="s">
        <v>15</v>
      </c>
      <c r="F354" s="39">
        <v>-3</v>
      </c>
      <c r="G354" s="36">
        <v>-3</v>
      </c>
      <c r="H354" s="36">
        <v>-3</v>
      </c>
      <c r="I354" s="36">
        <v>-3</v>
      </c>
      <c r="J354" s="36">
        <v>-3</v>
      </c>
      <c r="K354" s="36">
        <v>-3</v>
      </c>
      <c r="L354" s="45">
        <v>-3</v>
      </c>
      <c r="M354" s="45">
        <v>-3</v>
      </c>
      <c r="N354" s="45">
        <v>-3</v>
      </c>
      <c r="O354" s="36">
        <v>-3</v>
      </c>
      <c r="P354" s="36">
        <v>-3</v>
      </c>
      <c r="Q354" s="36">
        <v>-3</v>
      </c>
      <c r="R354" s="36">
        <v>-3</v>
      </c>
      <c r="S354" s="36">
        <v>-3</v>
      </c>
      <c r="T354" s="45">
        <v>-3</v>
      </c>
      <c r="U354" s="45">
        <v>-3</v>
      </c>
      <c r="V354" s="45">
        <v>-3</v>
      </c>
      <c r="W354" s="45">
        <v>-3</v>
      </c>
      <c r="X354" s="103">
        <v>-3</v>
      </c>
      <c r="Y354" s="29">
        <v>7.5</v>
      </c>
      <c r="Z354" s="47">
        <v>3.625</v>
      </c>
      <c r="AA354" s="46">
        <v>47.5</v>
      </c>
      <c r="AB354" s="50">
        <v>26417</v>
      </c>
      <c r="AC354" s="50" t="s">
        <v>147</v>
      </c>
      <c r="AD354" s="50">
        <v>100</v>
      </c>
      <c r="AE354" s="42">
        <v>7.5</v>
      </c>
      <c r="AF354" s="43">
        <v>0.7</v>
      </c>
      <c r="AG354" s="36">
        <v>75</v>
      </c>
      <c r="AH354" s="35">
        <v>1.4999999999999999E-2</v>
      </c>
      <c r="AI354" s="50">
        <v>185323</v>
      </c>
      <c r="AJ354" s="50" t="s">
        <v>382</v>
      </c>
      <c r="AK354" s="50">
        <v>100</v>
      </c>
      <c r="AL354" s="34">
        <v>-1</v>
      </c>
      <c r="AM354" s="48">
        <v>-1</v>
      </c>
      <c r="AN354" s="48">
        <v>-1</v>
      </c>
      <c r="AO354" s="48">
        <v>-1</v>
      </c>
      <c r="AP354" s="48">
        <v>-1</v>
      </c>
      <c r="AQ354" s="48">
        <v>-1</v>
      </c>
      <c r="AR354" s="48">
        <v>-1</v>
      </c>
      <c r="AS354" s="48">
        <v>-1</v>
      </c>
      <c r="AT354" s="48">
        <v>-1</v>
      </c>
      <c r="AU354" s="44">
        <v>-1</v>
      </c>
      <c r="AV354" s="48">
        <v>-1</v>
      </c>
      <c r="AW354" s="48">
        <v>-1</v>
      </c>
      <c r="AX354" s="48">
        <v>-1</v>
      </c>
      <c r="AY354" s="48">
        <v>-1</v>
      </c>
      <c r="AZ354" s="48">
        <v>-1</v>
      </c>
      <c r="BA354" s="48">
        <v>-1</v>
      </c>
      <c r="BB354" s="48">
        <v>-1</v>
      </c>
      <c r="BC354" s="48">
        <v>-1</v>
      </c>
      <c r="BD354" s="48">
        <v>-1</v>
      </c>
      <c r="BE354" s="48">
        <v>-1</v>
      </c>
      <c r="BF354" s="48">
        <v>-1</v>
      </c>
      <c r="BG354" s="48">
        <v>-1</v>
      </c>
      <c r="BH354" s="48">
        <v>-1</v>
      </c>
      <c r="BI354" s="48">
        <v>-1</v>
      </c>
      <c r="BJ354" s="28">
        <v>-1</v>
      </c>
      <c r="BK354" s="48">
        <v>-1</v>
      </c>
      <c r="BL354" s="48">
        <v>-1</v>
      </c>
      <c r="BM354" s="48">
        <v>-1</v>
      </c>
      <c r="BN354" s="48">
        <v>-1</v>
      </c>
      <c r="BO354" s="48">
        <v>-1</v>
      </c>
    </row>
    <row r="355" spans="1:67" s="50" customFormat="1" ht="15" customHeight="1" x14ac:dyDescent="0.25">
      <c r="A355" s="50">
        <v>354</v>
      </c>
      <c r="B355" s="36">
        <v>14011</v>
      </c>
      <c r="C355" s="46">
        <v>14011</v>
      </c>
      <c r="D355" s="36" t="s">
        <v>2</v>
      </c>
      <c r="E355" s="25" t="s">
        <v>411</v>
      </c>
      <c r="F355" s="39">
        <v>-3</v>
      </c>
      <c r="G355" s="45">
        <v>-3</v>
      </c>
      <c r="H355" s="45">
        <v>-3</v>
      </c>
      <c r="I355" s="36">
        <v>-3</v>
      </c>
      <c r="J355" s="45">
        <v>-3</v>
      </c>
      <c r="K355" s="45">
        <v>-3</v>
      </c>
      <c r="L355" s="45">
        <v>-3</v>
      </c>
      <c r="M355" s="45">
        <v>-3</v>
      </c>
      <c r="N355" s="45">
        <v>-3</v>
      </c>
      <c r="O355" s="45">
        <v>-3</v>
      </c>
      <c r="P355" s="45">
        <v>-3</v>
      </c>
      <c r="Q355" s="45">
        <v>-3</v>
      </c>
      <c r="R355" s="45">
        <v>-3</v>
      </c>
      <c r="S355" s="45">
        <v>-3</v>
      </c>
      <c r="T355" s="45">
        <v>-3</v>
      </c>
      <c r="U355" s="45">
        <v>-3</v>
      </c>
      <c r="V355" s="45">
        <v>-3</v>
      </c>
      <c r="W355" s="45">
        <v>-3</v>
      </c>
      <c r="X355" s="103">
        <v>-3</v>
      </c>
      <c r="Y355" s="81">
        <v>-3</v>
      </c>
      <c r="Z355" s="10">
        <v>-3</v>
      </c>
      <c r="AA355" s="48">
        <v>-3</v>
      </c>
      <c r="AB355" s="10">
        <v>-3</v>
      </c>
      <c r="AC355" s="10">
        <v>-3</v>
      </c>
      <c r="AD355" s="10">
        <v>-3</v>
      </c>
      <c r="AE355" s="42">
        <v>100</v>
      </c>
      <c r="AF355" s="43">
        <v>0.5</v>
      </c>
      <c r="AG355" s="45">
        <v>0</v>
      </c>
      <c r="AH355" s="35">
        <v>1.29</v>
      </c>
      <c r="AI355" s="50">
        <v>41976</v>
      </c>
      <c r="AJ355" s="50" t="s">
        <v>209</v>
      </c>
      <c r="AK355" s="50">
        <v>100</v>
      </c>
      <c r="AL355" s="34">
        <v>-3</v>
      </c>
      <c r="AM355" s="48">
        <v>-3</v>
      </c>
      <c r="AN355" s="48">
        <v>-3</v>
      </c>
      <c r="AO355" s="48">
        <v>-3</v>
      </c>
      <c r="AP355" s="48">
        <v>-3</v>
      </c>
      <c r="AQ355" s="48">
        <v>-3</v>
      </c>
      <c r="AR355" s="48">
        <v>-3</v>
      </c>
      <c r="AS355" s="10">
        <v>-3</v>
      </c>
      <c r="AT355" s="10">
        <v>-3</v>
      </c>
      <c r="AU355" s="44">
        <v>-1</v>
      </c>
      <c r="AV355" s="48">
        <v>-1</v>
      </c>
      <c r="AW355" s="48">
        <v>-1</v>
      </c>
      <c r="AX355" s="48">
        <v>-1</v>
      </c>
      <c r="AY355" s="48">
        <v>-1</v>
      </c>
      <c r="AZ355" s="45">
        <v>2</v>
      </c>
      <c r="BA355" s="45">
        <v>65</v>
      </c>
      <c r="BB355" s="35">
        <v>0.5</v>
      </c>
      <c r="BC355" s="53">
        <v>-1</v>
      </c>
      <c r="BD355" s="53">
        <v>-1</v>
      </c>
      <c r="BE355" s="53">
        <v>-1</v>
      </c>
      <c r="BF355" s="53">
        <v>-1</v>
      </c>
      <c r="BG355" s="53">
        <v>-1</v>
      </c>
      <c r="BH355" s="53">
        <v>-1</v>
      </c>
      <c r="BI355" s="45">
        <v>100</v>
      </c>
      <c r="BJ355" s="28">
        <v>-1</v>
      </c>
      <c r="BK355" s="48">
        <v>-1</v>
      </c>
      <c r="BL355" s="48">
        <v>-1</v>
      </c>
      <c r="BM355" s="48">
        <v>-1</v>
      </c>
      <c r="BN355" s="48">
        <v>-1</v>
      </c>
      <c r="BO355" s="48">
        <v>-1</v>
      </c>
    </row>
    <row r="356" spans="1:67" s="50" customFormat="1" ht="15" customHeight="1" x14ac:dyDescent="0.25">
      <c r="A356" s="50">
        <v>355</v>
      </c>
      <c r="B356" s="36">
        <v>14021</v>
      </c>
      <c r="C356" s="36">
        <v>14021</v>
      </c>
      <c r="D356" s="36" t="s">
        <v>2</v>
      </c>
      <c r="E356" s="38" t="s">
        <v>426</v>
      </c>
      <c r="F356" s="39">
        <v>30.1968</v>
      </c>
      <c r="G356" s="36">
        <v>29.9</v>
      </c>
      <c r="H356" s="36">
        <v>132.88888888888889</v>
      </c>
      <c r="I356" s="36">
        <v>47.595472440944874</v>
      </c>
      <c r="J356" s="36">
        <v>9.0518372703412062</v>
      </c>
      <c r="K356" s="36">
        <v>3.620734908136483</v>
      </c>
      <c r="L356" s="36">
        <v>27791</v>
      </c>
      <c r="M356" s="36" t="s">
        <v>135</v>
      </c>
      <c r="N356" s="36">
        <v>100</v>
      </c>
      <c r="O356" s="36">
        <v>-1</v>
      </c>
      <c r="P356" s="36">
        <v>-1</v>
      </c>
      <c r="Q356" s="36">
        <v>-1</v>
      </c>
      <c r="R356" s="36">
        <v>-1</v>
      </c>
      <c r="S356" s="36">
        <v>-1</v>
      </c>
      <c r="T356" s="36">
        <v>-1</v>
      </c>
      <c r="U356" s="36">
        <v>-1</v>
      </c>
      <c r="V356" s="36">
        <v>-1</v>
      </c>
      <c r="W356" s="36">
        <v>1</v>
      </c>
      <c r="X356" s="102">
        <v>2</v>
      </c>
      <c r="Y356" s="29">
        <v>10</v>
      </c>
      <c r="Z356" s="47">
        <v>10</v>
      </c>
      <c r="AA356" s="47">
        <v>80</v>
      </c>
      <c r="AB356" s="50">
        <v>27766</v>
      </c>
      <c r="AC356" s="50" t="s">
        <v>136</v>
      </c>
      <c r="AD356" s="50">
        <v>100</v>
      </c>
      <c r="AE356" s="42">
        <v>60</v>
      </c>
      <c r="AF356" s="43">
        <v>0.5</v>
      </c>
      <c r="AG356" s="45">
        <v>0</v>
      </c>
      <c r="AH356" s="35">
        <v>0.77400000000000002</v>
      </c>
      <c r="AI356" s="50">
        <v>41976</v>
      </c>
      <c r="AJ356" s="50" t="s">
        <v>209</v>
      </c>
      <c r="AK356" s="50">
        <v>100</v>
      </c>
      <c r="AL356" s="34">
        <v>9.9666666666666668</v>
      </c>
      <c r="AM356" s="43">
        <v>1</v>
      </c>
      <c r="AN356" s="35">
        <v>8.3055555555555549E-2</v>
      </c>
      <c r="AO356" s="35">
        <v>0.3322222222222222</v>
      </c>
      <c r="AP356" s="35">
        <v>1.3953333333333333</v>
      </c>
      <c r="AQ356" s="83">
        <v>6.6444444444444445E-2</v>
      </c>
      <c r="AR356" s="46">
        <v>27791</v>
      </c>
      <c r="AS356" s="50" t="s">
        <v>135</v>
      </c>
      <c r="AT356" s="50">
        <v>100</v>
      </c>
      <c r="AU356" s="44">
        <v>-1</v>
      </c>
      <c r="AV356" s="48">
        <v>-1</v>
      </c>
      <c r="AW356" s="48">
        <v>-1</v>
      </c>
      <c r="AX356" s="48">
        <v>-1</v>
      </c>
      <c r="AY356" s="48">
        <v>-1</v>
      </c>
      <c r="AZ356" s="45">
        <v>2</v>
      </c>
      <c r="BA356" s="41">
        <v>55.611111111111114</v>
      </c>
      <c r="BB356" s="35">
        <v>0.25</v>
      </c>
      <c r="BC356" s="53">
        <v>-1</v>
      </c>
      <c r="BD356" s="53">
        <v>-1</v>
      </c>
      <c r="BE356" s="53">
        <v>-1</v>
      </c>
      <c r="BF356" s="53">
        <v>-1</v>
      </c>
      <c r="BG356" s="53">
        <v>40</v>
      </c>
      <c r="BH356" s="53">
        <v>-1</v>
      </c>
      <c r="BI356" s="45">
        <v>60</v>
      </c>
      <c r="BJ356" s="28">
        <v>1</v>
      </c>
      <c r="BK356" s="53">
        <v>29.9</v>
      </c>
      <c r="BL356" s="54">
        <v>10</v>
      </c>
      <c r="BM356" s="45">
        <v>4</v>
      </c>
      <c r="BN356" s="53">
        <v>29.9</v>
      </c>
      <c r="BO356" s="54">
        <v>10</v>
      </c>
    </row>
    <row r="357" spans="1:67" s="50" customFormat="1" ht="15" customHeight="1" x14ac:dyDescent="0.25">
      <c r="A357" s="50">
        <v>356</v>
      </c>
      <c r="B357" s="36">
        <v>14031</v>
      </c>
      <c r="C357" s="36">
        <v>14031</v>
      </c>
      <c r="D357" s="36" t="s">
        <v>2</v>
      </c>
      <c r="E357" s="39" t="s">
        <v>460</v>
      </c>
      <c r="F357" s="39">
        <v>26.8996</v>
      </c>
      <c r="G357" s="36">
        <v>26.5</v>
      </c>
      <c r="H357" s="36">
        <v>117.77777777777777</v>
      </c>
      <c r="I357" s="36">
        <v>43.302165354330704</v>
      </c>
      <c r="J357" s="36">
        <v>8.2567383403997585</v>
      </c>
      <c r="K357" s="36">
        <v>3.302695336159903</v>
      </c>
      <c r="L357" s="36">
        <v>27791</v>
      </c>
      <c r="M357" s="36" t="s">
        <v>135</v>
      </c>
      <c r="N357" s="36">
        <v>100</v>
      </c>
      <c r="O357" s="36">
        <v>-1</v>
      </c>
      <c r="P357" s="36">
        <v>-1</v>
      </c>
      <c r="Q357" s="36">
        <v>-1</v>
      </c>
      <c r="R357" s="36">
        <v>-1</v>
      </c>
      <c r="S357" s="36">
        <v>-1</v>
      </c>
      <c r="T357" s="36">
        <v>-1</v>
      </c>
      <c r="U357" s="36">
        <v>-1</v>
      </c>
      <c r="V357" s="36">
        <v>-1</v>
      </c>
      <c r="W357" s="36">
        <v>1</v>
      </c>
      <c r="X357" s="102">
        <v>2</v>
      </c>
      <c r="Y357" s="29">
        <v>43</v>
      </c>
      <c r="Z357" s="47">
        <v>10</v>
      </c>
      <c r="AA357" s="47">
        <v>80</v>
      </c>
      <c r="AB357" s="50">
        <v>27766</v>
      </c>
      <c r="AC357" s="50" t="s">
        <v>136</v>
      </c>
      <c r="AD357" s="50">
        <v>100</v>
      </c>
      <c r="AE357" s="42">
        <v>30</v>
      </c>
      <c r="AF357" s="43">
        <v>0.5</v>
      </c>
      <c r="AG357" s="45">
        <v>0</v>
      </c>
      <c r="AH357" s="35">
        <v>0.38700000000000001</v>
      </c>
      <c r="AI357" s="50">
        <v>41976</v>
      </c>
      <c r="AJ357" s="50" t="s">
        <v>209</v>
      </c>
      <c r="AK357" s="50">
        <v>100</v>
      </c>
      <c r="AL357" s="34">
        <v>8.8333333333333339</v>
      </c>
      <c r="AM357" s="43">
        <v>1</v>
      </c>
      <c r="AN357" s="35">
        <v>7.3611111111111113E-2</v>
      </c>
      <c r="AO357" s="35">
        <v>0.29444444444444445</v>
      </c>
      <c r="AP357" s="35">
        <v>1.2366666666666668</v>
      </c>
      <c r="AQ357" s="83">
        <v>5.8888888888888893E-2</v>
      </c>
      <c r="AR357" s="46">
        <v>27791</v>
      </c>
      <c r="AS357" s="50" t="s">
        <v>135</v>
      </c>
      <c r="AT357" s="50">
        <v>100</v>
      </c>
      <c r="AU357" s="44">
        <v>-1</v>
      </c>
      <c r="AV357" s="48">
        <v>-1</v>
      </c>
      <c r="AW357" s="48">
        <v>-1</v>
      </c>
      <c r="AX357" s="48">
        <v>-1</v>
      </c>
      <c r="AY357" s="48">
        <v>-1</v>
      </c>
      <c r="AZ357" s="45">
        <v>1</v>
      </c>
      <c r="BA357" s="41">
        <v>33.722222222222221</v>
      </c>
      <c r="BB357" s="35">
        <v>0.25</v>
      </c>
      <c r="BC357" s="53">
        <v>-1</v>
      </c>
      <c r="BD357" s="53">
        <v>-1</v>
      </c>
      <c r="BE357" s="53">
        <v>-1</v>
      </c>
      <c r="BF357" s="53">
        <v>-1</v>
      </c>
      <c r="BG357" s="53">
        <v>70</v>
      </c>
      <c r="BH357" s="53">
        <v>-1</v>
      </c>
      <c r="BI357" s="45">
        <v>30</v>
      </c>
      <c r="BJ357" s="28">
        <v>1</v>
      </c>
      <c r="BK357" s="53">
        <v>26.5</v>
      </c>
      <c r="BL357" s="54">
        <v>10</v>
      </c>
      <c r="BM357" s="45">
        <v>4</v>
      </c>
      <c r="BN357" s="53">
        <v>26.5</v>
      </c>
      <c r="BO357" s="54">
        <v>10</v>
      </c>
    </row>
    <row r="358" spans="1:67" s="50" customFormat="1" ht="15" customHeight="1" x14ac:dyDescent="0.25">
      <c r="A358" s="50">
        <v>357</v>
      </c>
      <c r="B358" s="52" t="s">
        <v>326</v>
      </c>
      <c r="C358" s="68">
        <v>9114170</v>
      </c>
      <c r="D358" s="36" t="s">
        <v>2</v>
      </c>
      <c r="E358" s="80" t="s">
        <v>12</v>
      </c>
      <c r="F358" s="39">
        <v>14.5</v>
      </c>
      <c r="G358" s="36">
        <v>14.5</v>
      </c>
      <c r="H358" s="36">
        <v>64</v>
      </c>
      <c r="I358" s="36">
        <v>57.677165354330697</v>
      </c>
      <c r="J358" s="36">
        <v>11</v>
      </c>
      <c r="K358" s="36">
        <v>4</v>
      </c>
      <c r="L358" s="45">
        <v>27791</v>
      </c>
      <c r="M358" s="36" t="s">
        <v>135</v>
      </c>
      <c r="N358" s="36">
        <v>100</v>
      </c>
      <c r="O358" s="36">
        <v>-1</v>
      </c>
      <c r="P358" s="36">
        <v>-1</v>
      </c>
      <c r="Q358" s="36">
        <v>-1</v>
      </c>
      <c r="R358" s="36">
        <v>-1</v>
      </c>
      <c r="S358" s="36">
        <v>-1</v>
      </c>
      <c r="T358" s="36">
        <v>-1</v>
      </c>
      <c r="U358" s="36">
        <v>-1</v>
      </c>
      <c r="V358" s="36">
        <v>-1</v>
      </c>
      <c r="W358" s="36">
        <v>1</v>
      </c>
      <c r="X358" s="102">
        <v>2</v>
      </c>
      <c r="Y358" s="29">
        <v>42.75</v>
      </c>
      <c r="Z358" s="47">
        <v>10</v>
      </c>
      <c r="AA358" s="47">
        <v>80</v>
      </c>
      <c r="AB358" s="50">
        <v>27766</v>
      </c>
      <c r="AC358" s="50" t="s">
        <v>136</v>
      </c>
      <c r="AD358" s="50">
        <v>100</v>
      </c>
      <c r="AE358" s="42">
        <v>43</v>
      </c>
      <c r="AF358" s="43">
        <v>1</v>
      </c>
      <c r="AG358" s="45">
        <v>80</v>
      </c>
      <c r="AH358" s="35">
        <v>0.25</v>
      </c>
      <c r="AI358" s="50">
        <v>20646</v>
      </c>
      <c r="AJ358" s="50" t="s">
        <v>331</v>
      </c>
      <c r="AK358" s="50">
        <v>100</v>
      </c>
      <c r="AL358" s="34">
        <v>4.8</v>
      </c>
      <c r="AM358" s="43">
        <v>1</v>
      </c>
      <c r="AN358" s="35">
        <v>0.04</v>
      </c>
      <c r="AO358" s="35">
        <v>0.16</v>
      </c>
      <c r="AP358" s="35">
        <v>0.68</v>
      </c>
      <c r="AQ358" s="83">
        <v>0.03</v>
      </c>
      <c r="AR358" s="50">
        <v>27791</v>
      </c>
      <c r="AS358" s="46" t="s">
        <v>135</v>
      </c>
      <c r="AT358" s="46">
        <v>100</v>
      </c>
      <c r="AU358" s="44">
        <v>-1</v>
      </c>
      <c r="AV358" s="48">
        <v>-1</v>
      </c>
      <c r="AW358" s="48">
        <v>-1</v>
      </c>
      <c r="AX358" s="48">
        <v>-1</v>
      </c>
      <c r="AY358" s="48">
        <v>-1</v>
      </c>
      <c r="AZ358" s="45">
        <v>1</v>
      </c>
      <c r="BA358" s="45">
        <v>8.1</v>
      </c>
      <c r="BB358" s="35">
        <v>0.25</v>
      </c>
      <c r="BC358" s="45">
        <v>-1</v>
      </c>
      <c r="BD358" s="45">
        <v>-1</v>
      </c>
      <c r="BE358" s="45">
        <v>-1</v>
      </c>
      <c r="BF358" s="45">
        <v>-1</v>
      </c>
      <c r="BG358" s="45">
        <v>100</v>
      </c>
      <c r="BH358" s="45">
        <v>-1</v>
      </c>
      <c r="BI358" s="45">
        <v>-1</v>
      </c>
      <c r="BJ358" s="28">
        <v>1</v>
      </c>
      <c r="BK358" s="45">
        <v>14.5</v>
      </c>
      <c r="BL358" s="43">
        <v>10</v>
      </c>
      <c r="BM358" s="45">
        <v>4</v>
      </c>
      <c r="BN358" s="45">
        <v>14.5</v>
      </c>
      <c r="BO358" s="43">
        <v>10</v>
      </c>
    </row>
    <row r="359" spans="1:67" s="50" customFormat="1" ht="15" customHeight="1" x14ac:dyDescent="0.25">
      <c r="A359" s="50">
        <v>358</v>
      </c>
      <c r="B359" s="52" t="s">
        <v>327</v>
      </c>
      <c r="C359" s="68">
        <v>9214170</v>
      </c>
      <c r="D359" s="36" t="s">
        <v>2</v>
      </c>
      <c r="E359" s="80" t="s">
        <v>12</v>
      </c>
      <c r="F359" s="39">
        <v>55.5</v>
      </c>
      <c r="G359" s="36">
        <v>55.5</v>
      </c>
      <c r="H359" s="36">
        <v>247</v>
      </c>
      <c r="I359" s="36">
        <v>53.226377952755911</v>
      </c>
      <c r="J359" s="36">
        <v>10</v>
      </c>
      <c r="K359" s="36">
        <v>4</v>
      </c>
      <c r="L359" s="45">
        <v>27791</v>
      </c>
      <c r="M359" s="36" t="s">
        <v>135</v>
      </c>
      <c r="N359" s="36">
        <v>100</v>
      </c>
      <c r="O359" s="36">
        <v>-1</v>
      </c>
      <c r="P359" s="36">
        <v>-1</v>
      </c>
      <c r="Q359" s="36">
        <v>-1</v>
      </c>
      <c r="R359" s="36">
        <v>-1</v>
      </c>
      <c r="S359" s="36">
        <v>-1</v>
      </c>
      <c r="T359" s="36">
        <v>-1</v>
      </c>
      <c r="U359" s="36">
        <v>-1</v>
      </c>
      <c r="V359" s="36">
        <v>-1</v>
      </c>
      <c r="W359" s="36">
        <v>1</v>
      </c>
      <c r="X359" s="102">
        <v>2</v>
      </c>
      <c r="Y359" s="29">
        <v>22.25</v>
      </c>
      <c r="Z359" s="47">
        <v>10</v>
      </c>
      <c r="AA359" s="47">
        <v>80</v>
      </c>
      <c r="AB359" s="50">
        <v>27766</v>
      </c>
      <c r="AC359" s="50" t="s">
        <v>136</v>
      </c>
      <c r="AD359" s="50">
        <v>100</v>
      </c>
      <c r="AE359" s="42">
        <v>22</v>
      </c>
      <c r="AF359" s="43">
        <v>1</v>
      </c>
      <c r="AG359" s="45">
        <v>80</v>
      </c>
      <c r="AH359" s="35">
        <v>0.25</v>
      </c>
      <c r="AI359" s="50">
        <v>20646</v>
      </c>
      <c r="AJ359" s="50" t="s">
        <v>331</v>
      </c>
      <c r="AK359" s="50">
        <v>100</v>
      </c>
      <c r="AL359" s="34">
        <v>18.5</v>
      </c>
      <c r="AM359" s="43">
        <v>1</v>
      </c>
      <c r="AN359" s="35">
        <v>0.15</v>
      </c>
      <c r="AO359" s="35">
        <v>0.62</v>
      </c>
      <c r="AP359" s="35">
        <v>2.59</v>
      </c>
      <c r="AQ359" s="83">
        <v>0.12</v>
      </c>
      <c r="AR359" s="50">
        <v>27791</v>
      </c>
      <c r="AS359" s="46" t="s">
        <v>135</v>
      </c>
      <c r="AT359" s="46">
        <v>100</v>
      </c>
      <c r="AU359" s="44">
        <v>-1</v>
      </c>
      <c r="AV359" s="48">
        <v>-1</v>
      </c>
      <c r="AW359" s="48">
        <v>-1</v>
      </c>
      <c r="AX359" s="48">
        <v>-1</v>
      </c>
      <c r="AY359" s="48">
        <v>-1</v>
      </c>
      <c r="AZ359" s="45">
        <v>1</v>
      </c>
      <c r="BA359" s="45">
        <v>31</v>
      </c>
      <c r="BB359" s="35">
        <v>0.25</v>
      </c>
      <c r="BC359" s="45">
        <v>-1</v>
      </c>
      <c r="BD359" s="45">
        <v>-1</v>
      </c>
      <c r="BE359" s="45">
        <v>-1</v>
      </c>
      <c r="BF359" s="45">
        <v>-1</v>
      </c>
      <c r="BG359" s="45">
        <v>100</v>
      </c>
      <c r="BH359" s="45">
        <v>-1</v>
      </c>
      <c r="BI359" s="45">
        <v>-1</v>
      </c>
      <c r="BJ359" s="28">
        <v>1</v>
      </c>
      <c r="BK359" s="45">
        <v>55.5</v>
      </c>
      <c r="BL359" s="43">
        <v>10</v>
      </c>
      <c r="BM359" s="45">
        <v>4</v>
      </c>
      <c r="BN359" s="45">
        <v>55.5</v>
      </c>
      <c r="BO359" s="43">
        <v>10</v>
      </c>
    </row>
    <row r="360" spans="1:67" s="50" customFormat="1" ht="15" customHeight="1" x14ac:dyDescent="0.25">
      <c r="A360" s="50">
        <v>359</v>
      </c>
      <c r="B360" s="52" t="s">
        <v>328</v>
      </c>
      <c r="C360" s="68">
        <v>9314170</v>
      </c>
      <c r="D360" s="36" t="s">
        <v>2</v>
      </c>
      <c r="E360" s="80" t="s">
        <v>12</v>
      </c>
      <c r="F360" s="39">
        <v>77.3</v>
      </c>
      <c r="G360" s="36">
        <v>77.3</v>
      </c>
      <c r="H360" s="36">
        <v>344</v>
      </c>
      <c r="I360" s="36">
        <v>70.777230971128603</v>
      </c>
      <c r="J360" s="36">
        <v>14</v>
      </c>
      <c r="K360" s="36">
        <v>5</v>
      </c>
      <c r="L360" s="45">
        <v>27791</v>
      </c>
      <c r="M360" s="36" t="s">
        <v>135</v>
      </c>
      <c r="N360" s="36">
        <v>100</v>
      </c>
      <c r="O360" s="36">
        <v>-1</v>
      </c>
      <c r="P360" s="36">
        <v>-1</v>
      </c>
      <c r="Q360" s="36">
        <v>-1</v>
      </c>
      <c r="R360" s="36">
        <v>-1</v>
      </c>
      <c r="S360" s="36">
        <v>-1</v>
      </c>
      <c r="T360" s="36">
        <v>-1</v>
      </c>
      <c r="U360" s="36">
        <v>-1</v>
      </c>
      <c r="V360" s="36">
        <v>-1</v>
      </c>
      <c r="W360" s="36">
        <v>1</v>
      </c>
      <c r="X360" s="102">
        <v>2</v>
      </c>
      <c r="Y360" s="29">
        <v>11.350000000000001</v>
      </c>
      <c r="Z360" s="47">
        <v>10</v>
      </c>
      <c r="AA360" s="47">
        <v>80</v>
      </c>
      <c r="AB360" s="50">
        <v>27766</v>
      </c>
      <c r="AC360" s="50" t="s">
        <v>136</v>
      </c>
      <c r="AD360" s="50">
        <v>100</v>
      </c>
      <c r="AE360" s="42">
        <v>11</v>
      </c>
      <c r="AF360" s="43">
        <v>1</v>
      </c>
      <c r="AG360" s="45">
        <v>80</v>
      </c>
      <c r="AH360" s="35">
        <v>0.25</v>
      </c>
      <c r="AI360" s="50">
        <v>20646</v>
      </c>
      <c r="AJ360" s="50" t="s">
        <v>331</v>
      </c>
      <c r="AK360" s="50">
        <v>100</v>
      </c>
      <c r="AL360" s="34">
        <v>25.8</v>
      </c>
      <c r="AM360" s="43">
        <v>1</v>
      </c>
      <c r="AN360" s="35">
        <v>0.21</v>
      </c>
      <c r="AO360" s="35">
        <v>0.86</v>
      </c>
      <c r="AP360" s="35">
        <v>3.61</v>
      </c>
      <c r="AQ360" s="83">
        <v>0.17</v>
      </c>
      <c r="AR360" s="50">
        <v>27791</v>
      </c>
      <c r="AS360" s="46" t="s">
        <v>135</v>
      </c>
      <c r="AT360" s="46">
        <v>100</v>
      </c>
      <c r="AU360" s="44">
        <v>-1</v>
      </c>
      <c r="AV360" s="48">
        <v>-1</v>
      </c>
      <c r="AW360" s="48">
        <v>-1</v>
      </c>
      <c r="AX360" s="48">
        <v>-1</v>
      </c>
      <c r="AY360" s="48">
        <v>-1</v>
      </c>
      <c r="AZ360" s="45">
        <v>1</v>
      </c>
      <c r="BA360" s="45">
        <v>43</v>
      </c>
      <c r="BB360" s="35">
        <v>0.25</v>
      </c>
      <c r="BC360" s="45">
        <v>-1</v>
      </c>
      <c r="BD360" s="45">
        <v>-1</v>
      </c>
      <c r="BE360" s="45">
        <v>-1</v>
      </c>
      <c r="BF360" s="45">
        <v>-1</v>
      </c>
      <c r="BG360" s="45">
        <v>100</v>
      </c>
      <c r="BH360" s="45">
        <v>-1</v>
      </c>
      <c r="BI360" s="45">
        <v>-1</v>
      </c>
      <c r="BJ360" s="28">
        <v>1</v>
      </c>
      <c r="BK360" s="45">
        <v>77.3</v>
      </c>
      <c r="BL360" s="43">
        <v>10</v>
      </c>
      <c r="BM360" s="45">
        <v>4</v>
      </c>
      <c r="BN360" s="45">
        <v>77.3</v>
      </c>
      <c r="BO360" s="43">
        <v>10</v>
      </c>
    </row>
  </sheetData>
  <autoFilter ref="A1:BO361">
    <sortState ref="A2:BO361">
      <sortCondition ref="A1:A361"/>
    </sortState>
  </autoFilter>
  <conditionalFormatting sqref="G1:X1048576">
    <cfRule type="cellIs" dxfId="1" priority="1" operator="equal">
      <formula>-3</formula>
    </cfRule>
    <cfRule type="cellIs" dxfId="0" priority="2" operator="equal">
      <formula>-1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N360"/>
  <sheetViews>
    <sheetView zoomScale="70" zoomScaleNormal="70" workbookViewId="0">
      <pane xSplit="3" ySplit="1" topLeftCell="D233" activePane="bottomRight" state="frozen"/>
      <selection pane="topRight" activeCell="D1" sqref="D1"/>
      <selection pane="bottomLeft" activeCell="A2" sqref="A2"/>
      <selection pane="bottomRight" activeCell="I275" sqref="I275"/>
    </sheetView>
  </sheetViews>
  <sheetFormatPr baseColWidth="10" defaultRowHeight="15" x14ac:dyDescent="0.25"/>
  <cols>
    <col min="1" max="1" width="5.42578125" style="50" customWidth="1"/>
    <col min="2" max="2" width="7.28515625" style="36" customWidth="1"/>
    <col min="3" max="3" width="10.140625" style="46" customWidth="1"/>
    <col min="4" max="4" width="37.85546875" style="36" customWidth="1"/>
    <col min="5" max="5" width="54.140625" style="46" customWidth="1"/>
    <col min="6" max="6" width="14.140625" style="36" customWidth="1"/>
    <col min="7" max="16384" width="11.42578125" style="50"/>
  </cols>
  <sheetData>
    <row r="1" spans="1:20" x14ac:dyDescent="0.25">
      <c r="A1" s="50" t="s">
        <v>330</v>
      </c>
      <c r="B1" s="36" t="s">
        <v>42</v>
      </c>
      <c r="C1" s="46" t="s">
        <v>329</v>
      </c>
      <c r="D1" s="36" t="s">
        <v>0</v>
      </c>
      <c r="E1" s="46" t="s">
        <v>1</v>
      </c>
      <c r="F1" s="36" t="s">
        <v>440</v>
      </c>
      <c r="K1" s="4" t="s">
        <v>648</v>
      </c>
    </row>
    <row r="2" spans="1:20" x14ac:dyDescent="0.25">
      <c r="A2" s="50">
        <v>1</v>
      </c>
      <c r="B2" s="36">
        <v>1010</v>
      </c>
      <c r="C2" s="46">
        <v>1010</v>
      </c>
      <c r="D2" s="37" t="s">
        <v>6</v>
      </c>
      <c r="E2" s="25" t="s">
        <v>410</v>
      </c>
      <c r="F2" s="36" t="s">
        <v>438</v>
      </c>
      <c r="K2" s="50" t="s">
        <v>439</v>
      </c>
    </row>
    <row r="3" spans="1:20" x14ac:dyDescent="0.25">
      <c r="A3" s="50">
        <v>2</v>
      </c>
      <c r="B3" s="36">
        <v>1011</v>
      </c>
      <c r="C3" s="46">
        <v>1011</v>
      </c>
      <c r="D3" s="37" t="s">
        <v>6</v>
      </c>
      <c r="E3" s="25" t="s">
        <v>411</v>
      </c>
      <c r="F3" s="36" t="s">
        <v>441</v>
      </c>
      <c r="K3" s="50" t="s">
        <v>488</v>
      </c>
    </row>
    <row r="4" spans="1:20" x14ac:dyDescent="0.25">
      <c r="A4" s="50">
        <v>3</v>
      </c>
      <c r="B4" s="36">
        <v>1012</v>
      </c>
      <c r="C4" s="46">
        <v>1012</v>
      </c>
      <c r="D4" s="37" t="s">
        <v>6</v>
      </c>
      <c r="E4" s="25" t="s">
        <v>412</v>
      </c>
      <c r="F4" s="36" t="s">
        <v>442</v>
      </c>
      <c r="K4" s="50" t="s">
        <v>489</v>
      </c>
    </row>
    <row r="5" spans="1:20" x14ac:dyDescent="0.25">
      <c r="A5" s="50">
        <v>4</v>
      </c>
      <c r="B5" s="36">
        <v>1013</v>
      </c>
      <c r="C5" s="46">
        <v>1013</v>
      </c>
      <c r="D5" s="37" t="s">
        <v>6</v>
      </c>
      <c r="E5" s="25" t="s">
        <v>413</v>
      </c>
      <c r="F5" s="36" t="s">
        <v>443</v>
      </c>
      <c r="K5" s="50" t="s">
        <v>490</v>
      </c>
    </row>
    <row r="6" spans="1:20" ht="15" customHeight="1" x14ac:dyDescent="0.25">
      <c r="A6" s="50">
        <v>5</v>
      </c>
      <c r="B6" s="36">
        <v>1016</v>
      </c>
      <c r="C6" s="46">
        <v>1016</v>
      </c>
      <c r="D6" s="37" t="s">
        <v>6</v>
      </c>
      <c r="E6" s="25" t="s">
        <v>414</v>
      </c>
      <c r="F6" s="36" t="s">
        <v>444</v>
      </c>
      <c r="J6" s="73"/>
    </row>
    <row r="7" spans="1:20" ht="15" customHeight="1" x14ac:dyDescent="0.25">
      <c r="A7" s="50">
        <v>6</v>
      </c>
      <c r="B7" s="36">
        <v>1017</v>
      </c>
      <c r="C7" s="46">
        <v>1017</v>
      </c>
      <c r="D7" s="37" t="s">
        <v>6</v>
      </c>
      <c r="E7" s="25" t="s">
        <v>416</v>
      </c>
      <c r="F7" s="36" t="s">
        <v>445</v>
      </c>
      <c r="I7" s="73"/>
      <c r="J7" s="73"/>
      <c r="K7" s="50" t="s">
        <v>641</v>
      </c>
    </row>
    <row r="8" spans="1:20" x14ac:dyDescent="0.25">
      <c r="A8" s="50">
        <v>7</v>
      </c>
      <c r="B8" s="36">
        <v>1018</v>
      </c>
      <c r="C8" s="46">
        <v>1018</v>
      </c>
      <c r="D8" s="37" t="s">
        <v>6</v>
      </c>
      <c r="E8" s="25" t="s">
        <v>418</v>
      </c>
      <c r="F8" s="36" t="s">
        <v>446</v>
      </c>
      <c r="I8" s="73"/>
      <c r="J8" s="73"/>
    </row>
    <row r="9" spans="1:20" x14ac:dyDescent="0.25">
      <c r="A9" s="50">
        <v>8</v>
      </c>
      <c r="B9" s="36">
        <v>1019</v>
      </c>
      <c r="C9" s="46">
        <v>1019</v>
      </c>
      <c r="D9" s="37" t="s">
        <v>6</v>
      </c>
      <c r="E9" s="25" t="s">
        <v>419</v>
      </c>
      <c r="F9" s="36" t="s">
        <v>447</v>
      </c>
      <c r="I9" s="73"/>
      <c r="J9" s="73"/>
      <c r="K9" s="92" t="s">
        <v>649</v>
      </c>
      <c r="L9" s="92"/>
      <c r="M9" s="92"/>
      <c r="N9" s="92"/>
      <c r="O9" s="92"/>
      <c r="P9" s="92"/>
      <c r="Q9" s="92"/>
      <c r="R9" s="92"/>
      <c r="S9" s="92"/>
      <c r="T9" s="92"/>
    </row>
    <row r="10" spans="1:20" x14ac:dyDescent="0.25">
      <c r="A10" s="50">
        <v>9</v>
      </c>
      <c r="B10" s="36">
        <v>1020</v>
      </c>
      <c r="C10" s="46">
        <v>1020</v>
      </c>
      <c r="D10" s="37" t="s">
        <v>6</v>
      </c>
      <c r="E10" s="38" t="s">
        <v>427</v>
      </c>
      <c r="F10" s="36" t="s">
        <v>492</v>
      </c>
      <c r="I10" s="73"/>
      <c r="J10" s="73"/>
      <c r="K10" s="92"/>
      <c r="L10" s="92"/>
      <c r="M10" s="92"/>
      <c r="N10" s="92"/>
      <c r="O10" s="92"/>
      <c r="P10" s="92"/>
      <c r="Q10" s="92"/>
      <c r="R10" s="92"/>
      <c r="S10" s="92"/>
      <c r="T10" s="92"/>
    </row>
    <row r="11" spans="1:20" x14ac:dyDescent="0.25">
      <c r="A11" s="50">
        <v>10</v>
      </c>
      <c r="B11" s="36">
        <v>1021</v>
      </c>
      <c r="C11" s="46">
        <v>1021</v>
      </c>
      <c r="D11" s="37" t="s">
        <v>6</v>
      </c>
      <c r="E11" s="38" t="s">
        <v>426</v>
      </c>
      <c r="F11" s="36" t="s">
        <v>493</v>
      </c>
      <c r="I11" s="73"/>
      <c r="J11" s="73"/>
      <c r="K11" s="92"/>
      <c r="L11" s="92"/>
      <c r="M11" s="92"/>
      <c r="N11" s="92"/>
      <c r="O11" s="92"/>
      <c r="P11" s="92"/>
      <c r="Q11" s="92"/>
      <c r="R11" s="92"/>
      <c r="S11" s="92"/>
      <c r="T11" s="92"/>
    </row>
    <row r="12" spans="1:20" x14ac:dyDescent="0.25">
      <c r="A12" s="50">
        <v>11</v>
      </c>
      <c r="B12" s="36">
        <v>1022</v>
      </c>
      <c r="C12" s="46">
        <v>1022</v>
      </c>
      <c r="D12" s="37" t="s">
        <v>6</v>
      </c>
      <c r="E12" s="38" t="s">
        <v>428</v>
      </c>
      <c r="F12" s="36" t="s">
        <v>497</v>
      </c>
      <c r="J12" s="73"/>
      <c r="K12" s="92"/>
      <c r="L12" s="92"/>
      <c r="M12" s="92"/>
      <c r="N12" s="92"/>
      <c r="O12" s="92"/>
      <c r="P12" s="92"/>
      <c r="Q12" s="92"/>
      <c r="R12" s="92"/>
      <c r="S12" s="92"/>
      <c r="T12" s="92"/>
    </row>
    <row r="13" spans="1:20" x14ac:dyDescent="0.25">
      <c r="A13" s="50">
        <v>12</v>
      </c>
      <c r="B13" s="36">
        <v>1023</v>
      </c>
      <c r="C13" s="46">
        <v>1023</v>
      </c>
      <c r="D13" s="37" t="s">
        <v>6</v>
      </c>
      <c r="E13" s="38" t="s">
        <v>429</v>
      </c>
      <c r="F13" s="36" t="s">
        <v>494</v>
      </c>
      <c r="J13" s="73"/>
      <c r="K13" s="92"/>
      <c r="L13" s="92"/>
      <c r="M13" s="92"/>
      <c r="N13" s="92"/>
      <c r="O13" s="92"/>
      <c r="P13" s="92"/>
      <c r="Q13" s="92"/>
      <c r="R13" s="92"/>
      <c r="S13" s="92"/>
      <c r="T13" s="92"/>
    </row>
    <row r="14" spans="1:20" x14ac:dyDescent="0.25">
      <c r="A14" s="50">
        <v>13</v>
      </c>
      <c r="B14" s="36">
        <v>1026</v>
      </c>
      <c r="C14" s="46">
        <v>1026</v>
      </c>
      <c r="D14" s="37" t="s">
        <v>6</v>
      </c>
      <c r="E14" s="38" t="s">
        <v>430</v>
      </c>
      <c r="F14" s="36" t="s">
        <v>495</v>
      </c>
      <c r="I14" s="73"/>
      <c r="J14" s="73"/>
    </row>
    <row r="15" spans="1:20" x14ac:dyDescent="0.25">
      <c r="A15" s="50">
        <v>14</v>
      </c>
      <c r="B15" s="36">
        <v>1027</v>
      </c>
      <c r="C15" s="46">
        <v>1027</v>
      </c>
      <c r="D15" s="37" t="s">
        <v>6</v>
      </c>
      <c r="E15" s="38" t="s">
        <v>431</v>
      </c>
      <c r="F15" s="36" t="s">
        <v>496</v>
      </c>
      <c r="K15" s="90" t="s">
        <v>650</v>
      </c>
    </row>
    <row r="16" spans="1:20" x14ac:dyDescent="0.25">
      <c r="A16" s="50">
        <v>15</v>
      </c>
      <c r="B16" s="36">
        <v>1028</v>
      </c>
      <c r="C16" s="36">
        <v>1028</v>
      </c>
      <c r="D16" s="37" t="s">
        <v>6</v>
      </c>
      <c r="E16" s="38" t="s">
        <v>432</v>
      </c>
      <c r="F16" s="36" t="s">
        <v>498</v>
      </c>
      <c r="K16" s="50" t="s">
        <v>655</v>
      </c>
    </row>
    <row r="17" spans="1:65" x14ac:dyDescent="0.25">
      <c r="A17" s="50">
        <v>16</v>
      </c>
      <c r="B17" s="36">
        <v>1029</v>
      </c>
      <c r="C17" s="36">
        <v>1029</v>
      </c>
      <c r="D17" s="37" t="s">
        <v>6</v>
      </c>
      <c r="E17" s="38" t="s">
        <v>433</v>
      </c>
      <c r="F17" s="36" t="s">
        <v>499</v>
      </c>
      <c r="K17" s="94" t="s">
        <v>654</v>
      </c>
      <c r="L17" s="95"/>
      <c r="M17" s="95"/>
      <c r="N17" s="95"/>
      <c r="O17" s="95"/>
      <c r="P17" s="95"/>
      <c r="Q17" s="95"/>
      <c r="R17" s="95"/>
      <c r="S17" s="95"/>
      <c r="T17" s="95"/>
    </row>
    <row r="18" spans="1:65" ht="15" customHeight="1" x14ac:dyDescent="0.25">
      <c r="A18" s="50">
        <v>17</v>
      </c>
      <c r="B18" s="51" t="s">
        <v>503</v>
      </c>
      <c r="C18" s="51">
        <v>911030</v>
      </c>
      <c r="D18" s="21" t="s">
        <v>6</v>
      </c>
      <c r="E18" s="39" t="s">
        <v>461</v>
      </c>
      <c r="F18" s="36" t="s">
        <v>492</v>
      </c>
      <c r="G18" s="36"/>
      <c r="H18" s="36"/>
      <c r="I18" s="36"/>
      <c r="J18" s="36"/>
      <c r="K18" s="95"/>
      <c r="L18" s="95"/>
      <c r="M18" s="95"/>
      <c r="N18" s="95"/>
      <c r="O18" s="95"/>
      <c r="P18" s="95"/>
      <c r="Q18" s="95"/>
      <c r="R18" s="95"/>
      <c r="S18" s="95"/>
      <c r="T18" s="95"/>
      <c r="U18" s="36"/>
      <c r="V18" s="36"/>
      <c r="W18" s="36"/>
      <c r="X18" s="43"/>
      <c r="Y18" s="36"/>
      <c r="Z18" s="45"/>
      <c r="AA18" s="45"/>
      <c r="AB18" s="45"/>
      <c r="AC18" s="36"/>
      <c r="AD18" s="43"/>
      <c r="AE18" s="36"/>
      <c r="AF18" s="43"/>
      <c r="AG18" s="45"/>
      <c r="AH18" s="45"/>
      <c r="AI18" s="45"/>
      <c r="AJ18" s="36"/>
      <c r="AK18" s="43"/>
      <c r="AL18" s="35"/>
      <c r="AM18" s="35"/>
      <c r="AN18" s="35"/>
      <c r="AO18" s="35"/>
      <c r="AP18" s="36"/>
      <c r="AQ18" s="45"/>
      <c r="AR18" s="45"/>
      <c r="AS18" s="45"/>
      <c r="AT18" s="45"/>
      <c r="AU18" s="45"/>
      <c r="AV18" s="36"/>
      <c r="AW18" s="45"/>
      <c r="AX18" s="45"/>
      <c r="AY18" s="36"/>
      <c r="AZ18" s="43"/>
      <c r="BA18" s="53"/>
      <c r="BB18" s="53"/>
      <c r="BC18" s="53"/>
      <c r="BD18" s="53"/>
      <c r="BE18" s="53"/>
      <c r="BF18" s="53"/>
      <c r="BG18" s="45"/>
      <c r="BH18" s="45"/>
      <c r="BI18" s="55"/>
      <c r="BJ18" s="54"/>
      <c r="BK18" s="45"/>
      <c r="BL18" s="55"/>
      <c r="BM18" s="54"/>
    </row>
    <row r="19" spans="1:65" ht="15" customHeight="1" x14ac:dyDescent="0.25">
      <c r="A19" s="50">
        <v>18</v>
      </c>
      <c r="B19" s="51" t="s">
        <v>504</v>
      </c>
      <c r="C19" s="51">
        <v>921030</v>
      </c>
      <c r="D19" s="21" t="s">
        <v>6</v>
      </c>
      <c r="E19" s="39" t="s">
        <v>461</v>
      </c>
      <c r="F19" s="36" t="s">
        <v>492</v>
      </c>
      <c r="G19" s="36"/>
      <c r="H19" s="36"/>
      <c r="I19" s="36"/>
      <c r="J19" s="36"/>
      <c r="K19" s="95"/>
      <c r="L19" s="95"/>
      <c r="M19" s="95"/>
      <c r="N19" s="95"/>
      <c r="O19" s="95"/>
      <c r="P19" s="95"/>
      <c r="Q19" s="95"/>
      <c r="R19" s="95"/>
      <c r="S19" s="95"/>
      <c r="T19" s="95"/>
      <c r="U19" s="36"/>
      <c r="V19" s="36"/>
      <c r="W19" s="36"/>
      <c r="X19" s="43"/>
      <c r="Y19" s="36"/>
      <c r="Z19" s="45"/>
      <c r="AA19" s="45"/>
      <c r="AB19" s="45"/>
      <c r="AC19" s="36"/>
      <c r="AD19" s="43"/>
      <c r="AE19" s="36"/>
      <c r="AF19" s="43"/>
      <c r="AG19" s="45"/>
      <c r="AH19" s="45"/>
      <c r="AI19" s="45"/>
      <c r="AJ19" s="36"/>
      <c r="AK19" s="43"/>
      <c r="AL19" s="35"/>
      <c r="AM19" s="35"/>
      <c r="AN19" s="35"/>
      <c r="AO19" s="35"/>
      <c r="AP19" s="36"/>
      <c r="AQ19" s="45"/>
      <c r="AR19" s="45"/>
      <c r="AS19" s="45"/>
      <c r="AT19" s="45"/>
      <c r="AU19" s="45"/>
      <c r="AV19" s="36"/>
      <c r="AW19" s="45"/>
      <c r="AX19" s="45"/>
      <c r="AY19" s="36"/>
      <c r="AZ19" s="43"/>
      <c r="BA19" s="45"/>
      <c r="BB19" s="45"/>
      <c r="BC19" s="45"/>
      <c r="BD19" s="45"/>
      <c r="BE19" s="45"/>
      <c r="BF19" s="45"/>
      <c r="BG19" s="45"/>
      <c r="BH19" s="45"/>
      <c r="BI19" s="36"/>
      <c r="BJ19" s="43"/>
      <c r="BK19" s="45"/>
      <c r="BL19" s="36"/>
      <c r="BM19" s="43"/>
    </row>
    <row r="20" spans="1:65" ht="15" customHeight="1" x14ac:dyDescent="0.25">
      <c r="A20" s="50">
        <v>19</v>
      </c>
      <c r="B20" s="51" t="s">
        <v>505</v>
      </c>
      <c r="C20" s="51">
        <v>931030</v>
      </c>
      <c r="D20" s="37" t="s">
        <v>6</v>
      </c>
      <c r="E20" s="39" t="s">
        <v>461</v>
      </c>
      <c r="F20" s="36" t="s">
        <v>492</v>
      </c>
      <c r="G20" s="36"/>
      <c r="H20" s="36"/>
      <c r="I20" s="36"/>
      <c r="J20" s="36"/>
      <c r="K20" s="92" t="s">
        <v>651</v>
      </c>
      <c r="L20" s="92"/>
      <c r="M20" s="92"/>
      <c r="N20" s="92"/>
      <c r="O20" s="92"/>
      <c r="P20" s="92"/>
      <c r="Q20" s="92"/>
      <c r="R20" s="92"/>
      <c r="S20" s="92"/>
      <c r="T20" s="92"/>
      <c r="U20" s="36"/>
      <c r="V20" s="36"/>
      <c r="W20" s="36"/>
      <c r="X20" s="43"/>
      <c r="Y20" s="36"/>
      <c r="Z20" s="45"/>
      <c r="AA20" s="45"/>
      <c r="AB20" s="45"/>
      <c r="AC20" s="36"/>
      <c r="AD20" s="43"/>
      <c r="AE20" s="36"/>
      <c r="AF20" s="43"/>
      <c r="AG20" s="45"/>
      <c r="AH20" s="45"/>
      <c r="AI20" s="45"/>
      <c r="AJ20" s="36"/>
      <c r="AK20" s="43"/>
      <c r="AL20" s="35"/>
      <c r="AM20" s="35"/>
      <c r="AN20" s="35"/>
      <c r="AO20" s="35"/>
      <c r="AP20" s="36"/>
      <c r="AQ20" s="45"/>
      <c r="AR20" s="45"/>
      <c r="AS20" s="45"/>
      <c r="AT20" s="45"/>
      <c r="AU20" s="45"/>
      <c r="AV20" s="36"/>
      <c r="AW20" s="45"/>
      <c r="AX20" s="45"/>
      <c r="AY20" s="36"/>
      <c r="AZ20" s="43"/>
      <c r="BA20" s="45"/>
      <c r="BB20" s="45"/>
      <c r="BC20" s="45"/>
      <c r="BD20" s="45"/>
      <c r="BE20" s="45"/>
      <c r="BF20" s="45"/>
      <c r="BG20" s="45"/>
      <c r="BH20" s="45"/>
      <c r="BI20" s="36"/>
      <c r="BJ20" s="43"/>
      <c r="BK20" s="45"/>
      <c r="BL20" s="36"/>
      <c r="BM20" s="43"/>
    </row>
    <row r="21" spans="1:65" x14ac:dyDescent="0.25">
      <c r="A21" s="50">
        <v>20</v>
      </c>
      <c r="B21" s="51" t="s">
        <v>506</v>
      </c>
      <c r="C21" s="51">
        <v>911031</v>
      </c>
      <c r="D21" s="37" t="s">
        <v>6</v>
      </c>
      <c r="E21" s="39" t="s">
        <v>460</v>
      </c>
      <c r="F21" s="36" t="s">
        <v>493</v>
      </c>
      <c r="G21" s="36"/>
      <c r="H21" s="36"/>
      <c r="I21" s="36"/>
      <c r="J21" s="36"/>
      <c r="K21" s="92"/>
      <c r="L21" s="92"/>
      <c r="M21" s="92"/>
      <c r="N21" s="92"/>
      <c r="O21" s="92"/>
      <c r="P21" s="92"/>
      <c r="Q21" s="92"/>
      <c r="R21" s="92"/>
      <c r="S21" s="92"/>
      <c r="T21" s="92"/>
      <c r="U21" s="36"/>
      <c r="V21" s="36"/>
      <c r="W21" s="36"/>
      <c r="X21" s="43"/>
      <c r="Y21" s="36"/>
      <c r="Z21" s="45"/>
      <c r="AA21" s="45"/>
      <c r="AB21" s="45"/>
      <c r="AC21" s="36"/>
      <c r="AD21" s="43"/>
      <c r="AE21" s="36"/>
      <c r="AF21" s="43"/>
      <c r="AG21" s="45"/>
      <c r="AH21" s="45"/>
      <c r="AI21" s="45"/>
      <c r="AJ21" s="36"/>
      <c r="AK21" s="43"/>
      <c r="AL21" s="35"/>
      <c r="AM21" s="35"/>
      <c r="AN21" s="35"/>
      <c r="AO21" s="35"/>
      <c r="AP21" s="36"/>
      <c r="AQ21" s="45"/>
      <c r="AR21" s="45"/>
      <c r="AS21" s="45"/>
      <c r="AT21" s="45"/>
      <c r="AU21" s="45"/>
      <c r="AV21" s="36"/>
      <c r="AW21" s="45"/>
      <c r="AX21" s="45"/>
      <c r="AY21" s="36"/>
      <c r="AZ21" s="43"/>
      <c r="BA21" s="45"/>
      <c r="BB21" s="45"/>
      <c r="BC21" s="45"/>
      <c r="BD21" s="45"/>
      <c r="BE21" s="45"/>
      <c r="BF21" s="45"/>
      <c r="BG21" s="45"/>
      <c r="BH21" s="45"/>
      <c r="BI21" s="36"/>
      <c r="BJ21" s="43"/>
      <c r="BK21" s="45"/>
      <c r="BL21" s="36"/>
      <c r="BM21" s="43"/>
    </row>
    <row r="22" spans="1:65" x14ac:dyDescent="0.25">
      <c r="A22" s="50">
        <v>21</v>
      </c>
      <c r="B22" s="51" t="s">
        <v>507</v>
      </c>
      <c r="C22" s="51">
        <v>921031</v>
      </c>
      <c r="D22" s="37" t="s">
        <v>6</v>
      </c>
      <c r="E22" s="39" t="s">
        <v>460</v>
      </c>
      <c r="F22" s="36" t="s">
        <v>493</v>
      </c>
      <c r="G22" s="36"/>
      <c r="H22" s="36"/>
      <c r="I22" s="36"/>
      <c r="J22" s="36"/>
      <c r="K22" s="92"/>
      <c r="L22" s="92"/>
      <c r="M22" s="92"/>
      <c r="N22" s="92"/>
      <c r="O22" s="92"/>
      <c r="P22" s="92"/>
      <c r="Q22" s="92"/>
      <c r="R22" s="92"/>
      <c r="S22" s="92"/>
      <c r="T22" s="92"/>
      <c r="U22" s="36"/>
      <c r="V22" s="36"/>
      <c r="W22" s="36"/>
      <c r="X22" s="43"/>
      <c r="Y22" s="36"/>
      <c r="Z22" s="45"/>
      <c r="AA22" s="45"/>
      <c r="AB22" s="45"/>
      <c r="AC22" s="36"/>
      <c r="AD22" s="43"/>
      <c r="AE22" s="36"/>
      <c r="AF22" s="43"/>
      <c r="AG22" s="45"/>
      <c r="AH22" s="45"/>
      <c r="AI22" s="45"/>
      <c r="AJ22" s="36"/>
      <c r="AK22" s="43"/>
      <c r="AL22" s="35"/>
      <c r="AM22" s="35"/>
      <c r="AN22" s="35"/>
      <c r="AO22" s="35"/>
      <c r="AP22" s="36"/>
      <c r="AQ22" s="45"/>
      <c r="AR22" s="45"/>
      <c r="AS22" s="45"/>
      <c r="AT22" s="45"/>
      <c r="AU22" s="45"/>
      <c r="AV22" s="36"/>
      <c r="AW22" s="45"/>
      <c r="AX22" s="45"/>
      <c r="AY22" s="36"/>
      <c r="AZ22" s="43"/>
      <c r="BA22" s="45"/>
      <c r="BB22" s="45"/>
      <c r="BC22" s="45"/>
      <c r="BD22" s="45"/>
      <c r="BE22" s="45"/>
      <c r="BF22" s="45"/>
      <c r="BG22" s="45"/>
      <c r="BH22" s="45"/>
      <c r="BI22" s="36"/>
      <c r="BJ22" s="43"/>
      <c r="BK22" s="45"/>
      <c r="BL22" s="36"/>
      <c r="BM22" s="43"/>
    </row>
    <row r="23" spans="1:65" ht="15" customHeight="1" x14ac:dyDescent="0.25">
      <c r="A23" s="50">
        <v>22</v>
      </c>
      <c r="B23" s="51" t="s">
        <v>508</v>
      </c>
      <c r="C23" s="51">
        <v>931031</v>
      </c>
      <c r="D23" s="37" t="s">
        <v>6</v>
      </c>
      <c r="E23" s="39" t="s">
        <v>460</v>
      </c>
      <c r="F23" s="36" t="s">
        <v>493</v>
      </c>
      <c r="G23" s="36"/>
      <c r="H23" s="36"/>
      <c r="I23" s="36"/>
      <c r="J23" s="36"/>
      <c r="K23" s="92"/>
      <c r="L23" s="92"/>
      <c r="M23" s="92"/>
      <c r="N23" s="92"/>
      <c r="O23" s="92"/>
      <c r="P23" s="92"/>
      <c r="Q23" s="92"/>
      <c r="R23" s="92"/>
      <c r="S23" s="92"/>
      <c r="T23" s="92"/>
      <c r="U23" s="36"/>
      <c r="V23" s="36"/>
      <c r="W23" s="36"/>
      <c r="X23" s="43"/>
      <c r="Y23" s="36"/>
      <c r="Z23" s="45"/>
      <c r="AA23" s="45"/>
      <c r="AB23" s="45"/>
      <c r="AC23" s="36"/>
      <c r="AD23" s="43"/>
      <c r="AE23" s="36"/>
      <c r="AF23" s="43"/>
      <c r="AG23" s="45"/>
      <c r="AH23" s="45"/>
      <c r="AI23" s="45"/>
      <c r="AJ23" s="36"/>
      <c r="AK23" s="43"/>
      <c r="AL23" s="35"/>
      <c r="AM23" s="35"/>
      <c r="AN23" s="35"/>
      <c r="AO23" s="35"/>
      <c r="AP23" s="36"/>
      <c r="AQ23" s="45"/>
      <c r="AR23" s="45"/>
      <c r="AS23" s="45"/>
      <c r="AT23" s="45"/>
      <c r="AU23" s="45"/>
      <c r="AV23" s="36"/>
      <c r="AW23" s="45"/>
      <c r="AX23" s="45"/>
      <c r="AY23" s="36"/>
      <c r="AZ23" s="43"/>
      <c r="BA23" s="45"/>
      <c r="BB23" s="45"/>
      <c r="BC23" s="45"/>
      <c r="BD23" s="45"/>
      <c r="BE23" s="45"/>
      <c r="BF23" s="45"/>
      <c r="BG23" s="45"/>
      <c r="BH23" s="45"/>
      <c r="BI23" s="36"/>
      <c r="BJ23" s="43"/>
      <c r="BK23" s="45"/>
      <c r="BL23" s="36"/>
      <c r="BM23" s="43"/>
    </row>
    <row r="24" spans="1:65" ht="15" customHeight="1" x14ac:dyDescent="0.25">
      <c r="A24" s="50">
        <v>23</v>
      </c>
      <c r="B24" s="51" t="s">
        <v>509</v>
      </c>
      <c r="C24" s="51">
        <v>911032</v>
      </c>
      <c r="D24" s="37" t="s">
        <v>6</v>
      </c>
      <c r="E24" s="39" t="s">
        <v>462</v>
      </c>
      <c r="F24" s="36" t="s">
        <v>497</v>
      </c>
      <c r="G24" s="36"/>
      <c r="H24" s="36"/>
      <c r="I24" s="36"/>
      <c r="J24" s="36"/>
      <c r="K24" s="93" t="s">
        <v>653</v>
      </c>
      <c r="L24" s="93"/>
      <c r="M24" s="93"/>
      <c r="N24" s="93"/>
      <c r="O24" s="93"/>
      <c r="P24" s="93"/>
      <c r="Q24" s="93"/>
      <c r="R24" s="93"/>
      <c r="S24" s="93"/>
      <c r="T24" s="93"/>
      <c r="U24" s="36"/>
      <c r="V24" s="36"/>
      <c r="W24" s="36"/>
      <c r="X24" s="43"/>
      <c r="Y24" s="36"/>
      <c r="Z24" s="45"/>
      <c r="AA24" s="45"/>
      <c r="AB24" s="45"/>
      <c r="AC24" s="36"/>
      <c r="AD24" s="43"/>
      <c r="AE24" s="36"/>
      <c r="AF24" s="43"/>
      <c r="AG24" s="45"/>
      <c r="AH24" s="45"/>
      <c r="AI24" s="45"/>
      <c r="AJ24" s="36"/>
      <c r="AK24" s="43"/>
      <c r="AL24" s="35"/>
      <c r="AM24" s="35"/>
      <c r="AN24" s="35"/>
      <c r="AO24" s="35"/>
      <c r="AP24" s="36"/>
      <c r="AQ24" s="45"/>
      <c r="AR24" s="45"/>
      <c r="AS24" s="45"/>
      <c r="AT24" s="45"/>
      <c r="AU24" s="45"/>
      <c r="AV24" s="36"/>
      <c r="AW24" s="45"/>
      <c r="AX24" s="45"/>
      <c r="AY24" s="36"/>
      <c r="AZ24" s="43"/>
      <c r="BA24" s="45"/>
      <c r="BB24" s="45"/>
      <c r="BC24" s="45"/>
      <c r="BD24" s="45"/>
      <c r="BE24" s="45"/>
      <c r="BF24" s="45"/>
      <c r="BG24" s="45"/>
      <c r="BH24" s="45"/>
      <c r="BI24" s="36"/>
      <c r="BJ24" s="43"/>
      <c r="BK24" s="45"/>
      <c r="BL24" s="36"/>
      <c r="BM24" s="43"/>
    </row>
    <row r="25" spans="1:65" ht="15" customHeight="1" x14ac:dyDescent="0.25">
      <c r="A25" s="50">
        <v>24</v>
      </c>
      <c r="B25" s="51" t="s">
        <v>510</v>
      </c>
      <c r="C25" s="51">
        <v>921032</v>
      </c>
      <c r="D25" s="37" t="s">
        <v>6</v>
      </c>
      <c r="E25" s="39" t="s">
        <v>462</v>
      </c>
      <c r="F25" s="36" t="s">
        <v>497</v>
      </c>
      <c r="G25" s="36"/>
      <c r="H25" s="36"/>
      <c r="I25" s="36"/>
      <c r="J25" s="36"/>
      <c r="K25" s="93"/>
      <c r="L25" s="93"/>
      <c r="M25" s="93"/>
      <c r="N25" s="93"/>
      <c r="O25" s="93"/>
      <c r="P25" s="93"/>
      <c r="Q25" s="93"/>
      <c r="R25" s="93"/>
      <c r="S25" s="93"/>
      <c r="T25" s="93"/>
      <c r="U25" s="36"/>
      <c r="V25" s="36"/>
      <c r="W25" s="36"/>
      <c r="X25" s="43"/>
      <c r="Y25" s="36"/>
      <c r="Z25" s="45"/>
      <c r="AA25" s="45"/>
      <c r="AB25" s="45"/>
      <c r="AC25" s="36"/>
      <c r="AD25" s="43"/>
      <c r="AE25" s="36"/>
      <c r="AF25" s="43"/>
      <c r="AG25" s="45"/>
      <c r="AH25" s="45"/>
      <c r="AI25" s="45"/>
      <c r="AJ25" s="36"/>
      <c r="AK25" s="43"/>
      <c r="AL25" s="35"/>
      <c r="AM25" s="35"/>
      <c r="AN25" s="35"/>
      <c r="AO25" s="35"/>
      <c r="AP25" s="36"/>
      <c r="AQ25" s="45"/>
      <c r="AR25" s="45"/>
      <c r="AS25" s="45"/>
      <c r="AT25" s="45"/>
      <c r="AU25" s="45"/>
      <c r="AV25" s="36"/>
      <c r="AW25" s="45"/>
      <c r="AX25" s="45"/>
      <c r="AY25" s="36"/>
      <c r="AZ25" s="43"/>
      <c r="BA25" s="45"/>
      <c r="BB25" s="45"/>
      <c r="BC25" s="45"/>
      <c r="BD25" s="45"/>
      <c r="BE25" s="45"/>
      <c r="BF25" s="45"/>
      <c r="BG25" s="45"/>
      <c r="BH25" s="45"/>
      <c r="BI25" s="36"/>
      <c r="BJ25" s="43"/>
      <c r="BK25" s="45"/>
      <c r="BL25" s="36"/>
      <c r="BM25" s="43"/>
    </row>
    <row r="26" spans="1:65" ht="15" customHeight="1" x14ac:dyDescent="0.25">
      <c r="A26" s="50">
        <v>25</v>
      </c>
      <c r="B26" s="51" t="s">
        <v>511</v>
      </c>
      <c r="C26" s="51">
        <v>931032</v>
      </c>
      <c r="D26" s="37" t="s">
        <v>6</v>
      </c>
      <c r="E26" s="39" t="s">
        <v>462</v>
      </c>
      <c r="F26" s="36" t="s">
        <v>497</v>
      </c>
      <c r="G26" s="36"/>
      <c r="H26" s="36"/>
      <c r="I26" s="36"/>
      <c r="J26" s="36"/>
      <c r="K26" s="93"/>
      <c r="L26" s="93"/>
      <c r="M26" s="93"/>
      <c r="N26" s="93"/>
      <c r="O26" s="93"/>
      <c r="P26" s="93"/>
      <c r="Q26" s="93"/>
      <c r="R26" s="93"/>
      <c r="S26" s="93"/>
      <c r="T26" s="93"/>
      <c r="U26" s="36"/>
      <c r="V26" s="36"/>
      <c r="W26" s="36"/>
      <c r="X26" s="43"/>
      <c r="Y26" s="36"/>
      <c r="Z26" s="45"/>
      <c r="AA26" s="45"/>
      <c r="AB26" s="45"/>
      <c r="AC26" s="36"/>
      <c r="AD26" s="43"/>
      <c r="AE26" s="36"/>
      <c r="AF26" s="43"/>
      <c r="AG26" s="45"/>
      <c r="AH26" s="45"/>
      <c r="AI26" s="45"/>
      <c r="AJ26" s="36"/>
      <c r="AK26" s="43"/>
      <c r="AL26" s="35"/>
      <c r="AM26" s="35"/>
      <c r="AN26" s="35"/>
      <c r="AO26" s="35"/>
      <c r="AP26" s="36"/>
      <c r="AQ26" s="45"/>
      <c r="AR26" s="45"/>
      <c r="AS26" s="45"/>
      <c r="AT26" s="45"/>
      <c r="AU26" s="45"/>
      <c r="AV26" s="36"/>
      <c r="AW26" s="45"/>
      <c r="AX26" s="45"/>
      <c r="AY26" s="36"/>
      <c r="AZ26" s="43"/>
      <c r="BA26" s="45"/>
      <c r="BB26" s="45"/>
      <c r="BC26" s="45"/>
      <c r="BD26" s="45"/>
      <c r="BE26" s="45"/>
      <c r="BF26" s="45"/>
      <c r="BG26" s="45"/>
      <c r="BH26" s="45"/>
      <c r="BI26" s="36"/>
      <c r="BJ26" s="43"/>
      <c r="BK26" s="45"/>
      <c r="BL26" s="36"/>
      <c r="BM26" s="43"/>
    </row>
    <row r="27" spans="1:65" ht="15" customHeight="1" x14ac:dyDescent="0.25">
      <c r="A27" s="50">
        <v>26</v>
      </c>
      <c r="B27" s="51">
        <v>1033</v>
      </c>
      <c r="C27" s="51">
        <v>1033</v>
      </c>
      <c r="D27" s="37" t="s">
        <v>6</v>
      </c>
      <c r="E27" s="39" t="s">
        <v>463</v>
      </c>
      <c r="F27" s="36" t="s">
        <v>494</v>
      </c>
      <c r="G27" s="36"/>
      <c r="H27" s="36"/>
      <c r="I27" s="36"/>
      <c r="J27" s="36"/>
      <c r="K27" s="93"/>
      <c r="L27" s="93"/>
      <c r="M27" s="93"/>
      <c r="N27" s="93"/>
      <c r="O27" s="93"/>
      <c r="P27" s="93"/>
      <c r="Q27" s="93"/>
      <c r="R27" s="93"/>
      <c r="S27" s="93"/>
      <c r="T27" s="93"/>
      <c r="U27" s="36"/>
      <c r="V27" s="36"/>
      <c r="W27" s="36"/>
      <c r="X27" s="43"/>
      <c r="Y27" s="36"/>
      <c r="Z27" s="45"/>
      <c r="AA27" s="45"/>
      <c r="AB27" s="45"/>
      <c r="AC27" s="36"/>
      <c r="AD27" s="43"/>
      <c r="AE27" s="36"/>
      <c r="AF27" s="43"/>
      <c r="AG27" s="45"/>
      <c r="AH27" s="45"/>
      <c r="AI27" s="45"/>
      <c r="AJ27" s="36"/>
      <c r="AK27" s="43"/>
      <c r="AL27" s="35"/>
      <c r="AM27" s="35"/>
      <c r="AN27" s="35"/>
      <c r="AO27" s="35"/>
      <c r="AP27" s="36"/>
      <c r="AQ27" s="45"/>
      <c r="AR27" s="45"/>
      <c r="AS27" s="45"/>
      <c r="AT27" s="45"/>
      <c r="AU27" s="45"/>
      <c r="AV27" s="36"/>
      <c r="AW27" s="45"/>
      <c r="AX27" s="45"/>
      <c r="AY27" s="36"/>
      <c r="AZ27" s="43"/>
      <c r="BA27" s="45"/>
      <c r="BB27" s="45"/>
      <c r="BC27" s="45"/>
      <c r="BD27" s="45"/>
      <c r="BE27" s="45"/>
      <c r="BF27" s="45"/>
      <c r="BG27" s="45"/>
      <c r="BH27" s="45"/>
      <c r="BI27" s="36"/>
      <c r="BJ27" s="43"/>
      <c r="BK27" s="45"/>
      <c r="BL27" s="36"/>
      <c r="BM27" s="43"/>
    </row>
    <row r="28" spans="1:65" ht="15" customHeight="1" x14ac:dyDescent="0.25">
      <c r="A28" s="50">
        <v>27</v>
      </c>
      <c r="B28" s="51">
        <v>1036</v>
      </c>
      <c r="C28" s="51">
        <v>1036</v>
      </c>
      <c r="D28" s="37" t="s">
        <v>6</v>
      </c>
      <c r="E28" s="39" t="s">
        <v>465</v>
      </c>
      <c r="F28" s="36" t="s">
        <v>495</v>
      </c>
      <c r="G28" s="36"/>
      <c r="H28" s="36"/>
      <c r="I28" s="36"/>
      <c r="J28" s="36"/>
      <c r="K28" s="93"/>
      <c r="L28" s="93"/>
      <c r="M28" s="93"/>
      <c r="N28" s="93"/>
      <c r="O28" s="93"/>
      <c r="P28" s="93"/>
      <c r="Q28" s="93"/>
      <c r="R28" s="93"/>
      <c r="S28" s="93"/>
      <c r="T28" s="93"/>
      <c r="U28" s="36"/>
      <c r="V28" s="36"/>
      <c r="W28" s="36"/>
      <c r="X28" s="43"/>
      <c r="Y28" s="36"/>
      <c r="Z28" s="45"/>
      <c r="AA28" s="45"/>
      <c r="AB28" s="45"/>
      <c r="AC28" s="36"/>
      <c r="AD28" s="43"/>
      <c r="AE28" s="36"/>
      <c r="AF28" s="43"/>
      <c r="AG28" s="45"/>
      <c r="AH28" s="45"/>
      <c r="AI28" s="45"/>
      <c r="AJ28" s="36"/>
      <c r="AK28" s="43"/>
      <c r="AL28" s="35"/>
      <c r="AM28" s="35"/>
      <c r="AN28" s="35"/>
      <c r="AO28" s="35"/>
      <c r="AP28" s="36"/>
      <c r="AQ28" s="45"/>
      <c r="AR28" s="45"/>
      <c r="AS28" s="45"/>
      <c r="AT28" s="45"/>
      <c r="AU28" s="45"/>
      <c r="AV28" s="36"/>
      <c r="AW28" s="45"/>
      <c r="AX28" s="45"/>
      <c r="AY28" s="36"/>
      <c r="AZ28" s="43"/>
      <c r="BA28" s="45"/>
      <c r="BB28" s="45"/>
      <c r="BC28" s="45"/>
      <c r="BD28" s="45"/>
      <c r="BE28" s="45"/>
      <c r="BF28" s="45"/>
      <c r="BG28" s="45"/>
      <c r="BH28" s="45"/>
      <c r="BI28" s="36"/>
      <c r="BJ28" s="43"/>
      <c r="BK28" s="45"/>
      <c r="BL28" s="36"/>
      <c r="BM28" s="43"/>
    </row>
    <row r="29" spans="1:65" ht="15" customHeight="1" x14ac:dyDescent="0.25">
      <c r="A29" s="50">
        <v>28</v>
      </c>
      <c r="B29" s="51" t="s">
        <v>512</v>
      </c>
      <c r="C29" s="51">
        <v>911037</v>
      </c>
      <c r="D29" s="37" t="s">
        <v>6</v>
      </c>
      <c r="E29" s="39" t="s">
        <v>466</v>
      </c>
      <c r="F29" s="36" t="s">
        <v>496</v>
      </c>
      <c r="G29" s="36"/>
      <c r="H29" s="36"/>
      <c r="I29" s="36"/>
      <c r="J29" s="36"/>
      <c r="K29" s="93"/>
      <c r="L29" s="93"/>
      <c r="M29" s="93"/>
      <c r="N29" s="93"/>
      <c r="O29" s="93"/>
      <c r="P29" s="93"/>
      <c r="Q29" s="93"/>
      <c r="R29" s="93"/>
      <c r="S29" s="93"/>
      <c r="T29" s="93"/>
      <c r="U29" s="36"/>
      <c r="V29" s="36"/>
      <c r="W29" s="36"/>
      <c r="X29" s="43"/>
      <c r="Y29" s="36"/>
      <c r="Z29" s="45"/>
      <c r="AA29" s="45"/>
      <c r="AB29" s="45"/>
      <c r="AC29" s="36"/>
      <c r="AD29" s="43"/>
      <c r="AE29" s="36"/>
      <c r="AF29" s="43"/>
      <c r="AG29" s="45"/>
      <c r="AH29" s="45"/>
      <c r="AI29" s="45"/>
      <c r="AJ29" s="36"/>
      <c r="AK29" s="43"/>
      <c r="AL29" s="35"/>
      <c r="AM29" s="35"/>
      <c r="AN29" s="35"/>
      <c r="AO29" s="35"/>
      <c r="AP29" s="36"/>
      <c r="AQ29" s="45"/>
      <c r="AR29" s="45"/>
      <c r="AS29" s="45"/>
      <c r="AT29" s="45"/>
      <c r="AU29" s="45"/>
      <c r="AV29" s="36"/>
      <c r="AW29" s="45"/>
      <c r="AX29" s="45"/>
      <c r="AY29" s="36"/>
      <c r="AZ29" s="43"/>
      <c r="BA29" s="45"/>
      <c r="BB29" s="45"/>
      <c r="BC29" s="45"/>
      <c r="BD29" s="45"/>
      <c r="BE29" s="45"/>
      <c r="BF29" s="45"/>
      <c r="BG29" s="45"/>
      <c r="BH29" s="45"/>
      <c r="BI29" s="36"/>
      <c r="BJ29" s="43"/>
      <c r="BK29" s="45"/>
      <c r="BL29" s="36"/>
      <c r="BM29" s="43"/>
    </row>
    <row r="30" spans="1:65" ht="15" customHeight="1" x14ac:dyDescent="0.25">
      <c r="A30" s="50">
        <v>29</v>
      </c>
      <c r="B30" s="51" t="s">
        <v>513</v>
      </c>
      <c r="C30" s="51">
        <v>921037</v>
      </c>
      <c r="D30" s="37" t="s">
        <v>6</v>
      </c>
      <c r="E30" s="39" t="s">
        <v>466</v>
      </c>
      <c r="F30" s="36" t="s">
        <v>496</v>
      </c>
      <c r="G30" s="36"/>
      <c r="H30" s="36"/>
      <c r="I30" s="36"/>
      <c r="J30" s="36"/>
      <c r="K30" s="93" t="s">
        <v>652</v>
      </c>
      <c r="L30" s="93"/>
      <c r="M30" s="93"/>
      <c r="N30" s="93"/>
      <c r="O30" s="93"/>
      <c r="P30" s="93"/>
      <c r="Q30" s="93"/>
      <c r="R30" s="93"/>
      <c r="S30" s="93"/>
      <c r="T30" s="93"/>
      <c r="U30" s="36"/>
      <c r="V30" s="36"/>
      <c r="W30" s="36"/>
      <c r="X30" s="43"/>
      <c r="Y30" s="36"/>
      <c r="Z30" s="45"/>
      <c r="AA30" s="45"/>
      <c r="AB30" s="45"/>
      <c r="AC30" s="36"/>
      <c r="AD30" s="43"/>
      <c r="AE30" s="36"/>
      <c r="AF30" s="43"/>
      <c r="AG30" s="45"/>
      <c r="AH30" s="45"/>
      <c r="AI30" s="45"/>
      <c r="AJ30" s="36"/>
      <c r="AK30" s="43"/>
      <c r="AL30" s="35"/>
      <c r="AM30" s="35"/>
      <c r="AN30" s="35"/>
      <c r="AO30" s="35"/>
      <c r="AP30" s="36"/>
      <c r="AQ30" s="45"/>
      <c r="AR30" s="45"/>
      <c r="AS30" s="45"/>
      <c r="AT30" s="45"/>
      <c r="AU30" s="45"/>
      <c r="AV30" s="36"/>
      <c r="AW30" s="45"/>
      <c r="AX30" s="45"/>
      <c r="AY30" s="36"/>
      <c r="AZ30" s="43"/>
      <c r="BA30" s="45"/>
      <c r="BB30" s="45"/>
      <c r="BC30" s="45"/>
      <c r="BD30" s="45"/>
      <c r="BE30" s="45"/>
      <c r="BF30" s="45"/>
      <c r="BG30" s="45"/>
      <c r="BH30" s="45"/>
      <c r="BI30" s="36"/>
      <c r="BJ30" s="43"/>
      <c r="BK30" s="45"/>
      <c r="BL30" s="36"/>
      <c r="BM30" s="43"/>
    </row>
    <row r="31" spans="1:65" ht="15" customHeight="1" x14ac:dyDescent="0.25">
      <c r="A31" s="50">
        <v>30</v>
      </c>
      <c r="B31" s="51" t="s">
        <v>514</v>
      </c>
      <c r="C31" s="51">
        <v>911039</v>
      </c>
      <c r="D31" s="37" t="s">
        <v>6</v>
      </c>
      <c r="E31" s="39" t="s">
        <v>467</v>
      </c>
      <c r="F31" s="36" t="s">
        <v>499</v>
      </c>
      <c r="G31" s="36"/>
      <c r="H31" s="36"/>
      <c r="I31" s="36"/>
      <c r="J31" s="36"/>
      <c r="K31" s="93"/>
      <c r="L31" s="93"/>
      <c r="M31" s="93"/>
      <c r="N31" s="93"/>
      <c r="O31" s="93"/>
      <c r="P31" s="93"/>
      <c r="Q31" s="93"/>
      <c r="R31" s="93"/>
      <c r="S31" s="93"/>
      <c r="T31" s="93"/>
      <c r="U31" s="36"/>
      <c r="V31" s="36"/>
      <c r="W31" s="36"/>
      <c r="X31" s="43"/>
      <c r="Y31" s="36"/>
      <c r="Z31" s="45"/>
      <c r="AA31" s="45"/>
      <c r="AB31" s="45"/>
      <c r="AC31" s="36"/>
      <c r="AD31" s="43"/>
      <c r="AE31" s="36"/>
      <c r="AF31" s="43"/>
      <c r="AG31" s="45"/>
      <c r="AH31" s="45"/>
      <c r="AI31" s="45"/>
      <c r="AJ31" s="36"/>
      <c r="AK31" s="43"/>
      <c r="AL31" s="35"/>
      <c r="AM31" s="35"/>
      <c r="AN31" s="35"/>
      <c r="AO31" s="35"/>
      <c r="AP31" s="36"/>
      <c r="AQ31" s="45"/>
      <c r="AR31" s="45"/>
      <c r="AS31" s="45"/>
      <c r="AT31" s="45"/>
      <c r="AU31" s="45"/>
      <c r="AV31" s="36"/>
      <c r="AW31" s="45"/>
      <c r="AX31" s="45"/>
      <c r="AY31" s="36"/>
      <c r="AZ31" s="43"/>
      <c r="BA31" s="45"/>
      <c r="BB31" s="45"/>
      <c r="BC31" s="45"/>
      <c r="BD31" s="45"/>
      <c r="BE31" s="45"/>
      <c r="BF31" s="45"/>
      <c r="BG31" s="45"/>
      <c r="BH31" s="45"/>
      <c r="BI31" s="36"/>
      <c r="BJ31" s="43"/>
      <c r="BK31" s="45"/>
      <c r="BL31" s="36"/>
      <c r="BM31" s="43"/>
    </row>
    <row r="32" spans="1:65" ht="15" customHeight="1" x14ac:dyDescent="0.25">
      <c r="A32" s="50">
        <v>31</v>
      </c>
      <c r="B32" s="51" t="s">
        <v>515</v>
      </c>
      <c r="C32" s="51">
        <v>921039</v>
      </c>
      <c r="D32" s="37" t="s">
        <v>6</v>
      </c>
      <c r="E32" s="39" t="s">
        <v>467</v>
      </c>
      <c r="F32" s="36" t="s">
        <v>499</v>
      </c>
      <c r="G32" s="36"/>
      <c r="H32" s="36"/>
      <c r="I32" s="36"/>
      <c r="J32" s="36"/>
      <c r="K32" s="93"/>
      <c r="L32" s="93"/>
      <c r="M32" s="93"/>
      <c r="N32" s="93"/>
      <c r="O32" s="93"/>
      <c r="P32" s="93"/>
      <c r="Q32" s="93"/>
      <c r="R32" s="93"/>
      <c r="S32" s="93"/>
      <c r="T32" s="93"/>
      <c r="U32" s="36"/>
      <c r="V32" s="36"/>
      <c r="W32" s="36"/>
      <c r="X32" s="43"/>
      <c r="Y32" s="36"/>
      <c r="Z32" s="45"/>
      <c r="AA32" s="45"/>
      <c r="AB32" s="45"/>
      <c r="AC32" s="36"/>
      <c r="AD32" s="43"/>
      <c r="AE32" s="36"/>
      <c r="AF32" s="43"/>
      <c r="AG32" s="45"/>
      <c r="AH32" s="45"/>
      <c r="AI32" s="45"/>
      <c r="AJ32" s="36"/>
      <c r="AK32" s="43"/>
      <c r="AL32" s="35"/>
      <c r="AM32" s="35"/>
      <c r="AN32" s="35"/>
      <c r="AO32" s="35"/>
      <c r="AP32" s="36"/>
      <c r="AQ32" s="45"/>
      <c r="AR32" s="45"/>
      <c r="AS32" s="45"/>
      <c r="AT32" s="45"/>
      <c r="AU32" s="45"/>
      <c r="AV32" s="36"/>
      <c r="AW32" s="45"/>
      <c r="AX32" s="45"/>
      <c r="AY32" s="36"/>
      <c r="AZ32" s="43"/>
      <c r="BA32" s="45"/>
      <c r="BB32" s="45"/>
      <c r="BC32" s="45"/>
      <c r="BD32" s="45"/>
      <c r="BE32" s="45"/>
      <c r="BF32" s="45"/>
      <c r="BG32" s="45"/>
      <c r="BH32" s="45"/>
      <c r="BI32" s="36"/>
      <c r="BJ32" s="43"/>
      <c r="BK32" s="45"/>
      <c r="BL32" s="36"/>
      <c r="BM32" s="43"/>
    </row>
    <row r="33" spans="1:15" x14ac:dyDescent="0.25">
      <c r="A33" s="50">
        <v>32</v>
      </c>
      <c r="B33" s="51" t="s">
        <v>210</v>
      </c>
      <c r="C33" s="51">
        <v>911040</v>
      </c>
      <c r="D33" s="21" t="s">
        <v>6</v>
      </c>
      <c r="E33" s="6" t="s">
        <v>17</v>
      </c>
      <c r="F33" s="36" t="s">
        <v>529</v>
      </c>
    </row>
    <row r="34" spans="1:15" x14ac:dyDescent="0.25">
      <c r="A34" s="50">
        <v>33</v>
      </c>
      <c r="B34" s="51" t="s">
        <v>211</v>
      </c>
      <c r="C34" s="51">
        <v>921040</v>
      </c>
      <c r="D34" s="21" t="s">
        <v>6</v>
      </c>
      <c r="E34" s="6" t="s">
        <v>17</v>
      </c>
      <c r="F34" s="36" t="s">
        <v>529</v>
      </c>
    </row>
    <row r="35" spans="1:15" x14ac:dyDescent="0.25">
      <c r="A35" s="50">
        <v>34</v>
      </c>
      <c r="B35" s="51" t="s">
        <v>212</v>
      </c>
      <c r="C35" s="51">
        <v>931040</v>
      </c>
      <c r="D35" s="22" t="s">
        <v>6</v>
      </c>
      <c r="E35" s="6" t="s">
        <v>17</v>
      </c>
      <c r="F35" s="36" t="s">
        <v>529</v>
      </c>
    </row>
    <row r="36" spans="1:15" x14ac:dyDescent="0.25">
      <c r="A36" s="50">
        <v>35</v>
      </c>
      <c r="B36" s="52" t="s">
        <v>213</v>
      </c>
      <c r="C36" s="52">
        <v>911061</v>
      </c>
      <c r="D36" s="21" t="s">
        <v>6</v>
      </c>
      <c r="E36" s="11" t="s">
        <v>16</v>
      </c>
      <c r="F36" s="36" t="s">
        <v>530</v>
      </c>
    </row>
    <row r="37" spans="1:15" x14ac:dyDescent="0.25">
      <c r="A37" s="50">
        <v>36</v>
      </c>
      <c r="B37" s="52" t="s">
        <v>214</v>
      </c>
      <c r="C37" s="52">
        <v>921061</v>
      </c>
      <c r="D37" s="21" t="s">
        <v>6</v>
      </c>
      <c r="E37" s="11" t="s">
        <v>16</v>
      </c>
      <c r="F37" s="36" t="s">
        <v>530</v>
      </c>
    </row>
    <row r="38" spans="1:15" x14ac:dyDescent="0.25">
      <c r="A38" s="50">
        <v>37</v>
      </c>
      <c r="B38" s="52" t="s">
        <v>215</v>
      </c>
      <c r="C38" s="52">
        <v>931061</v>
      </c>
      <c r="D38" s="22" t="s">
        <v>6</v>
      </c>
      <c r="E38" s="11" t="s">
        <v>16</v>
      </c>
      <c r="F38" s="36" t="s">
        <v>530</v>
      </c>
    </row>
    <row r="39" spans="1:15" x14ac:dyDescent="0.25">
      <c r="A39" s="50">
        <v>38</v>
      </c>
      <c r="B39" s="52" t="s">
        <v>216</v>
      </c>
      <c r="C39" s="52">
        <v>911091</v>
      </c>
      <c r="D39" s="21" t="s">
        <v>6</v>
      </c>
      <c r="E39" s="24" t="s">
        <v>353</v>
      </c>
      <c r="F39" s="36" t="s">
        <v>491</v>
      </c>
    </row>
    <row r="40" spans="1:15" x14ac:dyDescent="0.25">
      <c r="A40" s="50">
        <v>39</v>
      </c>
      <c r="B40" s="52" t="s">
        <v>217</v>
      </c>
      <c r="C40" s="52">
        <v>921091</v>
      </c>
      <c r="D40" s="21" t="s">
        <v>6</v>
      </c>
      <c r="E40" s="24" t="s">
        <v>353</v>
      </c>
      <c r="F40" s="36" t="s">
        <v>491</v>
      </c>
    </row>
    <row r="41" spans="1:15" x14ac:dyDescent="0.25">
      <c r="A41" s="50">
        <v>40</v>
      </c>
      <c r="B41" s="52" t="s">
        <v>218</v>
      </c>
      <c r="C41" s="52">
        <v>931091</v>
      </c>
      <c r="D41" s="22" t="s">
        <v>6</v>
      </c>
      <c r="E41" s="24" t="s">
        <v>353</v>
      </c>
      <c r="F41" s="36" t="s">
        <v>491</v>
      </c>
      <c r="O41" s="91"/>
    </row>
    <row r="42" spans="1:15" x14ac:dyDescent="0.25">
      <c r="A42" s="50">
        <v>41</v>
      </c>
      <c r="B42" s="52" t="s">
        <v>219</v>
      </c>
      <c r="C42" s="52">
        <v>911110</v>
      </c>
      <c r="D42" s="21" t="s">
        <v>6</v>
      </c>
      <c r="E42" s="12" t="s">
        <v>9</v>
      </c>
      <c r="F42" s="36" t="s">
        <v>529</v>
      </c>
    </row>
    <row r="43" spans="1:15" x14ac:dyDescent="0.25">
      <c r="A43" s="50">
        <v>42</v>
      </c>
      <c r="B43" s="51" t="s">
        <v>220</v>
      </c>
      <c r="C43" s="52">
        <v>921110</v>
      </c>
      <c r="D43" s="21" t="s">
        <v>6</v>
      </c>
      <c r="E43" s="12" t="s">
        <v>9</v>
      </c>
      <c r="F43" s="36" t="s">
        <v>529</v>
      </c>
    </row>
    <row r="44" spans="1:15" x14ac:dyDescent="0.25">
      <c r="A44" s="50">
        <v>43</v>
      </c>
      <c r="B44" s="67">
        <v>1120</v>
      </c>
      <c r="C44" s="36">
        <v>1120</v>
      </c>
      <c r="D44" s="21" t="s">
        <v>6</v>
      </c>
      <c r="E44" s="13" t="s">
        <v>8</v>
      </c>
      <c r="F44" s="36" t="s">
        <v>529</v>
      </c>
    </row>
    <row r="45" spans="1:15" x14ac:dyDescent="0.25">
      <c r="A45" s="50">
        <v>44</v>
      </c>
      <c r="B45" s="67">
        <v>1130</v>
      </c>
      <c r="C45" s="36">
        <v>1130</v>
      </c>
      <c r="D45" s="21" t="s">
        <v>6</v>
      </c>
      <c r="E45" s="14" t="s">
        <v>10</v>
      </c>
      <c r="F45" s="36" t="s">
        <v>541</v>
      </c>
    </row>
    <row r="46" spans="1:15" x14ac:dyDescent="0.25">
      <c r="A46" s="50">
        <v>45</v>
      </c>
      <c r="B46" s="67">
        <v>1140</v>
      </c>
      <c r="C46" s="36">
        <v>1140</v>
      </c>
      <c r="D46" s="21" t="s">
        <v>6</v>
      </c>
      <c r="E46" s="15" t="s">
        <v>14</v>
      </c>
      <c r="F46" s="36" t="s">
        <v>487</v>
      </c>
    </row>
    <row r="47" spans="1:15" x14ac:dyDescent="0.25">
      <c r="A47" s="50">
        <v>46</v>
      </c>
      <c r="B47" s="51" t="s">
        <v>221</v>
      </c>
      <c r="C47" s="52">
        <v>911160</v>
      </c>
      <c r="D47" s="21" t="s">
        <v>6</v>
      </c>
      <c r="E47" s="74" t="s">
        <v>11</v>
      </c>
      <c r="F47" s="36" t="s">
        <v>544</v>
      </c>
    </row>
    <row r="48" spans="1:15" x14ac:dyDescent="0.25">
      <c r="A48" s="50">
        <v>47</v>
      </c>
      <c r="B48" s="51" t="s">
        <v>222</v>
      </c>
      <c r="C48" s="52">
        <v>921160</v>
      </c>
      <c r="D48" s="21" t="s">
        <v>6</v>
      </c>
      <c r="E48" s="74" t="s">
        <v>11</v>
      </c>
      <c r="F48" s="36" t="s">
        <v>544</v>
      </c>
    </row>
    <row r="49" spans="1:65" x14ac:dyDescent="0.25">
      <c r="A49" s="50">
        <v>48</v>
      </c>
      <c r="B49" s="52" t="s">
        <v>223</v>
      </c>
      <c r="C49" s="52">
        <v>931160</v>
      </c>
      <c r="D49" s="22" t="s">
        <v>6</v>
      </c>
      <c r="E49" s="74" t="s">
        <v>11</v>
      </c>
      <c r="F49" s="36" t="s">
        <v>544</v>
      </c>
    </row>
    <row r="50" spans="1:65" x14ac:dyDescent="0.25">
      <c r="A50" s="50">
        <v>49</v>
      </c>
      <c r="B50" s="67">
        <v>1180</v>
      </c>
      <c r="C50" s="36">
        <v>1180</v>
      </c>
      <c r="D50" s="21" t="s">
        <v>6</v>
      </c>
      <c r="E50" s="16" t="s">
        <v>13</v>
      </c>
      <c r="F50" s="36" t="s">
        <v>486</v>
      </c>
    </row>
    <row r="51" spans="1:65" x14ac:dyDescent="0.25">
      <c r="A51" s="50">
        <v>50</v>
      </c>
      <c r="B51" s="36">
        <v>2010</v>
      </c>
      <c r="C51" s="46">
        <v>2010</v>
      </c>
      <c r="D51" s="45" t="s">
        <v>7</v>
      </c>
      <c r="E51" s="9" t="s">
        <v>410</v>
      </c>
      <c r="F51" s="36" t="s">
        <v>438</v>
      </c>
    </row>
    <row r="52" spans="1:65" x14ac:dyDescent="0.25">
      <c r="A52" s="50">
        <v>51</v>
      </c>
      <c r="B52" s="36">
        <v>2011</v>
      </c>
      <c r="C52" s="46">
        <v>2011</v>
      </c>
      <c r="D52" s="45" t="s">
        <v>7</v>
      </c>
      <c r="E52" s="9" t="s">
        <v>411</v>
      </c>
      <c r="F52" s="36" t="s">
        <v>441</v>
      </c>
    </row>
    <row r="53" spans="1:65" x14ac:dyDescent="0.25">
      <c r="A53" s="50">
        <v>52</v>
      </c>
      <c r="B53" s="36">
        <v>2012</v>
      </c>
      <c r="C53" s="46">
        <v>2012</v>
      </c>
      <c r="D53" s="45" t="s">
        <v>7</v>
      </c>
      <c r="E53" s="9" t="s">
        <v>412</v>
      </c>
      <c r="F53" s="36" t="s">
        <v>442</v>
      </c>
    </row>
    <row r="54" spans="1:65" x14ac:dyDescent="0.25">
      <c r="A54" s="50">
        <v>53</v>
      </c>
      <c r="B54" s="36">
        <v>2013</v>
      </c>
      <c r="C54" s="46">
        <v>2013</v>
      </c>
      <c r="D54" s="45" t="s">
        <v>7</v>
      </c>
      <c r="E54" s="9" t="s">
        <v>413</v>
      </c>
      <c r="F54" s="36" t="s">
        <v>443</v>
      </c>
    </row>
    <row r="55" spans="1:65" x14ac:dyDescent="0.25">
      <c r="A55" s="50">
        <v>54</v>
      </c>
      <c r="B55" s="36">
        <v>2014</v>
      </c>
      <c r="C55" s="46">
        <v>2014</v>
      </c>
      <c r="D55" s="45" t="s">
        <v>7</v>
      </c>
      <c r="E55" s="9" t="s">
        <v>422</v>
      </c>
      <c r="F55" s="36" t="s">
        <v>442</v>
      </c>
    </row>
    <row r="56" spans="1:65" x14ac:dyDescent="0.25">
      <c r="A56" s="50">
        <v>55</v>
      </c>
      <c r="B56" s="36">
        <v>2015</v>
      </c>
      <c r="C56" s="46">
        <v>2015</v>
      </c>
      <c r="D56" s="45" t="s">
        <v>7</v>
      </c>
      <c r="E56" s="9" t="s">
        <v>424</v>
      </c>
      <c r="F56" s="36" t="s">
        <v>449</v>
      </c>
    </row>
    <row r="57" spans="1:65" x14ac:dyDescent="0.25">
      <c r="A57" s="50">
        <v>56</v>
      </c>
      <c r="B57" s="36">
        <v>2020</v>
      </c>
      <c r="C57" s="46">
        <v>2020</v>
      </c>
      <c r="D57" s="45" t="s">
        <v>7</v>
      </c>
      <c r="E57" s="38" t="s">
        <v>427</v>
      </c>
      <c r="F57" s="36" t="s">
        <v>531</v>
      </c>
    </row>
    <row r="58" spans="1:65" x14ac:dyDescent="0.25">
      <c r="A58" s="50">
        <v>57</v>
      </c>
      <c r="B58" s="36">
        <v>2021</v>
      </c>
      <c r="C58" s="46">
        <v>2021</v>
      </c>
      <c r="D58" s="45" t="s">
        <v>7</v>
      </c>
      <c r="E58" s="38" t="s">
        <v>426</v>
      </c>
      <c r="F58" s="36" t="s">
        <v>532</v>
      </c>
    </row>
    <row r="59" spans="1:65" x14ac:dyDescent="0.25">
      <c r="A59" s="50">
        <v>58</v>
      </c>
      <c r="B59" s="36">
        <v>2022</v>
      </c>
      <c r="C59" s="46">
        <v>2022</v>
      </c>
      <c r="D59" s="45" t="s">
        <v>7</v>
      </c>
      <c r="E59" s="38" t="s">
        <v>428</v>
      </c>
      <c r="F59" s="36" t="s">
        <v>533</v>
      </c>
    </row>
    <row r="60" spans="1:65" x14ac:dyDescent="0.25">
      <c r="A60" s="50">
        <v>59</v>
      </c>
      <c r="B60" s="36">
        <v>2023</v>
      </c>
      <c r="C60" s="46">
        <v>2023</v>
      </c>
      <c r="D60" s="45" t="s">
        <v>7</v>
      </c>
      <c r="E60" s="38" t="s">
        <v>429</v>
      </c>
      <c r="F60" s="36" t="s">
        <v>534</v>
      </c>
    </row>
    <row r="61" spans="1:65" x14ac:dyDescent="0.25">
      <c r="A61" s="50">
        <v>60</v>
      </c>
      <c r="B61" s="36">
        <v>2026</v>
      </c>
      <c r="C61" s="46">
        <v>2026</v>
      </c>
      <c r="D61" s="45" t="s">
        <v>7</v>
      </c>
      <c r="E61" s="38" t="s">
        <v>430</v>
      </c>
      <c r="F61" s="36" t="s">
        <v>535</v>
      </c>
    </row>
    <row r="62" spans="1:65" x14ac:dyDescent="0.25">
      <c r="A62" s="50">
        <v>61</v>
      </c>
      <c r="B62" s="36">
        <v>2029</v>
      </c>
      <c r="C62" s="36">
        <v>2029</v>
      </c>
      <c r="D62" s="45" t="s">
        <v>7</v>
      </c>
      <c r="E62" s="38" t="s">
        <v>433</v>
      </c>
      <c r="F62" s="36" t="s">
        <v>536</v>
      </c>
    </row>
    <row r="63" spans="1:65" ht="15" customHeight="1" x14ac:dyDescent="0.25">
      <c r="A63" s="50">
        <v>62</v>
      </c>
      <c r="B63" s="52">
        <v>2030</v>
      </c>
      <c r="C63" s="52">
        <v>2030</v>
      </c>
      <c r="D63" s="45" t="s">
        <v>7</v>
      </c>
      <c r="E63" s="39" t="s">
        <v>461</v>
      </c>
      <c r="F63" s="36" t="s">
        <v>531</v>
      </c>
      <c r="G63" s="36"/>
      <c r="H63" s="36"/>
      <c r="I63" s="36"/>
      <c r="J63" s="36"/>
      <c r="K63" s="36"/>
      <c r="L63" s="36"/>
      <c r="M63" s="36"/>
      <c r="N63" s="36"/>
      <c r="O63" s="36"/>
      <c r="P63" s="36"/>
      <c r="Q63" s="36"/>
      <c r="R63" s="36"/>
      <c r="S63" s="36"/>
      <c r="T63" s="36"/>
      <c r="U63" s="36"/>
      <c r="V63" s="36"/>
      <c r="W63" s="36"/>
      <c r="X63" s="43"/>
      <c r="Y63" s="36"/>
      <c r="Z63" s="45"/>
      <c r="AA63" s="45"/>
      <c r="AB63" s="45"/>
      <c r="AC63" s="36"/>
      <c r="AD63" s="43"/>
      <c r="AE63" s="36"/>
      <c r="AF63" s="43"/>
      <c r="AG63" s="45"/>
      <c r="AH63" s="45"/>
      <c r="AI63" s="45"/>
      <c r="AJ63" s="36"/>
      <c r="AK63" s="43"/>
      <c r="AL63" s="35"/>
      <c r="AM63" s="35"/>
      <c r="AN63" s="35"/>
      <c r="AO63" s="35"/>
      <c r="AP63" s="36"/>
      <c r="AQ63" s="45"/>
      <c r="AR63" s="45"/>
      <c r="AS63" s="45"/>
      <c r="AT63" s="45"/>
      <c r="AU63" s="45"/>
      <c r="AV63" s="36"/>
      <c r="AW63" s="45"/>
      <c r="AX63" s="45"/>
      <c r="AY63" s="36"/>
      <c r="AZ63" s="43"/>
      <c r="BA63" s="53"/>
      <c r="BB63" s="53"/>
      <c r="BC63" s="53"/>
      <c r="BD63" s="53"/>
      <c r="BE63" s="53"/>
      <c r="BF63" s="53"/>
      <c r="BG63" s="45"/>
      <c r="BH63" s="45"/>
      <c r="BI63" s="55"/>
      <c r="BJ63" s="54"/>
      <c r="BK63" s="45"/>
      <c r="BL63" s="55"/>
      <c r="BM63" s="54"/>
    </row>
    <row r="64" spans="1:65" ht="15" customHeight="1" x14ac:dyDescent="0.25">
      <c r="A64" s="50">
        <v>63</v>
      </c>
      <c r="B64" s="52">
        <v>2031</v>
      </c>
      <c r="C64" s="52">
        <v>2031</v>
      </c>
      <c r="D64" s="45" t="s">
        <v>7</v>
      </c>
      <c r="E64" s="39" t="s">
        <v>460</v>
      </c>
      <c r="F64" s="36" t="s">
        <v>532</v>
      </c>
      <c r="G64" s="36"/>
      <c r="H64" s="36"/>
      <c r="I64" s="36"/>
      <c r="J64" s="36"/>
      <c r="K64" s="36"/>
      <c r="L64" s="36"/>
      <c r="M64" s="36"/>
      <c r="N64" s="36"/>
      <c r="O64" s="36"/>
      <c r="P64" s="36"/>
      <c r="Q64" s="36"/>
      <c r="R64" s="36"/>
      <c r="S64" s="36"/>
      <c r="T64" s="36"/>
      <c r="U64" s="36"/>
      <c r="V64" s="36"/>
      <c r="W64" s="36"/>
      <c r="X64" s="36"/>
      <c r="Y64" s="36"/>
      <c r="Z64" s="36"/>
      <c r="AA64" s="36"/>
      <c r="AB64" s="36"/>
      <c r="AC64" s="36"/>
      <c r="AD64" s="43"/>
      <c r="AE64" s="36"/>
      <c r="AF64" s="43"/>
      <c r="AG64" s="45"/>
      <c r="AH64" s="45"/>
      <c r="AI64" s="45"/>
      <c r="AJ64" s="36"/>
      <c r="AK64" s="43"/>
      <c r="AL64" s="35"/>
      <c r="AM64" s="35"/>
      <c r="AN64" s="35"/>
      <c r="AO64" s="35"/>
      <c r="AP64" s="36"/>
      <c r="AQ64" s="45"/>
      <c r="AR64" s="45"/>
      <c r="AS64" s="45"/>
      <c r="AT64" s="45"/>
      <c r="AU64" s="45"/>
      <c r="AV64" s="36"/>
      <c r="AW64" s="45"/>
      <c r="AX64" s="45"/>
      <c r="AY64" s="36"/>
      <c r="AZ64" s="43"/>
      <c r="BA64" s="53"/>
      <c r="BB64" s="53"/>
      <c r="BC64" s="53"/>
      <c r="BD64" s="53"/>
      <c r="BE64" s="53"/>
      <c r="BF64" s="53"/>
      <c r="BG64" s="45"/>
      <c r="BH64" s="45"/>
      <c r="BI64" s="55"/>
      <c r="BJ64" s="54"/>
      <c r="BK64" s="45"/>
      <c r="BL64" s="55"/>
      <c r="BM64" s="54"/>
    </row>
    <row r="65" spans="1:65" ht="15" customHeight="1" x14ac:dyDescent="0.25">
      <c r="A65" s="50">
        <v>64</v>
      </c>
      <c r="B65" s="52" t="s">
        <v>516</v>
      </c>
      <c r="C65" s="68">
        <v>912032</v>
      </c>
      <c r="D65" s="45" t="s">
        <v>7</v>
      </c>
      <c r="E65" s="39" t="s">
        <v>462</v>
      </c>
      <c r="F65" s="36" t="s">
        <v>533</v>
      </c>
      <c r="G65" s="36"/>
      <c r="H65" s="36"/>
      <c r="I65" s="36"/>
      <c r="J65" s="36"/>
      <c r="K65" s="36"/>
      <c r="L65" s="36"/>
      <c r="M65" s="36"/>
      <c r="N65" s="36"/>
      <c r="O65" s="36"/>
      <c r="P65" s="36"/>
      <c r="Q65" s="36"/>
      <c r="R65" s="36"/>
      <c r="S65" s="36"/>
      <c r="T65" s="36"/>
      <c r="U65" s="36"/>
      <c r="V65" s="36"/>
      <c r="W65" s="36"/>
      <c r="X65" s="36"/>
      <c r="Y65" s="36"/>
      <c r="Z65" s="36"/>
      <c r="AA65" s="36"/>
      <c r="AB65" s="36"/>
      <c r="AC65" s="36"/>
      <c r="AD65" s="43"/>
      <c r="AE65" s="36"/>
      <c r="AF65" s="43"/>
      <c r="AG65" s="45"/>
      <c r="AH65" s="45"/>
      <c r="AI65" s="45"/>
      <c r="AJ65" s="36"/>
      <c r="AK65" s="43"/>
      <c r="AL65" s="35"/>
      <c r="AM65" s="35"/>
      <c r="AN65" s="35"/>
      <c r="AO65" s="35"/>
      <c r="AP65" s="36"/>
      <c r="AQ65" s="45"/>
      <c r="AR65" s="45"/>
      <c r="AS65" s="45"/>
      <c r="AT65" s="45"/>
      <c r="AU65" s="45"/>
      <c r="AV65" s="36"/>
      <c r="AW65" s="45"/>
      <c r="AX65" s="45"/>
      <c r="AY65" s="36"/>
      <c r="AZ65" s="43"/>
      <c r="BA65" s="53"/>
      <c r="BB65" s="53"/>
      <c r="BC65" s="53"/>
      <c r="BD65" s="53"/>
      <c r="BE65" s="53"/>
      <c r="BF65" s="53"/>
      <c r="BG65" s="45"/>
      <c r="BH65" s="45"/>
      <c r="BI65" s="55"/>
      <c r="BJ65" s="54"/>
      <c r="BK65" s="45"/>
      <c r="BL65" s="55"/>
      <c r="BM65" s="54"/>
    </row>
    <row r="66" spans="1:65" ht="15" customHeight="1" x14ac:dyDescent="0.25">
      <c r="A66" s="50">
        <v>65</v>
      </c>
      <c r="B66" s="52" t="s">
        <v>517</v>
      </c>
      <c r="C66" s="68">
        <v>922032</v>
      </c>
      <c r="D66" s="45" t="s">
        <v>7</v>
      </c>
      <c r="E66" s="39" t="s">
        <v>462</v>
      </c>
      <c r="F66" s="36" t="s">
        <v>533</v>
      </c>
      <c r="G66" s="36"/>
      <c r="H66" s="36"/>
      <c r="I66" s="36"/>
      <c r="J66" s="36"/>
      <c r="K66" s="36"/>
      <c r="L66" s="36"/>
      <c r="M66" s="36"/>
      <c r="N66" s="36"/>
      <c r="O66" s="36"/>
      <c r="P66" s="36"/>
      <c r="Q66" s="36"/>
      <c r="R66" s="36"/>
      <c r="S66" s="36"/>
      <c r="T66" s="36"/>
      <c r="U66" s="36"/>
      <c r="V66" s="36"/>
      <c r="W66" s="36"/>
      <c r="X66" s="36"/>
      <c r="Y66" s="36"/>
      <c r="Z66" s="36"/>
      <c r="AA66" s="36"/>
      <c r="AB66" s="36"/>
      <c r="AC66" s="36"/>
      <c r="AD66" s="43"/>
      <c r="AE66" s="36"/>
      <c r="AF66" s="43"/>
      <c r="AG66" s="45"/>
      <c r="AH66" s="45"/>
      <c r="AI66" s="45"/>
      <c r="AJ66" s="36"/>
      <c r="AK66" s="43"/>
      <c r="AL66" s="35"/>
      <c r="AM66" s="35"/>
      <c r="AN66" s="35"/>
      <c r="AO66" s="35"/>
      <c r="AP66" s="36"/>
      <c r="AQ66" s="45"/>
      <c r="AR66" s="45"/>
      <c r="AS66" s="45"/>
      <c r="AT66" s="45"/>
      <c r="AU66" s="45"/>
      <c r="AV66" s="36"/>
      <c r="AW66" s="45"/>
      <c r="AX66" s="45"/>
      <c r="AY66" s="36"/>
      <c r="AZ66" s="43"/>
      <c r="BA66" s="53"/>
      <c r="BB66" s="53"/>
      <c r="BC66" s="53"/>
      <c r="BD66" s="53"/>
      <c r="BE66" s="53"/>
      <c r="BF66" s="53"/>
      <c r="BG66" s="45"/>
      <c r="BH66" s="45"/>
      <c r="BI66" s="55"/>
      <c r="BJ66" s="54"/>
      <c r="BK66" s="45"/>
      <c r="BL66" s="55"/>
      <c r="BM66" s="54"/>
    </row>
    <row r="67" spans="1:65" ht="15" customHeight="1" x14ac:dyDescent="0.25">
      <c r="A67" s="50">
        <v>66</v>
      </c>
      <c r="B67" s="52">
        <v>2033</v>
      </c>
      <c r="C67" s="68">
        <v>2033</v>
      </c>
      <c r="D67" s="45" t="s">
        <v>7</v>
      </c>
      <c r="E67" s="39" t="s">
        <v>463</v>
      </c>
      <c r="F67" s="36" t="s">
        <v>534</v>
      </c>
      <c r="G67" s="36"/>
      <c r="H67" s="36"/>
      <c r="I67" s="36"/>
      <c r="J67" s="36"/>
      <c r="K67" s="36"/>
      <c r="L67" s="36"/>
      <c r="M67" s="36"/>
      <c r="N67" s="36"/>
      <c r="O67" s="36"/>
      <c r="P67" s="36"/>
      <c r="Q67" s="36"/>
      <c r="R67" s="36"/>
      <c r="S67" s="36"/>
      <c r="T67" s="36"/>
      <c r="U67" s="36"/>
      <c r="V67" s="36"/>
      <c r="W67" s="36"/>
      <c r="X67" s="36"/>
      <c r="Y67" s="36"/>
      <c r="Z67" s="36"/>
      <c r="AA67" s="36"/>
      <c r="AB67" s="36"/>
      <c r="AC67" s="36"/>
      <c r="AD67" s="43"/>
      <c r="AE67" s="36"/>
      <c r="AF67" s="43"/>
      <c r="AG67" s="45"/>
      <c r="AH67" s="45"/>
      <c r="AI67" s="45"/>
      <c r="AJ67" s="36"/>
      <c r="AK67" s="43"/>
      <c r="AL67" s="35"/>
      <c r="AM67" s="35"/>
      <c r="AN67" s="35"/>
      <c r="AO67" s="35"/>
      <c r="AP67" s="36"/>
      <c r="AQ67" s="45"/>
      <c r="AR67" s="45"/>
      <c r="AS67" s="45"/>
      <c r="AT67" s="45"/>
      <c r="AU67" s="45"/>
      <c r="AV67" s="36"/>
      <c r="AW67" s="45"/>
      <c r="AX67" s="45"/>
      <c r="AY67" s="36"/>
      <c r="AZ67" s="43"/>
      <c r="BA67" s="53"/>
      <c r="BB67" s="53"/>
      <c r="BC67" s="53"/>
      <c r="BD67" s="53"/>
      <c r="BE67" s="53"/>
      <c r="BF67" s="53"/>
      <c r="BG67" s="45"/>
      <c r="BH67" s="45"/>
      <c r="BI67" s="55"/>
      <c r="BJ67" s="54"/>
      <c r="BK67" s="45"/>
      <c r="BL67" s="55"/>
      <c r="BM67" s="54"/>
    </row>
    <row r="68" spans="1:65" ht="15" customHeight="1" x14ac:dyDescent="0.25">
      <c r="A68" s="50">
        <v>67</v>
      </c>
      <c r="B68" s="52">
        <v>2036</v>
      </c>
      <c r="C68" s="68">
        <v>2036</v>
      </c>
      <c r="D68" s="45" t="s">
        <v>7</v>
      </c>
      <c r="E68" s="39" t="s">
        <v>465</v>
      </c>
      <c r="F68" s="36" t="s">
        <v>535</v>
      </c>
      <c r="G68" s="36"/>
      <c r="H68" s="36"/>
      <c r="I68" s="36"/>
      <c r="J68" s="36"/>
      <c r="K68" s="36"/>
      <c r="L68" s="36"/>
      <c r="M68" s="36"/>
      <c r="N68" s="36"/>
      <c r="O68" s="36"/>
      <c r="P68" s="36"/>
      <c r="Q68" s="36"/>
      <c r="R68" s="36"/>
      <c r="S68" s="36"/>
      <c r="T68" s="36"/>
      <c r="U68" s="36"/>
      <c r="V68" s="36"/>
      <c r="W68" s="36"/>
      <c r="X68" s="36"/>
      <c r="Y68" s="36"/>
      <c r="Z68" s="36"/>
      <c r="AA68" s="36"/>
      <c r="AB68" s="36"/>
      <c r="AC68" s="36"/>
      <c r="AD68" s="43"/>
      <c r="AE68" s="36"/>
      <c r="AF68" s="43"/>
      <c r="AG68" s="45"/>
      <c r="AH68" s="45"/>
      <c r="AI68" s="45"/>
      <c r="AJ68" s="36"/>
      <c r="AK68" s="43"/>
      <c r="AL68" s="35"/>
      <c r="AM68" s="35"/>
      <c r="AN68" s="35"/>
      <c r="AO68" s="35"/>
      <c r="AP68" s="36"/>
      <c r="AQ68" s="45"/>
      <c r="AR68" s="45"/>
      <c r="AS68" s="45"/>
      <c r="AT68" s="45"/>
      <c r="AU68" s="45"/>
      <c r="AV68" s="36"/>
      <c r="AW68" s="45"/>
      <c r="AX68" s="45"/>
      <c r="AY68" s="36"/>
      <c r="AZ68" s="43"/>
      <c r="BA68" s="53"/>
      <c r="BB68" s="53"/>
      <c r="BC68" s="53"/>
      <c r="BD68" s="53"/>
      <c r="BE68" s="53"/>
      <c r="BF68" s="53"/>
      <c r="BG68" s="45"/>
      <c r="BH68" s="45"/>
      <c r="BI68" s="55"/>
      <c r="BJ68" s="54"/>
      <c r="BK68" s="45"/>
      <c r="BL68" s="55"/>
      <c r="BM68" s="54"/>
    </row>
    <row r="69" spans="1:65" ht="15" customHeight="1" x14ac:dyDescent="0.25">
      <c r="A69" s="50">
        <v>68</v>
      </c>
      <c r="B69" s="52">
        <v>2039</v>
      </c>
      <c r="C69" s="68">
        <v>2039</v>
      </c>
      <c r="D69" s="45" t="s">
        <v>7</v>
      </c>
      <c r="E69" s="39" t="s">
        <v>467</v>
      </c>
      <c r="F69" s="36" t="s">
        <v>536</v>
      </c>
      <c r="G69" s="36"/>
      <c r="H69" s="36"/>
      <c r="I69" s="36"/>
      <c r="J69" s="36"/>
      <c r="K69" s="36"/>
      <c r="L69" s="36"/>
      <c r="M69" s="36"/>
      <c r="N69" s="36"/>
      <c r="O69" s="36"/>
      <c r="P69" s="36"/>
      <c r="Q69" s="36"/>
      <c r="R69" s="36"/>
      <c r="S69" s="36"/>
      <c r="T69" s="36"/>
      <c r="U69" s="36"/>
      <c r="V69" s="36"/>
      <c r="W69" s="36"/>
      <c r="X69" s="36"/>
      <c r="Y69" s="36"/>
      <c r="Z69" s="36"/>
      <c r="AA69" s="36"/>
      <c r="AB69" s="36"/>
      <c r="AC69" s="36"/>
      <c r="AD69" s="43"/>
      <c r="AE69" s="36"/>
      <c r="AF69" s="43"/>
      <c r="AG69" s="45"/>
      <c r="AH69" s="45"/>
      <c r="AI69" s="45"/>
      <c r="AJ69" s="36"/>
      <c r="AK69" s="43"/>
      <c r="AL69" s="35"/>
      <c r="AM69" s="35"/>
      <c r="AN69" s="35"/>
      <c r="AO69" s="35"/>
      <c r="AP69" s="36"/>
      <c r="AQ69" s="45"/>
      <c r="AR69" s="45"/>
      <c r="AS69" s="45"/>
      <c r="AT69" s="45"/>
      <c r="AU69" s="45"/>
      <c r="AV69" s="36"/>
      <c r="AW69" s="45"/>
      <c r="AX69" s="45"/>
      <c r="AY69" s="36"/>
      <c r="AZ69" s="43"/>
      <c r="BA69" s="53"/>
      <c r="BB69" s="53"/>
      <c r="BC69" s="53"/>
      <c r="BD69" s="53"/>
      <c r="BE69" s="53"/>
      <c r="BF69" s="53"/>
      <c r="BG69" s="45"/>
      <c r="BH69" s="45"/>
      <c r="BI69" s="55"/>
      <c r="BJ69" s="54"/>
      <c r="BK69" s="45"/>
      <c r="BL69" s="55"/>
      <c r="BM69" s="54"/>
    </row>
    <row r="70" spans="1:65" x14ac:dyDescent="0.25">
      <c r="A70" s="50">
        <v>69</v>
      </c>
      <c r="B70" s="52" t="s">
        <v>224</v>
      </c>
      <c r="C70" s="68">
        <v>912040</v>
      </c>
      <c r="D70" s="45" t="s">
        <v>7</v>
      </c>
      <c r="E70" s="6" t="s">
        <v>17</v>
      </c>
      <c r="F70" s="36" t="s">
        <v>656</v>
      </c>
    </row>
    <row r="71" spans="1:65" x14ac:dyDescent="0.25">
      <c r="A71" s="50">
        <v>70</v>
      </c>
      <c r="B71" s="52" t="s">
        <v>225</v>
      </c>
      <c r="C71" s="68">
        <v>922040</v>
      </c>
      <c r="D71" s="45" t="s">
        <v>7</v>
      </c>
      <c r="E71" s="6" t="s">
        <v>17</v>
      </c>
      <c r="F71" s="36" t="s">
        <v>656</v>
      </c>
    </row>
    <row r="72" spans="1:65" x14ac:dyDescent="0.25">
      <c r="A72" s="50">
        <v>71</v>
      </c>
      <c r="B72" s="52" t="s">
        <v>226</v>
      </c>
      <c r="C72" s="68">
        <v>932040</v>
      </c>
      <c r="D72" s="36" t="s">
        <v>7</v>
      </c>
      <c r="E72" s="6" t="s">
        <v>17</v>
      </c>
      <c r="F72" s="36" t="s">
        <v>656</v>
      </c>
    </row>
    <row r="73" spans="1:65" x14ac:dyDescent="0.25">
      <c r="A73" s="50">
        <v>72</v>
      </c>
      <c r="B73" s="52" t="s">
        <v>227</v>
      </c>
      <c r="C73" s="68">
        <v>912061</v>
      </c>
      <c r="D73" s="45" t="s">
        <v>7</v>
      </c>
      <c r="E73" s="11" t="s">
        <v>16</v>
      </c>
      <c r="F73" s="36" t="s">
        <v>530</v>
      </c>
    </row>
    <row r="74" spans="1:65" x14ac:dyDescent="0.25">
      <c r="A74" s="50">
        <v>73</v>
      </c>
      <c r="B74" s="52" t="s">
        <v>228</v>
      </c>
      <c r="C74" s="68">
        <v>922061</v>
      </c>
      <c r="D74" s="45" t="s">
        <v>7</v>
      </c>
      <c r="E74" s="11" t="s">
        <v>16</v>
      </c>
      <c r="F74" s="36" t="s">
        <v>530</v>
      </c>
    </row>
    <row r="75" spans="1:65" x14ac:dyDescent="0.25">
      <c r="A75" s="50">
        <v>74</v>
      </c>
      <c r="B75" s="36">
        <v>2091</v>
      </c>
      <c r="C75" s="46">
        <v>2091</v>
      </c>
      <c r="D75" s="45" t="s">
        <v>7</v>
      </c>
      <c r="E75" s="24" t="s">
        <v>353</v>
      </c>
      <c r="F75" s="36" t="s">
        <v>491</v>
      </c>
    </row>
    <row r="76" spans="1:65" x14ac:dyDescent="0.25">
      <c r="A76" s="50">
        <v>75</v>
      </c>
      <c r="B76" s="36">
        <v>2110</v>
      </c>
      <c r="C76" s="46">
        <v>2110</v>
      </c>
      <c r="D76" s="45" t="s">
        <v>7</v>
      </c>
      <c r="E76" s="12" t="s">
        <v>9</v>
      </c>
      <c r="F76" s="36" t="s">
        <v>530</v>
      </c>
    </row>
    <row r="77" spans="1:65" x14ac:dyDescent="0.25">
      <c r="A77" s="50">
        <v>76</v>
      </c>
      <c r="B77" s="36">
        <v>2120</v>
      </c>
      <c r="C77" s="46">
        <v>2120</v>
      </c>
      <c r="D77" s="45" t="s">
        <v>7</v>
      </c>
      <c r="E77" s="13" t="s">
        <v>8</v>
      </c>
      <c r="F77" s="36" t="s">
        <v>530</v>
      </c>
    </row>
    <row r="78" spans="1:65" x14ac:dyDescent="0.25">
      <c r="A78" s="50">
        <v>77</v>
      </c>
      <c r="B78" s="36">
        <v>2130</v>
      </c>
      <c r="C78" s="46">
        <v>2130</v>
      </c>
      <c r="D78" s="45" t="s">
        <v>7</v>
      </c>
      <c r="E78" s="14" t="s">
        <v>10</v>
      </c>
      <c r="F78" s="36" t="s">
        <v>543</v>
      </c>
    </row>
    <row r="79" spans="1:65" x14ac:dyDescent="0.25">
      <c r="A79" s="50">
        <v>78</v>
      </c>
      <c r="B79" s="36">
        <v>2140</v>
      </c>
      <c r="C79" s="46">
        <v>2140</v>
      </c>
      <c r="D79" s="45" t="s">
        <v>7</v>
      </c>
      <c r="E79" s="15" t="s">
        <v>14</v>
      </c>
      <c r="F79" s="36" t="s">
        <v>542</v>
      </c>
    </row>
    <row r="80" spans="1:65" x14ac:dyDescent="0.25">
      <c r="A80" s="50">
        <v>79</v>
      </c>
      <c r="B80" s="36">
        <v>3022</v>
      </c>
      <c r="C80" s="36">
        <v>3022</v>
      </c>
      <c r="D80" s="22" t="s">
        <v>203</v>
      </c>
      <c r="E80" s="38" t="s">
        <v>428</v>
      </c>
      <c r="F80" s="36" t="s">
        <v>533</v>
      </c>
    </row>
    <row r="81" spans="1:6" x14ac:dyDescent="0.25">
      <c r="A81" s="50">
        <v>80</v>
      </c>
      <c r="B81" s="36">
        <v>3032</v>
      </c>
      <c r="C81" s="36">
        <v>3032</v>
      </c>
      <c r="D81" s="22" t="s">
        <v>203</v>
      </c>
      <c r="E81" s="39" t="s">
        <v>462</v>
      </c>
      <c r="F81" s="36" t="s">
        <v>533</v>
      </c>
    </row>
    <row r="82" spans="1:6" x14ac:dyDescent="0.25">
      <c r="A82" s="50">
        <v>81</v>
      </c>
      <c r="B82" s="52" t="s">
        <v>229</v>
      </c>
      <c r="C82" s="68">
        <v>913040</v>
      </c>
      <c r="D82" s="22" t="s">
        <v>203</v>
      </c>
      <c r="E82" s="6" t="s">
        <v>17</v>
      </c>
      <c r="F82" s="36" t="s">
        <v>529</v>
      </c>
    </row>
    <row r="83" spans="1:6" x14ac:dyDescent="0.25">
      <c r="A83" s="50">
        <v>82</v>
      </c>
      <c r="B83" s="52" t="s">
        <v>230</v>
      </c>
      <c r="C83" s="68">
        <v>923040</v>
      </c>
      <c r="D83" s="22" t="s">
        <v>203</v>
      </c>
      <c r="E83" s="6" t="s">
        <v>17</v>
      </c>
      <c r="F83" s="36" t="s">
        <v>529</v>
      </c>
    </row>
    <row r="84" spans="1:6" x14ac:dyDescent="0.25">
      <c r="A84" s="50">
        <v>83</v>
      </c>
      <c r="B84" s="52" t="s">
        <v>231</v>
      </c>
      <c r="C84" s="68">
        <v>933040</v>
      </c>
      <c r="D84" s="22" t="s">
        <v>203</v>
      </c>
      <c r="E84" s="6" t="s">
        <v>17</v>
      </c>
      <c r="F84" s="36" t="s">
        <v>529</v>
      </c>
    </row>
    <row r="85" spans="1:6" x14ac:dyDescent="0.25">
      <c r="A85" s="50">
        <v>84</v>
      </c>
      <c r="B85" s="52" t="s">
        <v>232</v>
      </c>
      <c r="C85" s="68">
        <v>913061</v>
      </c>
      <c r="D85" s="22" t="s">
        <v>203</v>
      </c>
      <c r="E85" s="11" t="s">
        <v>16</v>
      </c>
      <c r="F85" s="36" t="s">
        <v>530</v>
      </c>
    </row>
    <row r="86" spans="1:6" x14ac:dyDescent="0.25">
      <c r="A86" s="50">
        <v>85</v>
      </c>
      <c r="B86" s="52" t="s">
        <v>233</v>
      </c>
      <c r="C86" s="68">
        <v>923061</v>
      </c>
      <c r="D86" s="22" t="s">
        <v>203</v>
      </c>
      <c r="E86" s="11" t="s">
        <v>16</v>
      </c>
      <c r="F86" s="36" t="s">
        <v>530</v>
      </c>
    </row>
    <row r="87" spans="1:6" x14ac:dyDescent="0.25">
      <c r="A87" s="50">
        <v>86</v>
      </c>
      <c r="B87" s="52" t="s">
        <v>234</v>
      </c>
      <c r="C87" s="68">
        <v>913091</v>
      </c>
      <c r="D87" s="22" t="s">
        <v>203</v>
      </c>
      <c r="E87" s="24" t="s">
        <v>353</v>
      </c>
      <c r="F87" s="36" t="s">
        <v>491</v>
      </c>
    </row>
    <row r="88" spans="1:6" x14ac:dyDescent="0.25">
      <c r="A88" s="50">
        <v>87</v>
      </c>
      <c r="B88" s="52" t="s">
        <v>235</v>
      </c>
      <c r="C88" s="68">
        <v>923091</v>
      </c>
      <c r="D88" s="22" t="s">
        <v>203</v>
      </c>
      <c r="E88" s="24" t="s">
        <v>353</v>
      </c>
      <c r="F88" s="36" t="s">
        <v>491</v>
      </c>
    </row>
    <row r="89" spans="1:6" x14ac:dyDescent="0.25">
      <c r="A89" s="50">
        <v>88</v>
      </c>
      <c r="B89" s="36">
        <v>3110</v>
      </c>
      <c r="C89" s="46">
        <v>3110</v>
      </c>
      <c r="D89" s="22" t="s">
        <v>203</v>
      </c>
      <c r="E89" s="12" t="s">
        <v>9</v>
      </c>
      <c r="F89" s="36" t="s">
        <v>540</v>
      </c>
    </row>
    <row r="90" spans="1:6" x14ac:dyDescent="0.25">
      <c r="A90" s="50">
        <v>89</v>
      </c>
      <c r="B90" s="36">
        <v>3120</v>
      </c>
      <c r="C90" s="46">
        <v>3120</v>
      </c>
      <c r="D90" s="22" t="s">
        <v>203</v>
      </c>
      <c r="E90" s="13" t="s">
        <v>8</v>
      </c>
      <c r="F90" s="36" t="s">
        <v>540</v>
      </c>
    </row>
    <row r="91" spans="1:6" x14ac:dyDescent="0.25">
      <c r="A91" s="50">
        <v>90</v>
      </c>
      <c r="B91" s="36">
        <v>3130</v>
      </c>
      <c r="C91" s="46">
        <v>3130</v>
      </c>
      <c r="D91" s="22" t="s">
        <v>203</v>
      </c>
      <c r="E91" s="14" t="s">
        <v>10</v>
      </c>
      <c r="F91" s="36" t="s">
        <v>543</v>
      </c>
    </row>
    <row r="92" spans="1:6" x14ac:dyDescent="0.25">
      <c r="A92" s="50">
        <v>91</v>
      </c>
      <c r="B92" s="36">
        <v>3140</v>
      </c>
      <c r="C92" s="46">
        <v>3140</v>
      </c>
      <c r="D92" s="22" t="s">
        <v>203</v>
      </c>
      <c r="E92" s="15" t="s">
        <v>14</v>
      </c>
      <c r="F92" s="36" t="s">
        <v>542</v>
      </c>
    </row>
    <row r="93" spans="1:6" x14ac:dyDescent="0.25">
      <c r="A93" s="50">
        <v>92</v>
      </c>
      <c r="B93" s="36">
        <v>4010</v>
      </c>
      <c r="C93" s="46">
        <v>4010</v>
      </c>
      <c r="D93" s="45" t="s">
        <v>5</v>
      </c>
      <c r="E93" s="25" t="s">
        <v>410</v>
      </c>
      <c r="F93" s="36" t="s">
        <v>438</v>
      </c>
    </row>
    <row r="94" spans="1:6" x14ac:dyDescent="0.25">
      <c r="A94" s="50">
        <v>93</v>
      </c>
      <c r="B94" s="36">
        <v>4011</v>
      </c>
      <c r="C94" s="46">
        <v>4011</v>
      </c>
      <c r="D94" s="45" t="s">
        <v>5</v>
      </c>
      <c r="E94" s="25" t="s">
        <v>411</v>
      </c>
      <c r="F94" s="36" t="s">
        <v>441</v>
      </c>
    </row>
    <row r="95" spans="1:6" x14ac:dyDescent="0.25">
      <c r="A95" s="50">
        <v>94</v>
      </c>
      <c r="B95" s="36">
        <v>4012</v>
      </c>
      <c r="C95" s="46">
        <v>4012</v>
      </c>
      <c r="D95" s="45" t="s">
        <v>5</v>
      </c>
      <c r="E95" s="25" t="s">
        <v>412</v>
      </c>
      <c r="F95" s="36" t="s">
        <v>442</v>
      </c>
    </row>
    <row r="96" spans="1:6" x14ac:dyDescent="0.25">
      <c r="A96" s="50">
        <v>95</v>
      </c>
      <c r="B96" s="36">
        <v>4013</v>
      </c>
      <c r="C96" s="46">
        <v>4013</v>
      </c>
      <c r="D96" s="45" t="s">
        <v>5</v>
      </c>
      <c r="E96" s="25" t="s">
        <v>413</v>
      </c>
      <c r="F96" s="36" t="s">
        <v>443</v>
      </c>
    </row>
    <row r="97" spans="1:65" x14ac:dyDescent="0.25">
      <c r="A97" s="50">
        <v>96</v>
      </c>
      <c r="B97" s="36">
        <v>4017</v>
      </c>
      <c r="C97" s="46">
        <v>4017</v>
      </c>
      <c r="D97" s="45" t="s">
        <v>5</v>
      </c>
      <c r="E97" s="25" t="s">
        <v>416</v>
      </c>
      <c r="F97" s="36" t="s">
        <v>445</v>
      </c>
    </row>
    <row r="98" spans="1:65" x14ac:dyDescent="0.25">
      <c r="A98" s="50">
        <v>97</v>
      </c>
      <c r="B98" s="36">
        <v>4018</v>
      </c>
      <c r="C98" s="46">
        <v>4018</v>
      </c>
      <c r="D98" s="45" t="s">
        <v>5</v>
      </c>
      <c r="E98" s="25" t="s">
        <v>418</v>
      </c>
      <c r="F98" s="36" t="s">
        <v>446</v>
      </c>
    </row>
    <row r="99" spans="1:65" x14ac:dyDescent="0.25">
      <c r="A99" s="50">
        <v>98</v>
      </c>
      <c r="B99" s="36">
        <v>4020</v>
      </c>
      <c r="C99" s="46">
        <v>4020</v>
      </c>
      <c r="D99" s="45" t="s">
        <v>5</v>
      </c>
      <c r="E99" s="38" t="s">
        <v>427</v>
      </c>
      <c r="F99" s="36" t="s">
        <v>678</v>
      </c>
    </row>
    <row r="100" spans="1:65" x14ac:dyDescent="0.25">
      <c r="A100" s="50">
        <v>99</v>
      </c>
      <c r="B100" s="36">
        <v>4021</v>
      </c>
      <c r="C100" s="46">
        <v>4021</v>
      </c>
      <c r="D100" s="45" t="s">
        <v>5</v>
      </c>
      <c r="E100" s="38" t="s">
        <v>426</v>
      </c>
      <c r="F100" s="36" t="s">
        <v>679</v>
      </c>
    </row>
    <row r="101" spans="1:65" x14ac:dyDescent="0.25">
      <c r="A101" s="50">
        <v>100</v>
      </c>
      <c r="B101" s="36">
        <v>4022</v>
      </c>
      <c r="C101" s="46">
        <v>4022</v>
      </c>
      <c r="D101" s="45" t="s">
        <v>5</v>
      </c>
      <c r="E101" s="38" t="s">
        <v>428</v>
      </c>
      <c r="F101" s="36" t="s">
        <v>680</v>
      </c>
    </row>
    <row r="102" spans="1:65" x14ac:dyDescent="0.25">
      <c r="A102" s="50">
        <v>101</v>
      </c>
      <c r="B102" s="36">
        <v>4023</v>
      </c>
      <c r="C102" s="46">
        <v>4023</v>
      </c>
      <c r="D102" s="45" t="s">
        <v>5</v>
      </c>
      <c r="E102" s="38" t="s">
        <v>429</v>
      </c>
      <c r="F102" s="36" t="s">
        <v>681</v>
      </c>
    </row>
    <row r="103" spans="1:65" x14ac:dyDescent="0.25">
      <c r="A103" s="50">
        <v>102</v>
      </c>
      <c r="B103" s="36">
        <v>4027</v>
      </c>
      <c r="C103" s="36">
        <v>4027</v>
      </c>
      <c r="D103" s="45" t="s">
        <v>5</v>
      </c>
      <c r="E103" s="38" t="s">
        <v>431</v>
      </c>
      <c r="F103" s="36" t="s">
        <v>682</v>
      </c>
    </row>
    <row r="104" spans="1:65" x14ac:dyDescent="0.25">
      <c r="A104" s="50">
        <v>103</v>
      </c>
      <c r="B104" s="36">
        <v>4028</v>
      </c>
      <c r="C104" s="46">
        <v>4028</v>
      </c>
      <c r="D104" s="45" t="s">
        <v>5</v>
      </c>
      <c r="E104" s="38" t="s">
        <v>432</v>
      </c>
      <c r="F104" s="36" t="s">
        <v>683</v>
      </c>
    </row>
    <row r="105" spans="1:65" ht="15" customHeight="1" x14ac:dyDescent="0.25">
      <c r="A105" s="50">
        <v>104</v>
      </c>
      <c r="B105" s="51" t="s">
        <v>520</v>
      </c>
      <c r="C105" s="52">
        <v>914030</v>
      </c>
      <c r="D105" s="45" t="s">
        <v>5</v>
      </c>
      <c r="E105" s="39" t="s">
        <v>461</v>
      </c>
      <c r="F105" s="36" t="s">
        <v>678</v>
      </c>
      <c r="G105" s="36"/>
      <c r="H105" s="36"/>
      <c r="I105" s="36"/>
      <c r="J105" s="36"/>
      <c r="K105" s="36"/>
      <c r="L105" s="36"/>
      <c r="M105" s="36"/>
      <c r="N105" s="36"/>
      <c r="O105" s="36"/>
      <c r="P105" s="36"/>
      <c r="Q105" s="36"/>
      <c r="R105" s="36"/>
      <c r="S105" s="36"/>
      <c r="T105" s="36"/>
      <c r="U105" s="36"/>
      <c r="V105" s="36"/>
      <c r="W105" s="36"/>
      <c r="X105" s="43"/>
      <c r="Y105" s="43"/>
      <c r="Z105" s="45"/>
      <c r="AA105" s="45"/>
      <c r="AB105" s="45"/>
      <c r="AC105" s="45"/>
      <c r="AD105" s="45"/>
      <c r="AE105" s="45"/>
      <c r="AF105" s="35"/>
      <c r="AG105" s="45"/>
      <c r="AH105" s="45"/>
      <c r="AI105" s="45"/>
      <c r="AJ105" s="36"/>
      <c r="AK105" s="45"/>
      <c r="AL105" s="35"/>
      <c r="AM105" s="35"/>
      <c r="AN105" s="35"/>
      <c r="AO105" s="35"/>
      <c r="AP105" s="36"/>
      <c r="AQ105" s="45"/>
      <c r="AR105" s="45"/>
      <c r="AS105" s="45"/>
      <c r="AT105" s="45"/>
      <c r="AU105" s="45"/>
      <c r="AV105" s="45"/>
      <c r="AW105" s="45"/>
      <c r="AX105" s="45"/>
      <c r="AY105" s="36"/>
      <c r="AZ105" s="35"/>
      <c r="BA105" s="53"/>
      <c r="BB105" s="53"/>
      <c r="BC105" s="53"/>
      <c r="BD105" s="53"/>
      <c r="BE105" s="53"/>
      <c r="BF105" s="53"/>
      <c r="BG105" s="45"/>
      <c r="BH105" s="45"/>
      <c r="BI105" s="55"/>
      <c r="BJ105" s="54"/>
      <c r="BK105" s="45"/>
      <c r="BL105" s="55"/>
      <c r="BM105" s="54"/>
    </row>
    <row r="106" spans="1:65" ht="15" customHeight="1" x14ac:dyDescent="0.25">
      <c r="A106" s="50">
        <v>105</v>
      </c>
      <c r="B106" s="51" t="s">
        <v>521</v>
      </c>
      <c r="C106" s="52">
        <v>924030</v>
      </c>
      <c r="D106" s="45" t="s">
        <v>5</v>
      </c>
      <c r="E106" s="39" t="s">
        <v>461</v>
      </c>
      <c r="F106" s="36" t="s">
        <v>678</v>
      </c>
      <c r="G106" s="36"/>
      <c r="H106" s="36"/>
      <c r="I106" s="36"/>
      <c r="J106" s="36"/>
      <c r="K106" s="36"/>
      <c r="L106" s="36"/>
      <c r="M106" s="36"/>
      <c r="N106" s="36"/>
      <c r="O106" s="36"/>
      <c r="P106" s="36"/>
      <c r="Q106" s="36"/>
      <c r="R106" s="36"/>
      <c r="S106" s="36"/>
      <c r="T106" s="36"/>
      <c r="U106" s="36"/>
      <c r="V106" s="36"/>
      <c r="W106" s="36"/>
      <c r="X106" s="43"/>
      <c r="Y106" s="43"/>
      <c r="Z106" s="45"/>
      <c r="AA106" s="45"/>
      <c r="AB106" s="45"/>
      <c r="AC106" s="45"/>
      <c r="AD106" s="45"/>
      <c r="AE106" s="45"/>
      <c r="AF106" s="35"/>
      <c r="AG106" s="45"/>
      <c r="AH106" s="45"/>
      <c r="AI106" s="45"/>
      <c r="AJ106" s="36"/>
      <c r="AK106" s="45"/>
      <c r="AL106" s="35"/>
      <c r="AM106" s="35"/>
      <c r="AN106" s="35"/>
      <c r="AO106" s="35"/>
      <c r="AP106" s="36"/>
      <c r="AQ106" s="45"/>
      <c r="AR106" s="45"/>
      <c r="AS106" s="45"/>
      <c r="AT106" s="45"/>
      <c r="AU106" s="45"/>
      <c r="AV106" s="45"/>
      <c r="AW106" s="45"/>
      <c r="AX106" s="45"/>
      <c r="AY106" s="36"/>
      <c r="AZ106" s="35"/>
      <c r="BA106" s="53"/>
      <c r="BB106" s="53"/>
      <c r="BC106" s="53"/>
      <c r="BD106" s="53"/>
      <c r="BE106" s="53"/>
      <c r="BF106" s="53"/>
      <c r="BG106" s="45"/>
      <c r="BH106" s="45"/>
      <c r="BI106" s="55"/>
      <c r="BJ106" s="54"/>
      <c r="BK106" s="45"/>
      <c r="BL106" s="55"/>
      <c r="BM106" s="54"/>
    </row>
    <row r="107" spans="1:65" ht="15" customHeight="1" x14ac:dyDescent="0.25">
      <c r="A107" s="50">
        <v>106</v>
      </c>
      <c r="B107" s="51" t="s">
        <v>518</v>
      </c>
      <c r="C107" s="68">
        <v>914031</v>
      </c>
      <c r="D107" s="45" t="s">
        <v>5</v>
      </c>
      <c r="E107" s="39" t="s">
        <v>460</v>
      </c>
      <c r="F107" s="36" t="s">
        <v>679</v>
      </c>
      <c r="G107" s="36"/>
      <c r="H107" s="36"/>
      <c r="I107" s="36"/>
      <c r="J107" s="36"/>
      <c r="K107" s="36"/>
      <c r="L107" s="36"/>
      <c r="M107" s="36"/>
      <c r="N107" s="36"/>
      <c r="O107" s="36"/>
      <c r="P107" s="36"/>
      <c r="Q107" s="36"/>
      <c r="R107" s="36"/>
      <c r="S107" s="36"/>
      <c r="T107" s="36"/>
      <c r="U107" s="36"/>
      <c r="V107" s="36"/>
      <c r="W107" s="36"/>
      <c r="X107" s="43"/>
      <c r="Y107" s="43"/>
      <c r="Z107" s="45"/>
      <c r="AA107" s="45"/>
      <c r="AB107" s="45"/>
      <c r="AC107" s="45"/>
      <c r="AD107" s="45"/>
      <c r="AE107" s="45"/>
      <c r="AF107" s="35"/>
      <c r="AG107" s="45"/>
      <c r="AH107" s="45"/>
      <c r="AI107" s="45"/>
      <c r="AJ107" s="36"/>
      <c r="AK107" s="45"/>
      <c r="AL107" s="35"/>
      <c r="AM107" s="35"/>
      <c r="AN107" s="35"/>
      <c r="AO107" s="35"/>
      <c r="AP107" s="36"/>
      <c r="AQ107" s="45"/>
      <c r="AR107" s="45"/>
      <c r="AS107" s="45"/>
      <c r="AT107" s="45"/>
      <c r="AU107" s="45"/>
      <c r="AV107" s="45"/>
      <c r="AW107" s="45"/>
      <c r="AX107" s="45"/>
      <c r="AY107" s="36"/>
      <c r="AZ107" s="35"/>
      <c r="BA107" s="53"/>
      <c r="BB107" s="53"/>
      <c r="BC107" s="53"/>
      <c r="BD107" s="53"/>
      <c r="BE107" s="53"/>
      <c r="BF107" s="53"/>
      <c r="BG107" s="45"/>
      <c r="BH107" s="45"/>
      <c r="BI107" s="55"/>
      <c r="BJ107" s="54"/>
      <c r="BK107" s="45"/>
      <c r="BL107" s="55"/>
      <c r="BM107" s="54"/>
    </row>
    <row r="108" spans="1:65" ht="15" customHeight="1" x14ac:dyDescent="0.25">
      <c r="A108" s="50">
        <v>107</v>
      </c>
      <c r="B108" s="51" t="s">
        <v>519</v>
      </c>
      <c r="C108" s="68">
        <v>924031</v>
      </c>
      <c r="D108" s="45" t="s">
        <v>5</v>
      </c>
      <c r="E108" s="39" t="s">
        <v>460</v>
      </c>
      <c r="F108" s="36" t="s">
        <v>679</v>
      </c>
      <c r="G108" s="36"/>
      <c r="H108" s="36"/>
      <c r="I108" s="36"/>
      <c r="J108" s="36"/>
      <c r="K108" s="36"/>
      <c r="L108" s="36"/>
      <c r="M108" s="36"/>
      <c r="N108" s="36"/>
      <c r="O108" s="36"/>
      <c r="P108" s="36"/>
      <c r="Q108" s="36"/>
      <c r="R108" s="36"/>
      <c r="S108" s="36"/>
      <c r="T108" s="36"/>
      <c r="U108" s="36"/>
      <c r="V108" s="36"/>
      <c r="W108" s="36"/>
      <c r="X108" s="43"/>
      <c r="Y108" s="43"/>
      <c r="Z108" s="45"/>
      <c r="AA108" s="45"/>
      <c r="AB108" s="45"/>
      <c r="AC108" s="45"/>
      <c r="AD108" s="45"/>
      <c r="AE108" s="45"/>
      <c r="AF108" s="35"/>
      <c r="AG108" s="45"/>
      <c r="AH108" s="45"/>
      <c r="AI108" s="45"/>
      <c r="AJ108" s="36"/>
      <c r="AK108" s="45"/>
      <c r="AL108" s="35"/>
      <c r="AM108" s="35"/>
      <c r="AN108" s="35"/>
      <c r="AO108" s="35"/>
      <c r="AP108" s="36"/>
      <c r="AQ108" s="45"/>
      <c r="AR108" s="45"/>
      <c r="AS108" s="45"/>
      <c r="AT108" s="45"/>
      <c r="AU108" s="45"/>
      <c r="AV108" s="45"/>
      <c r="AW108" s="45"/>
      <c r="AX108" s="45"/>
      <c r="AY108" s="36"/>
      <c r="AZ108" s="35"/>
      <c r="BA108" s="53"/>
      <c r="BB108" s="53"/>
      <c r="BC108" s="53"/>
      <c r="BD108" s="53"/>
      <c r="BE108" s="53"/>
      <c r="BF108" s="53"/>
      <c r="BG108" s="45"/>
      <c r="BH108" s="45"/>
      <c r="BI108" s="55"/>
      <c r="BJ108" s="54"/>
      <c r="BK108" s="45"/>
      <c r="BL108" s="55"/>
      <c r="BM108" s="54"/>
    </row>
    <row r="109" spans="1:65" ht="15" customHeight="1" x14ac:dyDescent="0.25">
      <c r="A109" s="50">
        <v>108</v>
      </c>
      <c r="B109" s="52">
        <v>4032</v>
      </c>
      <c r="C109" s="68">
        <v>4032</v>
      </c>
      <c r="D109" s="45" t="s">
        <v>5</v>
      </c>
      <c r="E109" s="39" t="s">
        <v>462</v>
      </c>
      <c r="F109" s="36" t="s">
        <v>680</v>
      </c>
      <c r="G109" s="36"/>
      <c r="H109" s="36"/>
      <c r="I109" s="36"/>
      <c r="J109" s="36"/>
      <c r="K109" s="36"/>
      <c r="L109" s="36"/>
      <c r="M109" s="36"/>
      <c r="N109" s="36"/>
      <c r="O109" s="36"/>
      <c r="P109" s="36"/>
      <c r="Q109" s="36"/>
      <c r="R109" s="36"/>
      <c r="S109" s="36"/>
      <c r="T109" s="36"/>
      <c r="U109" s="36"/>
      <c r="V109" s="36"/>
      <c r="W109" s="36"/>
      <c r="X109" s="43"/>
      <c r="Y109" s="43"/>
      <c r="Z109" s="45"/>
      <c r="AA109" s="45"/>
      <c r="AB109" s="45"/>
      <c r="AC109" s="45"/>
      <c r="AD109" s="45"/>
      <c r="AE109" s="45"/>
      <c r="AF109" s="35"/>
      <c r="AG109" s="45"/>
      <c r="AH109" s="45"/>
      <c r="AI109" s="45"/>
      <c r="AJ109" s="36"/>
      <c r="AK109" s="45"/>
      <c r="AL109" s="35"/>
      <c r="AM109" s="35"/>
      <c r="AN109" s="35"/>
      <c r="AO109" s="35"/>
      <c r="AP109" s="36"/>
      <c r="AQ109" s="45"/>
      <c r="AR109" s="45"/>
      <c r="AS109" s="45"/>
      <c r="AT109" s="45"/>
      <c r="AU109" s="45"/>
      <c r="AV109" s="45"/>
      <c r="AW109" s="45"/>
      <c r="AX109" s="45"/>
      <c r="AY109" s="36"/>
      <c r="AZ109" s="35"/>
      <c r="BA109" s="53"/>
      <c r="BB109" s="53"/>
      <c r="BC109" s="53"/>
      <c r="BD109" s="53"/>
      <c r="BE109" s="53"/>
      <c r="BF109" s="53"/>
      <c r="BG109" s="45"/>
      <c r="BH109" s="45"/>
      <c r="BI109" s="55"/>
      <c r="BJ109" s="54"/>
      <c r="BK109" s="45"/>
      <c r="BL109" s="55"/>
      <c r="BM109" s="54"/>
    </row>
    <row r="110" spans="1:65" ht="15" customHeight="1" x14ac:dyDescent="0.25">
      <c r="A110" s="50">
        <v>109</v>
      </c>
      <c r="B110" s="52">
        <v>4033</v>
      </c>
      <c r="C110" s="68">
        <v>4033</v>
      </c>
      <c r="D110" s="45" t="s">
        <v>5</v>
      </c>
      <c r="E110" s="39" t="s">
        <v>463</v>
      </c>
      <c r="F110" s="36" t="s">
        <v>681</v>
      </c>
      <c r="G110" s="36"/>
      <c r="H110" s="36"/>
      <c r="I110" s="36"/>
      <c r="J110" s="36"/>
      <c r="K110" s="36"/>
      <c r="L110" s="36"/>
      <c r="M110" s="36"/>
      <c r="N110" s="36"/>
      <c r="O110" s="36"/>
      <c r="P110" s="36"/>
      <c r="Q110" s="36"/>
      <c r="R110" s="36"/>
      <c r="S110" s="36"/>
      <c r="T110" s="36"/>
      <c r="U110" s="36"/>
      <c r="V110" s="36"/>
      <c r="W110" s="36"/>
      <c r="X110" s="43"/>
      <c r="Y110" s="43"/>
      <c r="Z110" s="45"/>
      <c r="AA110" s="45"/>
      <c r="AB110" s="45"/>
      <c r="AC110" s="45"/>
      <c r="AD110" s="45"/>
      <c r="AE110" s="45"/>
      <c r="AF110" s="35"/>
      <c r="AG110" s="45"/>
      <c r="AH110" s="45"/>
      <c r="AI110" s="45"/>
      <c r="AJ110" s="36"/>
      <c r="AK110" s="45"/>
      <c r="AL110" s="35"/>
      <c r="AM110" s="35"/>
      <c r="AN110" s="35"/>
      <c r="AO110" s="35"/>
      <c r="AP110" s="36"/>
      <c r="AQ110" s="45"/>
      <c r="AR110" s="45"/>
      <c r="AS110" s="45"/>
      <c r="AT110" s="45"/>
      <c r="AU110" s="45"/>
      <c r="AV110" s="45"/>
      <c r="AW110" s="45"/>
      <c r="AX110" s="45"/>
      <c r="AY110" s="36"/>
      <c r="AZ110" s="35"/>
      <c r="BA110" s="53"/>
      <c r="BB110" s="53"/>
      <c r="BC110" s="53"/>
      <c r="BD110" s="53"/>
      <c r="BE110" s="53"/>
      <c r="BF110" s="53"/>
      <c r="BG110" s="45"/>
      <c r="BH110" s="45"/>
      <c r="BI110" s="55"/>
      <c r="BJ110" s="54"/>
      <c r="BK110" s="45"/>
      <c r="BL110" s="55"/>
      <c r="BM110" s="54"/>
    </row>
    <row r="111" spans="1:65" ht="15" customHeight="1" x14ac:dyDescent="0.25">
      <c r="A111" s="50">
        <v>110</v>
      </c>
      <c r="B111" s="52">
        <v>4036</v>
      </c>
      <c r="C111" s="69">
        <v>4036</v>
      </c>
      <c r="D111" s="45" t="s">
        <v>5</v>
      </c>
      <c r="E111" s="33" t="s">
        <v>464</v>
      </c>
      <c r="F111" s="36" t="s">
        <v>459</v>
      </c>
      <c r="G111" s="36"/>
      <c r="H111" s="36"/>
      <c r="I111" s="36"/>
      <c r="J111" s="36"/>
      <c r="K111" s="36"/>
      <c r="L111" s="36"/>
      <c r="M111" s="36"/>
      <c r="N111" s="36"/>
      <c r="O111" s="36"/>
      <c r="P111" s="36"/>
      <c r="Q111" s="36"/>
      <c r="R111" s="45"/>
      <c r="S111" s="36"/>
      <c r="T111" s="36"/>
      <c r="U111" s="36"/>
      <c r="V111" s="36"/>
      <c r="W111" s="36"/>
      <c r="X111" s="43"/>
      <c r="Y111" s="43"/>
      <c r="Z111" s="45"/>
      <c r="AA111" s="45"/>
      <c r="AB111" s="45"/>
      <c r="AC111" s="45"/>
      <c r="AD111" s="45"/>
      <c r="AE111" s="45"/>
      <c r="AF111" s="35"/>
      <c r="AG111" s="45"/>
      <c r="AH111" s="45"/>
      <c r="AI111" s="45"/>
      <c r="AJ111" s="36"/>
      <c r="AK111" s="45"/>
      <c r="AL111" s="35"/>
      <c r="AM111" s="35"/>
      <c r="AN111" s="35"/>
      <c r="AO111" s="35"/>
      <c r="AP111" s="36"/>
      <c r="AQ111" s="45"/>
      <c r="AR111" s="45"/>
      <c r="AS111" s="45"/>
      <c r="AT111" s="45"/>
      <c r="AU111" s="45"/>
      <c r="AV111" s="45"/>
      <c r="AW111" s="45"/>
      <c r="AX111" s="45"/>
      <c r="AY111" s="45"/>
      <c r="AZ111" s="35"/>
      <c r="BA111" s="45"/>
      <c r="BB111" s="45"/>
      <c r="BC111" s="45"/>
      <c r="BD111" s="45"/>
      <c r="BE111" s="45"/>
      <c r="BF111" s="45"/>
      <c r="BG111" s="45"/>
      <c r="BH111" s="45"/>
      <c r="BI111" s="45"/>
      <c r="BJ111" s="43"/>
      <c r="BK111" s="45"/>
      <c r="BL111" s="45"/>
      <c r="BM111" s="43"/>
    </row>
    <row r="112" spans="1:65" ht="15" customHeight="1" x14ac:dyDescent="0.25">
      <c r="A112" s="50">
        <v>111</v>
      </c>
      <c r="B112" s="36">
        <v>4037</v>
      </c>
      <c r="C112" s="36">
        <v>4037</v>
      </c>
      <c r="D112" s="45" t="s">
        <v>5</v>
      </c>
      <c r="E112" s="39" t="s">
        <v>466</v>
      </c>
      <c r="F112" s="36" t="s">
        <v>682</v>
      </c>
      <c r="G112" s="36"/>
      <c r="H112" s="36"/>
      <c r="I112" s="36"/>
      <c r="J112" s="36"/>
      <c r="K112" s="36"/>
      <c r="L112" s="36"/>
      <c r="M112" s="36"/>
      <c r="N112" s="36"/>
      <c r="O112" s="36"/>
      <c r="P112" s="36"/>
      <c r="Q112" s="36"/>
      <c r="R112" s="45"/>
      <c r="S112" s="36"/>
      <c r="T112" s="36"/>
      <c r="U112" s="36"/>
      <c r="V112" s="36"/>
      <c r="W112" s="36"/>
      <c r="X112" s="43"/>
      <c r="Y112" s="43"/>
      <c r="Z112" s="45"/>
      <c r="AA112" s="45"/>
      <c r="AB112" s="45"/>
      <c r="AC112" s="45"/>
      <c r="AD112" s="45"/>
      <c r="AE112" s="45"/>
      <c r="AF112" s="35"/>
      <c r="AG112" s="45"/>
      <c r="AH112" s="45"/>
      <c r="AI112" s="45"/>
      <c r="AJ112" s="36"/>
      <c r="AK112" s="45"/>
      <c r="AL112" s="35"/>
      <c r="AM112" s="35"/>
      <c r="AN112" s="35"/>
      <c r="AO112" s="35"/>
      <c r="AP112" s="36"/>
      <c r="AQ112" s="45"/>
      <c r="AR112" s="45"/>
      <c r="AS112" s="45"/>
      <c r="AT112" s="45"/>
      <c r="AU112" s="45"/>
      <c r="AV112" s="45"/>
      <c r="AW112" s="45"/>
      <c r="AX112" s="45"/>
      <c r="AY112" s="45"/>
      <c r="AZ112" s="35"/>
      <c r="BA112" s="45"/>
      <c r="BB112" s="45"/>
      <c r="BC112" s="45"/>
      <c r="BD112" s="45"/>
      <c r="BE112" s="45"/>
      <c r="BF112" s="45"/>
      <c r="BG112" s="45"/>
      <c r="BH112" s="45"/>
      <c r="BI112" s="45"/>
      <c r="BJ112" s="43"/>
      <c r="BK112" s="45"/>
      <c r="BL112" s="45"/>
      <c r="BM112" s="43"/>
    </row>
    <row r="113" spans="1:6" x14ac:dyDescent="0.25">
      <c r="A113" s="50">
        <v>112</v>
      </c>
      <c r="B113" s="52" t="s">
        <v>236</v>
      </c>
      <c r="C113" s="68">
        <v>914040</v>
      </c>
      <c r="D113" s="45" t="s">
        <v>5</v>
      </c>
      <c r="E113" s="6" t="s">
        <v>17</v>
      </c>
      <c r="F113" s="36" t="s">
        <v>677</v>
      </c>
    </row>
    <row r="114" spans="1:6" x14ac:dyDescent="0.25">
      <c r="A114" s="50">
        <v>113</v>
      </c>
      <c r="B114" s="52" t="s">
        <v>237</v>
      </c>
      <c r="C114" s="68">
        <v>924040</v>
      </c>
      <c r="D114" s="45" t="s">
        <v>5</v>
      </c>
      <c r="E114" s="6" t="s">
        <v>17</v>
      </c>
      <c r="F114" s="36" t="s">
        <v>677</v>
      </c>
    </row>
    <row r="115" spans="1:6" x14ac:dyDescent="0.25">
      <c r="A115" s="50">
        <v>114</v>
      </c>
      <c r="B115" s="52" t="s">
        <v>238</v>
      </c>
      <c r="C115" s="68">
        <v>934040</v>
      </c>
      <c r="D115" s="36" t="s">
        <v>5</v>
      </c>
      <c r="E115" s="6" t="s">
        <v>17</v>
      </c>
      <c r="F115" s="36" t="s">
        <v>677</v>
      </c>
    </row>
    <row r="116" spans="1:6" x14ac:dyDescent="0.25">
      <c r="A116" s="50">
        <v>115</v>
      </c>
      <c r="B116" s="52" t="s">
        <v>239</v>
      </c>
      <c r="C116" s="69">
        <v>914043</v>
      </c>
      <c r="D116" s="45" t="s">
        <v>5</v>
      </c>
      <c r="E116" s="75" t="s">
        <v>404</v>
      </c>
      <c r="F116" s="43" t="s">
        <v>450</v>
      </c>
    </row>
    <row r="117" spans="1:6" x14ac:dyDescent="0.25">
      <c r="A117" s="50">
        <v>116</v>
      </c>
      <c r="B117" s="52" t="s">
        <v>240</v>
      </c>
      <c r="C117" s="69">
        <v>924043</v>
      </c>
      <c r="D117" s="45" t="s">
        <v>5</v>
      </c>
      <c r="E117" s="75" t="s">
        <v>404</v>
      </c>
      <c r="F117" s="43" t="s">
        <v>450</v>
      </c>
    </row>
    <row r="118" spans="1:6" x14ac:dyDescent="0.25">
      <c r="A118" s="50">
        <v>117</v>
      </c>
      <c r="B118" s="52" t="s">
        <v>241</v>
      </c>
      <c r="C118" s="69">
        <v>934043</v>
      </c>
      <c r="D118" s="36" t="s">
        <v>5</v>
      </c>
      <c r="E118" s="75" t="s">
        <v>404</v>
      </c>
      <c r="F118" s="43" t="s">
        <v>450</v>
      </c>
    </row>
    <row r="119" spans="1:6" x14ac:dyDescent="0.25">
      <c r="A119" s="50">
        <v>118</v>
      </c>
      <c r="B119" s="52" t="s">
        <v>242</v>
      </c>
      <c r="C119" s="68">
        <v>914061</v>
      </c>
      <c r="D119" s="45" t="s">
        <v>5</v>
      </c>
      <c r="E119" s="11" t="s">
        <v>16</v>
      </c>
      <c r="F119" s="36" t="s">
        <v>677</v>
      </c>
    </row>
    <row r="120" spans="1:6" x14ac:dyDescent="0.25">
      <c r="A120" s="50">
        <v>119</v>
      </c>
      <c r="B120" s="52" t="s">
        <v>243</v>
      </c>
      <c r="C120" s="68">
        <v>924061</v>
      </c>
      <c r="D120" s="45" t="s">
        <v>5</v>
      </c>
      <c r="E120" s="11" t="s">
        <v>16</v>
      </c>
      <c r="F120" s="36" t="s">
        <v>677</v>
      </c>
    </row>
    <row r="121" spans="1:6" x14ac:dyDescent="0.25">
      <c r="A121" s="50">
        <v>120</v>
      </c>
      <c r="B121" s="52" t="s">
        <v>244</v>
      </c>
      <c r="C121" s="68">
        <v>934061</v>
      </c>
      <c r="D121" s="36" t="s">
        <v>5</v>
      </c>
      <c r="E121" s="11" t="s">
        <v>16</v>
      </c>
      <c r="F121" s="36" t="s">
        <v>677</v>
      </c>
    </row>
    <row r="122" spans="1:6" x14ac:dyDescent="0.25">
      <c r="A122" s="50">
        <v>121</v>
      </c>
      <c r="B122" s="52" t="s">
        <v>245</v>
      </c>
      <c r="C122" s="68">
        <v>914091</v>
      </c>
      <c r="D122" s="45" t="s">
        <v>5</v>
      </c>
      <c r="E122" s="24" t="s">
        <v>353</v>
      </c>
      <c r="F122" s="36" t="s">
        <v>472</v>
      </c>
    </row>
    <row r="123" spans="1:6" x14ac:dyDescent="0.25">
      <c r="A123" s="50">
        <v>122</v>
      </c>
      <c r="B123" s="52" t="s">
        <v>246</v>
      </c>
      <c r="C123" s="68">
        <v>924091</v>
      </c>
      <c r="D123" s="45" t="s">
        <v>5</v>
      </c>
      <c r="E123" s="24" t="s">
        <v>353</v>
      </c>
      <c r="F123" s="36" t="s">
        <v>472</v>
      </c>
    </row>
    <row r="124" spans="1:6" x14ac:dyDescent="0.25">
      <c r="A124" s="50">
        <v>123</v>
      </c>
      <c r="B124" s="52" t="s">
        <v>247</v>
      </c>
      <c r="C124" s="68">
        <v>934091</v>
      </c>
      <c r="D124" s="36" t="s">
        <v>5</v>
      </c>
      <c r="E124" s="24" t="s">
        <v>353</v>
      </c>
      <c r="F124" s="36" t="s">
        <v>472</v>
      </c>
    </row>
    <row r="125" spans="1:6" x14ac:dyDescent="0.25">
      <c r="A125" s="50">
        <v>124</v>
      </c>
      <c r="B125" s="52" t="s">
        <v>248</v>
      </c>
      <c r="C125" s="72">
        <v>914092</v>
      </c>
      <c r="D125" s="45" t="s">
        <v>5</v>
      </c>
      <c r="E125" s="76" t="s">
        <v>354</v>
      </c>
      <c r="F125" s="43" t="s">
        <v>660</v>
      </c>
    </row>
    <row r="126" spans="1:6" x14ac:dyDescent="0.25">
      <c r="A126" s="50">
        <v>125</v>
      </c>
      <c r="B126" s="52" t="s">
        <v>528</v>
      </c>
      <c r="C126" s="72">
        <v>924092</v>
      </c>
      <c r="D126" s="45" t="s">
        <v>5</v>
      </c>
      <c r="E126" s="76" t="s">
        <v>354</v>
      </c>
      <c r="F126" s="43" t="s">
        <v>660</v>
      </c>
    </row>
    <row r="127" spans="1:6" x14ac:dyDescent="0.25">
      <c r="A127" s="50">
        <v>126</v>
      </c>
      <c r="B127" s="52" t="s">
        <v>249</v>
      </c>
      <c r="C127" s="72">
        <v>934092</v>
      </c>
      <c r="D127" s="36" t="s">
        <v>5</v>
      </c>
      <c r="E127" s="76" t="s">
        <v>354</v>
      </c>
      <c r="F127" s="43" t="s">
        <v>660</v>
      </c>
    </row>
    <row r="128" spans="1:6" x14ac:dyDescent="0.25">
      <c r="A128" s="50">
        <v>127</v>
      </c>
      <c r="B128" s="52" t="s">
        <v>250</v>
      </c>
      <c r="C128" s="68">
        <v>914100</v>
      </c>
      <c r="D128" s="45" t="s">
        <v>5</v>
      </c>
      <c r="E128" s="17" t="s">
        <v>134</v>
      </c>
      <c r="F128" s="36" t="s">
        <v>665</v>
      </c>
    </row>
    <row r="129" spans="1:6" x14ac:dyDescent="0.25">
      <c r="A129" s="50">
        <v>128</v>
      </c>
      <c r="B129" s="52" t="s">
        <v>251</v>
      </c>
      <c r="C129" s="68">
        <v>924100</v>
      </c>
      <c r="D129" s="45" t="s">
        <v>5</v>
      </c>
      <c r="E129" s="17" t="s">
        <v>134</v>
      </c>
      <c r="F129" s="36" t="s">
        <v>665</v>
      </c>
    </row>
    <row r="130" spans="1:6" x14ac:dyDescent="0.25">
      <c r="A130" s="50">
        <v>129</v>
      </c>
      <c r="B130" s="52" t="s">
        <v>252</v>
      </c>
      <c r="C130" s="68">
        <v>934100</v>
      </c>
      <c r="D130" s="36" t="s">
        <v>5</v>
      </c>
      <c r="E130" s="17" t="s">
        <v>134</v>
      </c>
      <c r="F130" s="36" t="s">
        <v>665</v>
      </c>
    </row>
    <row r="131" spans="1:6" x14ac:dyDescent="0.25">
      <c r="A131" s="50">
        <v>130</v>
      </c>
      <c r="B131" s="36">
        <v>4102</v>
      </c>
      <c r="C131" s="70">
        <v>4102</v>
      </c>
      <c r="D131" s="45" t="s">
        <v>5</v>
      </c>
      <c r="E131" s="77" t="s">
        <v>406</v>
      </c>
      <c r="F131" s="43" t="s">
        <v>660</v>
      </c>
    </row>
    <row r="132" spans="1:6" x14ac:dyDescent="0.25">
      <c r="A132" s="50">
        <v>131</v>
      </c>
      <c r="B132" s="52" t="s">
        <v>253</v>
      </c>
      <c r="C132" s="68">
        <v>914110</v>
      </c>
      <c r="D132" s="45" t="s">
        <v>5</v>
      </c>
      <c r="E132" s="12" t="s">
        <v>9</v>
      </c>
      <c r="F132" s="36" t="s">
        <v>665</v>
      </c>
    </row>
    <row r="133" spans="1:6" x14ac:dyDescent="0.25">
      <c r="A133" s="50">
        <v>132</v>
      </c>
      <c r="B133" s="52" t="s">
        <v>254</v>
      </c>
      <c r="C133" s="68">
        <v>924110</v>
      </c>
      <c r="D133" s="45" t="s">
        <v>5</v>
      </c>
      <c r="E133" s="12" t="s">
        <v>9</v>
      </c>
      <c r="F133" s="36" t="s">
        <v>665</v>
      </c>
    </row>
    <row r="134" spans="1:6" x14ac:dyDescent="0.25">
      <c r="A134" s="50">
        <v>133</v>
      </c>
      <c r="B134" s="52" t="s">
        <v>255</v>
      </c>
      <c r="C134" s="72">
        <v>914112</v>
      </c>
      <c r="D134" s="45" t="s">
        <v>5</v>
      </c>
      <c r="E134" s="30" t="s">
        <v>407</v>
      </c>
      <c r="F134" s="43" t="s">
        <v>660</v>
      </c>
    </row>
    <row r="135" spans="1:6" x14ac:dyDescent="0.25">
      <c r="A135" s="50">
        <v>134</v>
      </c>
      <c r="B135" s="52" t="s">
        <v>256</v>
      </c>
      <c r="C135" s="72">
        <v>924112</v>
      </c>
      <c r="D135" s="45" t="s">
        <v>5</v>
      </c>
      <c r="E135" s="30" t="s">
        <v>407</v>
      </c>
      <c r="F135" s="43" t="s">
        <v>660</v>
      </c>
    </row>
    <row r="136" spans="1:6" x14ac:dyDescent="0.25">
      <c r="A136" s="50">
        <v>135</v>
      </c>
      <c r="B136" s="52" t="s">
        <v>257</v>
      </c>
      <c r="C136" s="68">
        <v>914120</v>
      </c>
      <c r="D136" s="45" t="s">
        <v>5</v>
      </c>
      <c r="E136" s="13" t="s">
        <v>8</v>
      </c>
      <c r="F136" s="36" t="s">
        <v>665</v>
      </c>
    </row>
    <row r="137" spans="1:6" x14ac:dyDescent="0.25">
      <c r="A137" s="50">
        <v>136</v>
      </c>
      <c r="B137" s="52" t="s">
        <v>258</v>
      </c>
      <c r="C137" s="68">
        <v>924120</v>
      </c>
      <c r="D137" s="45" t="s">
        <v>5</v>
      </c>
      <c r="E137" s="13" t="s">
        <v>8</v>
      </c>
      <c r="F137" s="36" t="s">
        <v>665</v>
      </c>
    </row>
    <row r="138" spans="1:6" x14ac:dyDescent="0.25">
      <c r="A138" s="50">
        <v>137</v>
      </c>
      <c r="B138" s="52" t="s">
        <v>259</v>
      </c>
      <c r="C138" s="72">
        <v>914122</v>
      </c>
      <c r="D138" s="45" t="s">
        <v>5</v>
      </c>
      <c r="E138" s="78" t="s">
        <v>409</v>
      </c>
      <c r="F138" s="43" t="s">
        <v>660</v>
      </c>
    </row>
    <row r="139" spans="1:6" x14ac:dyDescent="0.25">
      <c r="A139" s="50">
        <v>138</v>
      </c>
      <c r="B139" s="52" t="s">
        <v>260</v>
      </c>
      <c r="C139" s="72">
        <v>924122</v>
      </c>
      <c r="D139" s="45" t="s">
        <v>5</v>
      </c>
      <c r="E139" s="78" t="s">
        <v>409</v>
      </c>
      <c r="F139" s="43" t="s">
        <v>660</v>
      </c>
    </row>
    <row r="140" spans="1:6" x14ac:dyDescent="0.25">
      <c r="A140" s="50">
        <v>139</v>
      </c>
      <c r="B140" s="36">
        <v>4123</v>
      </c>
      <c r="C140" s="71">
        <v>4123</v>
      </c>
      <c r="D140" s="45" t="s">
        <v>5</v>
      </c>
      <c r="E140" s="32" t="s">
        <v>403</v>
      </c>
      <c r="F140" s="43" t="s">
        <v>450</v>
      </c>
    </row>
    <row r="141" spans="1:6" x14ac:dyDescent="0.25">
      <c r="A141" s="50">
        <v>140</v>
      </c>
      <c r="B141" s="36">
        <v>4130</v>
      </c>
      <c r="C141" s="46">
        <v>4130</v>
      </c>
      <c r="D141" s="45" t="s">
        <v>5</v>
      </c>
      <c r="E141" s="14" t="s">
        <v>10</v>
      </c>
      <c r="F141" s="36" t="s">
        <v>473</v>
      </c>
    </row>
    <row r="142" spans="1:6" x14ac:dyDescent="0.25">
      <c r="A142" s="50">
        <v>141</v>
      </c>
      <c r="B142" s="36">
        <v>4133</v>
      </c>
      <c r="C142" s="71">
        <v>4133</v>
      </c>
      <c r="D142" s="45" t="s">
        <v>5</v>
      </c>
      <c r="E142" s="31" t="s">
        <v>405</v>
      </c>
      <c r="F142" s="43" t="s">
        <v>451</v>
      </c>
    </row>
    <row r="143" spans="1:6" x14ac:dyDescent="0.25">
      <c r="A143" s="50">
        <v>142</v>
      </c>
      <c r="B143" s="36">
        <v>4140</v>
      </c>
      <c r="C143" s="46">
        <v>4140</v>
      </c>
      <c r="D143" s="45" t="s">
        <v>5</v>
      </c>
      <c r="E143" s="15" t="s">
        <v>14</v>
      </c>
      <c r="F143" s="36" t="s">
        <v>474</v>
      </c>
    </row>
    <row r="144" spans="1:6" x14ac:dyDescent="0.25">
      <c r="A144" s="50">
        <v>143</v>
      </c>
      <c r="B144" s="36">
        <v>4150</v>
      </c>
      <c r="C144" s="46">
        <v>4150</v>
      </c>
      <c r="D144" s="45" t="s">
        <v>5</v>
      </c>
      <c r="E144" s="18" t="s">
        <v>15</v>
      </c>
      <c r="F144" s="36" t="s">
        <v>475</v>
      </c>
    </row>
    <row r="145" spans="1:65" x14ac:dyDescent="0.25">
      <c r="A145" s="50">
        <v>144</v>
      </c>
      <c r="B145" s="36">
        <v>4180</v>
      </c>
      <c r="C145" s="46">
        <v>4180</v>
      </c>
      <c r="D145" s="45" t="s">
        <v>5</v>
      </c>
      <c r="E145" s="16" t="s">
        <v>13</v>
      </c>
      <c r="F145" s="36" t="s">
        <v>476</v>
      </c>
    </row>
    <row r="146" spans="1:65" x14ac:dyDescent="0.25">
      <c r="A146" s="50">
        <v>145</v>
      </c>
      <c r="B146" s="36">
        <v>5015</v>
      </c>
      <c r="C146" s="46">
        <v>5010</v>
      </c>
      <c r="D146" s="22" t="s">
        <v>202</v>
      </c>
      <c r="E146" s="25" t="s">
        <v>410</v>
      </c>
      <c r="F146" s="36" t="s">
        <v>438</v>
      </c>
    </row>
    <row r="147" spans="1:65" x14ac:dyDescent="0.25">
      <c r="A147" s="50">
        <v>146</v>
      </c>
      <c r="B147" s="36">
        <v>5012</v>
      </c>
      <c r="C147" s="46">
        <v>5012</v>
      </c>
      <c r="D147" s="22" t="s">
        <v>202</v>
      </c>
      <c r="E147" s="25" t="s">
        <v>412</v>
      </c>
      <c r="F147" s="36" t="s">
        <v>442</v>
      </c>
    </row>
    <row r="148" spans="1:65" x14ac:dyDescent="0.25">
      <c r="A148" s="50">
        <v>147</v>
      </c>
      <c r="B148" s="36">
        <v>5020</v>
      </c>
      <c r="C148" s="36">
        <v>5020</v>
      </c>
      <c r="D148" s="22" t="s">
        <v>202</v>
      </c>
      <c r="E148" s="38" t="s">
        <v>427</v>
      </c>
      <c r="F148" s="36" t="s">
        <v>668</v>
      </c>
    </row>
    <row r="149" spans="1:65" x14ac:dyDescent="0.25">
      <c r="A149" s="50">
        <v>148</v>
      </c>
      <c r="B149" s="36">
        <v>5022</v>
      </c>
      <c r="C149" s="46">
        <v>5022</v>
      </c>
      <c r="D149" s="22" t="s">
        <v>202</v>
      </c>
      <c r="E149" s="38" t="s">
        <v>428</v>
      </c>
      <c r="F149" s="36" t="s">
        <v>669</v>
      </c>
    </row>
    <row r="150" spans="1:65" ht="15" customHeight="1" x14ac:dyDescent="0.25">
      <c r="A150" s="50">
        <v>149</v>
      </c>
      <c r="B150" s="36">
        <v>5030</v>
      </c>
      <c r="C150" s="36">
        <v>5030</v>
      </c>
      <c r="D150" s="22" t="s">
        <v>202</v>
      </c>
      <c r="E150" s="39" t="s">
        <v>461</v>
      </c>
      <c r="F150" s="36" t="s">
        <v>670</v>
      </c>
      <c r="G150" s="36"/>
      <c r="H150" s="36"/>
      <c r="I150" s="36"/>
      <c r="J150" s="36"/>
      <c r="K150" s="36"/>
      <c r="L150" s="36"/>
      <c r="M150" s="36"/>
      <c r="N150" s="36"/>
      <c r="O150" s="36"/>
      <c r="P150" s="36"/>
      <c r="Q150" s="36"/>
      <c r="R150" s="36"/>
      <c r="S150" s="36"/>
      <c r="T150" s="36"/>
      <c r="U150" s="36"/>
      <c r="V150" s="36"/>
      <c r="W150" s="36"/>
      <c r="X150" s="43"/>
      <c r="Y150" s="43"/>
      <c r="Z150" s="45"/>
      <c r="AA150" s="45"/>
      <c r="AB150" s="45"/>
      <c r="AC150" s="36"/>
      <c r="AD150" s="45"/>
      <c r="AE150" s="45"/>
      <c r="AF150" s="35"/>
      <c r="AG150" s="45"/>
      <c r="AH150" s="45"/>
      <c r="AI150" s="45"/>
      <c r="AJ150" s="36"/>
      <c r="AK150" s="45"/>
      <c r="AL150" s="35"/>
      <c r="AM150" s="35"/>
      <c r="AN150" s="35"/>
      <c r="AO150" s="35"/>
      <c r="AP150" s="36"/>
      <c r="AQ150" s="45"/>
      <c r="AR150" s="45"/>
      <c r="AS150" s="45"/>
      <c r="AT150" s="45"/>
      <c r="AU150" s="45"/>
      <c r="AV150" s="45"/>
      <c r="AW150" s="45"/>
      <c r="AX150" s="45"/>
      <c r="AY150" s="45"/>
      <c r="AZ150" s="35"/>
      <c r="BA150" s="53"/>
      <c r="BB150" s="53"/>
      <c r="BC150" s="53"/>
      <c r="BD150" s="53"/>
      <c r="BE150" s="53"/>
      <c r="BF150" s="53"/>
      <c r="BG150" s="45"/>
      <c r="BH150" s="45"/>
      <c r="BI150" s="53"/>
      <c r="BJ150" s="54"/>
      <c r="BK150" s="45"/>
      <c r="BL150" s="53"/>
      <c r="BM150" s="54"/>
    </row>
    <row r="151" spans="1:65" ht="15" customHeight="1" x14ac:dyDescent="0.25">
      <c r="A151" s="50">
        <v>150</v>
      </c>
      <c r="B151" s="36">
        <v>5032</v>
      </c>
      <c r="C151" s="46">
        <v>5032</v>
      </c>
      <c r="D151" s="22" t="s">
        <v>202</v>
      </c>
      <c r="E151" s="39" t="s">
        <v>462</v>
      </c>
      <c r="F151" s="36" t="s">
        <v>669</v>
      </c>
      <c r="G151" s="36"/>
      <c r="H151" s="36"/>
      <c r="I151" s="36"/>
      <c r="J151" s="36"/>
      <c r="K151" s="36"/>
      <c r="L151" s="36"/>
      <c r="M151" s="36"/>
      <c r="N151" s="36"/>
      <c r="O151" s="36"/>
      <c r="P151" s="36"/>
      <c r="Q151" s="36"/>
      <c r="R151" s="36"/>
      <c r="S151" s="36"/>
      <c r="T151" s="36"/>
      <c r="U151" s="36"/>
      <c r="V151" s="36"/>
      <c r="W151" s="36"/>
      <c r="X151" s="43"/>
      <c r="Y151" s="43"/>
      <c r="Z151" s="45"/>
      <c r="AA151" s="45"/>
      <c r="AB151" s="45"/>
      <c r="AC151" s="36"/>
      <c r="AD151" s="45"/>
      <c r="AE151" s="45"/>
      <c r="AF151" s="35"/>
      <c r="AG151" s="45"/>
      <c r="AH151" s="45"/>
      <c r="AI151" s="45"/>
      <c r="AJ151" s="36"/>
      <c r="AK151" s="45"/>
      <c r="AL151" s="35"/>
      <c r="AM151" s="35"/>
      <c r="AN151" s="35"/>
      <c r="AO151" s="35"/>
      <c r="AP151" s="36"/>
      <c r="AQ151" s="45"/>
      <c r="AR151" s="45"/>
      <c r="AS151" s="45"/>
      <c r="AT151" s="45"/>
      <c r="AU151" s="45"/>
      <c r="AV151" s="45"/>
      <c r="AW151" s="45"/>
      <c r="AX151" s="45"/>
      <c r="AY151" s="45"/>
      <c r="AZ151" s="35"/>
      <c r="BA151" s="53"/>
      <c r="BB151" s="53"/>
      <c r="BC151" s="53"/>
      <c r="BD151" s="53"/>
      <c r="BE151" s="53"/>
      <c r="BF151" s="53"/>
      <c r="BG151" s="45"/>
      <c r="BH151" s="45"/>
      <c r="BI151" s="53"/>
      <c r="BJ151" s="54"/>
      <c r="BK151" s="45"/>
      <c r="BL151" s="53"/>
      <c r="BM151" s="54"/>
    </row>
    <row r="152" spans="1:65" ht="15" customHeight="1" x14ac:dyDescent="0.25">
      <c r="A152" s="50">
        <v>151</v>
      </c>
      <c r="B152" s="36">
        <v>5033</v>
      </c>
      <c r="C152" s="46">
        <v>5033</v>
      </c>
      <c r="D152" s="22" t="s">
        <v>202</v>
      </c>
      <c r="E152" s="39" t="s">
        <v>463</v>
      </c>
      <c r="F152" s="36" t="s">
        <v>671</v>
      </c>
      <c r="G152" s="36"/>
      <c r="H152" s="36"/>
      <c r="I152" s="36"/>
      <c r="J152" s="36"/>
      <c r="K152" s="36"/>
      <c r="L152" s="36"/>
      <c r="M152" s="36"/>
      <c r="N152" s="36"/>
      <c r="O152" s="36"/>
      <c r="P152" s="36"/>
      <c r="Q152" s="36"/>
      <c r="R152" s="36"/>
      <c r="S152" s="36"/>
      <c r="T152" s="36"/>
      <c r="U152" s="36"/>
      <c r="V152" s="36"/>
      <c r="W152" s="36"/>
      <c r="X152" s="43"/>
      <c r="Y152" s="43"/>
      <c r="Z152" s="45"/>
      <c r="AA152" s="45"/>
      <c r="AB152" s="45"/>
      <c r="AC152" s="36"/>
      <c r="AD152" s="45"/>
      <c r="AE152" s="45"/>
      <c r="AF152" s="35"/>
      <c r="AG152" s="45"/>
      <c r="AH152" s="45"/>
      <c r="AI152" s="45"/>
      <c r="AJ152" s="36"/>
      <c r="AK152" s="45"/>
      <c r="AL152" s="35"/>
      <c r="AM152" s="35"/>
      <c r="AN152" s="35"/>
      <c r="AO152" s="35"/>
      <c r="AP152" s="36"/>
      <c r="AQ152" s="45"/>
      <c r="AR152" s="45"/>
      <c r="AS152" s="45"/>
      <c r="AT152" s="45"/>
      <c r="AU152" s="45"/>
      <c r="AV152" s="45"/>
      <c r="AW152" s="45"/>
      <c r="AX152" s="45"/>
      <c r="AY152" s="45"/>
      <c r="AZ152" s="35"/>
      <c r="BA152" s="53"/>
      <c r="BB152" s="53"/>
      <c r="BC152" s="53"/>
      <c r="BD152" s="53"/>
      <c r="BE152" s="53"/>
      <c r="BF152" s="53"/>
      <c r="BG152" s="45"/>
      <c r="BH152" s="45"/>
      <c r="BI152" s="53"/>
      <c r="BJ152" s="54"/>
      <c r="BK152" s="45"/>
      <c r="BL152" s="53"/>
      <c r="BM152" s="54"/>
    </row>
    <row r="153" spans="1:65" ht="15" customHeight="1" x14ac:dyDescent="0.25">
      <c r="A153" s="50">
        <v>152</v>
      </c>
      <c r="B153" s="36">
        <v>5035</v>
      </c>
      <c r="C153" s="46">
        <v>5035</v>
      </c>
      <c r="D153" s="22" t="s">
        <v>202</v>
      </c>
      <c r="E153" s="33" t="s">
        <v>470</v>
      </c>
      <c r="F153" s="36" t="s">
        <v>672</v>
      </c>
      <c r="G153" s="36"/>
      <c r="H153" s="36"/>
      <c r="I153" s="36"/>
      <c r="J153" s="36"/>
      <c r="K153" s="36"/>
      <c r="L153" s="36"/>
      <c r="M153" s="36"/>
      <c r="N153" s="36"/>
      <c r="O153" s="36"/>
      <c r="P153" s="36"/>
      <c r="Q153" s="36"/>
      <c r="R153" s="36"/>
      <c r="S153" s="36"/>
      <c r="T153" s="36"/>
      <c r="U153" s="36"/>
      <c r="V153" s="36"/>
      <c r="W153" s="36"/>
      <c r="X153" s="43"/>
      <c r="Y153" s="43"/>
      <c r="Z153" s="45"/>
      <c r="AA153" s="45"/>
      <c r="AB153" s="45"/>
      <c r="AC153" s="36"/>
      <c r="AD153" s="45"/>
      <c r="AE153" s="45"/>
      <c r="AF153" s="35"/>
      <c r="AG153" s="45"/>
      <c r="AH153" s="45"/>
      <c r="AI153" s="45"/>
      <c r="AJ153" s="36"/>
      <c r="AK153" s="45"/>
      <c r="AL153" s="35"/>
      <c r="AM153" s="35"/>
      <c r="AN153" s="35"/>
      <c r="AO153" s="35"/>
      <c r="AP153" s="36"/>
      <c r="AQ153" s="45"/>
      <c r="AR153" s="45"/>
      <c r="AS153" s="45"/>
      <c r="AT153" s="45"/>
      <c r="AU153" s="45"/>
      <c r="AV153" s="45"/>
      <c r="AW153" s="45"/>
      <c r="AX153" s="45"/>
      <c r="AY153" s="45"/>
      <c r="AZ153" s="35"/>
      <c r="BA153" s="53"/>
      <c r="BB153" s="53"/>
      <c r="BC153" s="53"/>
      <c r="BD153" s="53"/>
      <c r="BE153" s="53"/>
      <c r="BF153" s="53"/>
      <c r="BG153" s="45"/>
      <c r="BH153" s="45"/>
      <c r="BI153" s="53"/>
      <c r="BJ153" s="54"/>
      <c r="BK153" s="45"/>
      <c r="BL153" s="53"/>
      <c r="BM153" s="54"/>
    </row>
    <row r="154" spans="1:65" x14ac:dyDescent="0.25">
      <c r="A154" s="50">
        <v>153</v>
      </c>
      <c r="B154" s="36">
        <v>5040</v>
      </c>
      <c r="C154" s="46">
        <v>5040</v>
      </c>
      <c r="D154" s="22" t="s">
        <v>202</v>
      </c>
      <c r="E154" s="6" t="s">
        <v>17</v>
      </c>
      <c r="F154" s="36" t="s">
        <v>677</v>
      </c>
    </row>
    <row r="155" spans="1:65" x14ac:dyDescent="0.25">
      <c r="A155" s="50">
        <v>154</v>
      </c>
      <c r="B155" s="52" t="s">
        <v>261</v>
      </c>
      <c r="C155" s="68">
        <v>915061</v>
      </c>
      <c r="D155" s="22" t="s">
        <v>202</v>
      </c>
      <c r="E155" s="11" t="s">
        <v>16</v>
      </c>
      <c r="F155" s="36" t="s">
        <v>677</v>
      </c>
    </row>
    <row r="156" spans="1:65" x14ac:dyDescent="0.25">
      <c r="A156" s="50">
        <v>155</v>
      </c>
      <c r="B156" s="52" t="s">
        <v>262</v>
      </c>
      <c r="C156" s="68">
        <v>925061</v>
      </c>
      <c r="D156" s="22" t="s">
        <v>202</v>
      </c>
      <c r="E156" s="11" t="s">
        <v>16</v>
      </c>
      <c r="F156" s="36" t="s">
        <v>677</v>
      </c>
    </row>
    <row r="157" spans="1:65" x14ac:dyDescent="0.25">
      <c r="A157" s="50">
        <v>156</v>
      </c>
      <c r="B157" s="52" t="s">
        <v>263</v>
      </c>
      <c r="C157" s="68">
        <v>935061</v>
      </c>
      <c r="D157" s="22" t="s">
        <v>202</v>
      </c>
      <c r="E157" s="11" t="s">
        <v>16</v>
      </c>
      <c r="F157" s="36" t="s">
        <v>677</v>
      </c>
    </row>
    <row r="158" spans="1:65" x14ac:dyDescent="0.25">
      <c r="A158" s="50">
        <v>157</v>
      </c>
      <c r="B158" s="52" t="s">
        <v>264</v>
      </c>
      <c r="C158" s="68">
        <v>915091</v>
      </c>
      <c r="D158" s="22" t="s">
        <v>202</v>
      </c>
      <c r="E158" s="24" t="s">
        <v>353</v>
      </c>
      <c r="F158" s="36" t="s">
        <v>659</v>
      </c>
    </row>
    <row r="159" spans="1:65" x14ac:dyDescent="0.25">
      <c r="A159" s="50">
        <v>158</v>
      </c>
      <c r="B159" s="52" t="s">
        <v>265</v>
      </c>
      <c r="C159" s="68">
        <v>925091</v>
      </c>
      <c r="D159" s="22" t="s">
        <v>202</v>
      </c>
      <c r="E159" s="24" t="s">
        <v>353</v>
      </c>
      <c r="F159" s="36" t="s">
        <v>659</v>
      </c>
    </row>
    <row r="160" spans="1:65" x14ac:dyDescent="0.25">
      <c r="A160" s="50">
        <v>159</v>
      </c>
      <c r="B160" s="52" t="s">
        <v>266</v>
      </c>
      <c r="C160" s="68">
        <v>935091</v>
      </c>
      <c r="D160" s="22" t="s">
        <v>202</v>
      </c>
      <c r="E160" s="24" t="s">
        <v>353</v>
      </c>
      <c r="F160" s="36" t="s">
        <v>659</v>
      </c>
    </row>
    <row r="161" spans="1:6" x14ac:dyDescent="0.25">
      <c r="A161" s="50">
        <v>160</v>
      </c>
      <c r="B161" s="52" t="s">
        <v>267</v>
      </c>
      <c r="C161" s="72">
        <v>915092</v>
      </c>
      <c r="D161" s="22" t="s">
        <v>202</v>
      </c>
      <c r="E161" s="76" t="s">
        <v>354</v>
      </c>
      <c r="F161" s="43" t="s">
        <v>660</v>
      </c>
    </row>
    <row r="162" spans="1:6" x14ac:dyDescent="0.25">
      <c r="A162" s="50">
        <v>161</v>
      </c>
      <c r="B162" s="52" t="s">
        <v>268</v>
      </c>
      <c r="C162" s="72">
        <v>925092</v>
      </c>
      <c r="D162" s="22" t="s">
        <v>202</v>
      </c>
      <c r="E162" s="76" t="s">
        <v>354</v>
      </c>
      <c r="F162" s="43" t="s">
        <v>660</v>
      </c>
    </row>
    <row r="163" spans="1:6" x14ac:dyDescent="0.25">
      <c r="A163" s="50">
        <v>162</v>
      </c>
      <c r="B163" s="52" t="s">
        <v>269</v>
      </c>
      <c r="C163" s="68">
        <v>915100</v>
      </c>
      <c r="D163" s="22" t="s">
        <v>202</v>
      </c>
      <c r="E163" s="17" t="s">
        <v>134</v>
      </c>
      <c r="F163" s="36" t="s">
        <v>664</v>
      </c>
    </row>
    <row r="164" spans="1:6" x14ac:dyDescent="0.25">
      <c r="A164" s="50">
        <v>163</v>
      </c>
      <c r="B164" s="52" t="s">
        <v>270</v>
      </c>
      <c r="C164" s="68">
        <v>925100</v>
      </c>
      <c r="D164" s="22" t="s">
        <v>202</v>
      </c>
      <c r="E164" s="17" t="s">
        <v>134</v>
      </c>
      <c r="F164" s="36" t="s">
        <v>664</v>
      </c>
    </row>
    <row r="165" spans="1:6" x14ac:dyDescent="0.25">
      <c r="A165" s="50">
        <v>164</v>
      </c>
      <c r="B165" s="52" t="s">
        <v>271</v>
      </c>
      <c r="C165" s="68">
        <v>935100</v>
      </c>
      <c r="D165" s="22" t="s">
        <v>202</v>
      </c>
      <c r="E165" s="17" t="s">
        <v>134</v>
      </c>
      <c r="F165" s="36" t="s">
        <v>664</v>
      </c>
    </row>
    <row r="166" spans="1:6" x14ac:dyDescent="0.25">
      <c r="A166" s="50">
        <v>165</v>
      </c>
      <c r="B166" s="52" t="s">
        <v>272</v>
      </c>
      <c r="C166" s="68">
        <v>915110</v>
      </c>
      <c r="D166" s="22" t="s">
        <v>202</v>
      </c>
      <c r="E166" s="12" t="s">
        <v>9</v>
      </c>
      <c r="F166" s="36" t="s">
        <v>664</v>
      </c>
    </row>
    <row r="167" spans="1:6" x14ac:dyDescent="0.25">
      <c r="A167" s="50">
        <v>166</v>
      </c>
      <c r="B167" s="52" t="s">
        <v>273</v>
      </c>
      <c r="C167" s="68">
        <v>925110</v>
      </c>
      <c r="D167" s="22" t="s">
        <v>202</v>
      </c>
      <c r="E167" s="12" t="s">
        <v>9</v>
      </c>
      <c r="F167" s="36" t="s">
        <v>664</v>
      </c>
    </row>
    <row r="168" spans="1:6" x14ac:dyDescent="0.25">
      <c r="A168" s="50">
        <v>167</v>
      </c>
      <c r="B168" s="36">
        <v>5112</v>
      </c>
      <c r="C168" s="70">
        <v>5112</v>
      </c>
      <c r="D168" s="22" t="s">
        <v>202</v>
      </c>
      <c r="E168" s="30" t="s">
        <v>407</v>
      </c>
      <c r="F168" s="43" t="s">
        <v>660</v>
      </c>
    </row>
    <row r="169" spans="1:6" x14ac:dyDescent="0.25">
      <c r="A169" s="50">
        <v>168</v>
      </c>
      <c r="B169" s="36">
        <v>5120</v>
      </c>
      <c r="C169" s="46">
        <v>5120</v>
      </c>
      <c r="D169" s="22" t="s">
        <v>202</v>
      </c>
      <c r="E169" s="13" t="s">
        <v>8</v>
      </c>
      <c r="F169" s="36" t="s">
        <v>664</v>
      </c>
    </row>
    <row r="170" spans="1:6" x14ac:dyDescent="0.25">
      <c r="A170" s="50">
        <v>169</v>
      </c>
      <c r="B170" s="36">
        <v>5122</v>
      </c>
      <c r="C170" s="70">
        <v>5122</v>
      </c>
      <c r="D170" s="22" t="s">
        <v>202</v>
      </c>
      <c r="E170" s="78" t="s">
        <v>409</v>
      </c>
      <c r="F170" s="43" t="s">
        <v>660</v>
      </c>
    </row>
    <row r="171" spans="1:6" x14ac:dyDescent="0.25">
      <c r="A171" s="50">
        <v>170</v>
      </c>
      <c r="B171" s="36">
        <v>5130</v>
      </c>
      <c r="C171" s="46">
        <v>5130</v>
      </c>
      <c r="D171" s="22" t="s">
        <v>202</v>
      </c>
      <c r="E171" s="14" t="s">
        <v>10</v>
      </c>
      <c r="F171" s="36" t="s">
        <v>453</v>
      </c>
    </row>
    <row r="172" spans="1:6" x14ac:dyDescent="0.25">
      <c r="A172" s="50">
        <v>171</v>
      </c>
      <c r="B172" s="36">
        <v>5140</v>
      </c>
      <c r="C172" s="46">
        <v>5140</v>
      </c>
      <c r="D172" s="22" t="s">
        <v>202</v>
      </c>
      <c r="E172" s="15" t="s">
        <v>14</v>
      </c>
      <c r="F172" s="36" t="s">
        <v>457</v>
      </c>
    </row>
    <row r="173" spans="1:6" x14ac:dyDescent="0.25">
      <c r="A173" s="50">
        <v>172</v>
      </c>
      <c r="B173" s="36">
        <v>5150</v>
      </c>
      <c r="C173" s="46">
        <v>5150</v>
      </c>
      <c r="D173" s="22" t="s">
        <v>202</v>
      </c>
      <c r="E173" s="18" t="s">
        <v>15</v>
      </c>
      <c r="F173" s="36" t="s">
        <v>458</v>
      </c>
    </row>
    <row r="174" spans="1:6" x14ac:dyDescent="0.25">
      <c r="A174" s="50">
        <v>173</v>
      </c>
      <c r="B174" s="52" t="s">
        <v>274</v>
      </c>
      <c r="C174" s="68">
        <v>916061</v>
      </c>
      <c r="D174" s="36" t="s">
        <v>204</v>
      </c>
      <c r="E174" s="11" t="s">
        <v>16</v>
      </c>
      <c r="F174" s="36" t="s">
        <v>549</v>
      </c>
    </row>
    <row r="175" spans="1:6" x14ac:dyDescent="0.25">
      <c r="A175" s="50">
        <v>174</v>
      </c>
      <c r="B175" s="52" t="s">
        <v>275</v>
      </c>
      <c r="C175" s="68">
        <v>926061</v>
      </c>
      <c r="D175" s="36" t="s">
        <v>204</v>
      </c>
      <c r="E175" s="11" t="s">
        <v>16</v>
      </c>
      <c r="F175" s="36" t="s">
        <v>549</v>
      </c>
    </row>
    <row r="176" spans="1:6" x14ac:dyDescent="0.25">
      <c r="A176" s="50">
        <v>175</v>
      </c>
      <c r="B176" s="52" t="s">
        <v>276</v>
      </c>
      <c r="C176" s="68">
        <v>936061</v>
      </c>
      <c r="D176" s="36" t="s">
        <v>204</v>
      </c>
      <c r="E176" s="11" t="s">
        <v>16</v>
      </c>
      <c r="F176" s="36" t="s">
        <v>549</v>
      </c>
    </row>
    <row r="177" spans="1:6" x14ac:dyDescent="0.25">
      <c r="A177" s="50">
        <v>176</v>
      </c>
      <c r="B177" s="52" t="s">
        <v>277</v>
      </c>
      <c r="C177" s="68">
        <v>916091</v>
      </c>
      <c r="D177" s="36" t="s">
        <v>204</v>
      </c>
      <c r="E177" s="24" t="s">
        <v>353</v>
      </c>
      <c r="F177" s="36" t="s">
        <v>502</v>
      </c>
    </row>
    <row r="178" spans="1:6" x14ac:dyDescent="0.25">
      <c r="A178" s="50">
        <v>177</v>
      </c>
      <c r="B178" s="52" t="s">
        <v>278</v>
      </c>
      <c r="C178" s="68">
        <v>926091</v>
      </c>
      <c r="D178" s="36" t="s">
        <v>204</v>
      </c>
      <c r="E178" s="24" t="s">
        <v>353</v>
      </c>
      <c r="F178" s="36" t="s">
        <v>502</v>
      </c>
    </row>
    <row r="179" spans="1:6" x14ac:dyDescent="0.25">
      <c r="A179" s="50">
        <v>178</v>
      </c>
      <c r="B179" s="52" t="s">
        <v>279</v>
      </c>
      <c r="C179" s="68">
        <v>936091</v>
      </c>
      <c r="D179" s="36" t="s">
        <v>204</v>
      </c>
      <c r="E179" s="24" t="s">
        <v>353</v>
      </c>
      <c r="F179" s="36" t="s">
        <v>502</v>
      </c>
    </row>
    <row r="180" spans="1:6" x14ac:dyDescent="0.25">
      <c r="A180" s="50">
        <v>179</v>
      </c>
      <c r="B180" s="52" t="s">
        <v>280</v>
      </c>
      <c r="C180" s="72">
        <v>916092</v>
      </c>
      <c r="D180" s="36" t="s">
        <v>204</v>
      </c>
      <c r="E180" s="76" t="s">
        <v>354</v>
      </c>
      <c r="F180" s="43" t="s">
        <v>660</v>
      </c>
    </row>
    <row r="181" spans="1:6" x14ac:dyDescent="0.25">
      <c r="A181" s="50">
        <v>180</v>
      </c>
      <c r="B181" s="52" t="s">
        <v>281</v>
      </c>
      <c r="C181" s="72">
        <v>926092</v>
      </c>
      <c r="D181" s="36" t="s">
        <v>204</v>
      </c>
      <c r="E181" s="76" t="s">
        <v>354</v>
      </c>
      <c r="F181" s="43" t="s">
        <v>660</v>
      </c>
    </row>
    <row r="182" spans="1:6" x14ac:dyDescent="0.25">
      <c r="A182" s="50">
        <v>181</v>
      </c>
      <c r="B182" s="52" t="s">
        <v>282</v>
      </c>
      <c r="C182" s="72">
        <v>936092</v>
      </c>
      <c r="D182" s="36" t="s">
        <v>204</v>
      </c>
      <c r="E182" s="76" t="s">
        <v>354</v>
      </c>
      <c r="F182" s="43" t="s">
        <v>660</v>
      </c>
    </row>
    <row r="183" spans="1:6" x14ac:dyDescent="0.25">
      <c r="A183" s="50">
        <v>182</v>
      </c>
      <c r="B183" s="52" t="s">
        <v>283</v>
      </c>
      <c r="C183" s="52">
        <v>916100</v>
      </c>
      <c r="D183" s="36" t="s">
        <v>204</v>
      </c>
      <c r="E183" s="17" t="s">
        <v>134</v>
      </c>
      <c r="F183" s="36" t="s">
        <v>548</v>
      </c>
    </row>
    <row r="184" spans="1:6" x14ac:dyDescent="0.25">
      <c r="A184" s="50">
        <v>183</v>
      </c>
      <c r="B184" s="52" t="s">
        <v>284</v>
      </c>
      <c r="C184" s="52">
        <v>926100</v>
      </c>
      <c r="D184" s="36" t="s">
        <v>204</v>
      </c>
      <c r="E184" s="17" t="s">
        <v>134</v>
      </c>
      <c r="F184" s="36" t="s">
        <v>548</v>
      </c>
    </row>
    <row r="185" spans="1:6" x14ac:dyDescent="0.25">
      <c r="A185" s="50">
        <v>184</v>
      </c>
      <c r="B185" s="52" t="s">
        <v>285</v>
      </c>
      <c r="C185" s="52">
        <v>936100</v>
      </c>
      <c r="D185" s="36" t="s">
        <v>204</v>
      </c>
      <c r="E185" s="17" t="s">
        <v>134</v>
      </c>
      <c r="F185" s="36" t="s">
        <v>548</v>
      </c>
    </row>
    <row r="186" spans="1:6" x14ac:dyDescent="0.25">
      <c r="A186" s="50">
        <v>185</v>
      </c>
      <c r="B186" s="52" t="s">
        <v>286</v>
      </c>
      <c r="C186" s="72">
        <v>916102</v>
      </c>
      <c r="D186" s="36" t="s">
        <v>204</v>
      </c>
      <c r="E186" s="77" t="s">
        <v>406</v>
      </c>
      <c r="F186" s="43" t="s">
        <v>660</v>
      </c>
    </row>
    <row r="187" spans="1:6" x14ac:dyDescent="0.25">
      <c r="A187" s="50">
        <v>186</v>
      </c>
      <c r="B187" s="52" t="s">
        <v>287</v>
      </c>
      <c r="C187" s="72">
        <v>926102</v>
      </c>
      <c r="D187" s="36" t="s">
        <v>204</v>
      </c>
      <c r="E187" s="77" t="s">
        <v>406</v>
      </c>
      <c r="F187" s="43" t="s">
        <v>660</v>
      </c>
    </row>
    <row r="188" spans="1:6" x14ac:dyDescent="0.25">
      <c r="A188" s="50">
        <v>187</v>
      </c>
      <c r="B188" s="52" t="s">
        <v>288</v>
      </c>
      <c r="C188" s="68">
        <v>916110</v>
      </c>
      <c r="D188" s="36" t="s">
        <v>204</v>
      </c>
      <c r="E188" s="12" t="s">
        <v>9</v>
      </c>
      <c r="F188" s="36" t="s">
        <v>548</v>
      </c>
    </row>
    <row r="189" spans="1:6" x14ac:dyDescent="0.25">
      <c r="A189" s="50">
        <v>188</v>
      </c>
      <c r="B189" s="52" t="s">
        <v>289</v>
      </c>
      <c r="C189" s="68">
        <v>926110</v>
      </c>
      <c r="D189" s="36" t="s">
        <v>204</v>
      </c>
      <c r="E189" s="12" t="s">
        <v>9</v>
      </c>
      <c r="F189" s="36" t="s">
        <v>548</v>
      </c>
    </row>
    <row r="190" spans="1:6" x14ac:dyDescent="0.25">
      <c r="A190" s="50">
        <v>189</v>
      </c>
      <c r="B190" s="52" t="s">
        <v>290</v>
      </c>
      <c r="C190" s="72">
        <v>916112</v>
      </c>
      <c r="D190" s="36" t="s">
        <v>204</v>
      </c>
      <c r="E190" s="30" t="s">
        <v>407</v>
      </c>
      <c r="F190" s="43" t="s">
        <v>660</v>
      </c>
    </row>
    <row r="191" spans="1:6" x14ac:dyDescent="0.25">
      <c r="A191" s="50">
        <v>190</v>
      </c>
      <c r="B191" s="52" t="s">
        <v>291</v>
      </c>
      <c r="C191" s="72">
        <v>926112</v>
      </c>
      <c r="D191" s="36" t="s">
        <v>204</v>
      </c>
      <c r="E191" s="30" t="s">
        <v>407</v>
      </c>
      <c r="F191" s="43" t="s">
        <v>660</v>
      </c>
    </row>
    <row r="192" spans="1:6" x14ac:dyDescent="0.25">
      <c r="A192" s="50">
        <v>191</v>
      </c>
      <c r="B192" s="52" t="s">
        <v>292</v>
      </c>
      <c r="C192" s="68">
        <v>916120</v>
      </c>
      <c r="D192" s="36" t="s">
        <v>204</v>
      </c>
      <c r="E192" s="13" t="s">
        <v>8</v>
      </c>
      <c r="F192" s="36" t="s">
        <v>548</v>
      </c>
    </row>
    <row r="193" spans="1:6" x14ac:dyDescent="0.25">
      <c r="A193" s="50">
        <v>192</v>
      </c>
      <c r="B193" s="52" t="s">
        <v>293</v>
      </c>
      <c r="C193" s="68">
        <v>926120</v>
      </c>
      <c r="D193" s="36" t="s">
        <v>204</v>
      </c>
      <c r="E193" s="13" t="s">
        <v>8</v>
      </c>
      <c r="F193" s="36" t="s">
        <v>548</v>
      </c>
    </row>
    <row r="194" spans="1:6" x14ac:dyDescent="0.25">
      <c r="A194" s="50">
        <v>193</v>
      </c>
      <c r="B194" s="52" t="s">
        <v>294</v>
      </c>
      <c r="C194" s="72">
        <v>916122</v>
      </c>
      <c r="D194" s="36" t="s">
        <v>204</v>
      </c>
      <c r="E194" s="78" t="s">
        <v>409</v>
      </c>
      <c r="F194" s="43" t="s">
        <v>660</v>
      </c>
    </row>
    <row r="195" spans="1:6" x14ac:dyDescent="0.25">
      <c r="A195" s="50">
        <v>194</v>
      </c>
      <c r="B195" s="52" t="s">
        <v>295</v>
      </c>
      <c r="C195" s="72">
        <v>926122</v>
      </c>
      <c r="D195" s="36" t="s">
        <v>204</v>
      </c>
      <c r="E195" s="78" t="s">
        <v>409</v>
      </c>
      <c r="F195" s="43" t="s">
        <v>660</v>
      </c>
    </row>
    <row r="196" spans="1:6" x14ac:dyDescent="0.25">
      <c r="A196" s="50">
        <v>195</v>
      </c>
      <c r="B196" s="36">
        <v>6130</v>
      </c>
      <c r="C196" s="46">
        <v>6130</v>
      </c>
      <c r="D196" s="36" t="s">
        <v>204</v>
      </c>
      <c r="E196" s="14" t="s">
        <v>10</v>
      </c>
      <c r="F196" s="36" t="s">
        <v>550</v>
      </c>
    </row>
    <row r="197" spans="1:6" x14ac:dyDescent="0.25">
      <c r="A197" s="50">
        <v>196</v>
      </c>
      <c r="B197" s="36">
        <v>6140</v>
      </c>
      <c r="C197" s="46">
        <v>6140</v>
      </c>
      <c r="D197" s="36" t="s">
        <v>204</v>
      </c>
      <c r="E197" s="15" t="s">
        <v>14</v>
      </c>
      <c r="F197" s="36" t="s">
        <v>552</v>
      </c>
    </row>
    <row r="198" spans="1:6" x14ac:dyDescent="0.25">
      <c r="A198" s="50">
        <v>197</v>
      </c>
      <c r="B198" s="36">
        <v>6150</v>
      </c>
      <c r="C198" s="46">
        <v>6150</v>
      </c>
      <c r="D198" s="36" t="s">
        <v>204</v>
      </c>
      <c r="E198" s="18" t="s">
        <v>15</v>
      </c>
      <c r="F198" s="36" t="s">
        <v>553</v>
      </c>
    </row>
    <row r="199" spans="1:6" x14ac:dyDescent="0.25">
      <c r="A199" s="50">
        <v>198</v>
      </c>
      <c r="B199" s="36">
        <v>6180</v>
      </c>
      <c r="C199" s="46">
        <v>6180</v>
      </c>
      <c r="D199" s="36" t="s">
        <v>204</v>
      </c>
      <c r="E199" s="16" t="s">
        <v>13</v>
      </c>
      <c r="F199" s="36" t="s">
        <v>551</v>
      </c>
    </row>
    <row r="200" spans="1:6" x14ac:dyDescent="0.25">
      <c r="A200" s="50">
        <v>199</v>
      </c>
      <c r="B200" s="36">
        <v>7010</v>
      </c>
      <c r="C200" s="46">
        <v>7010</v>
      </c>
      <c r="D200" s="22" t="s">
        <v>4</v>
      </c>
      <c r="E200" s="9" t="s">
        <v>410</v>
      </c>
      <c r="F200" s="36" t="s">
        <v>438</v>
      </c>
    </row>
    <row r="201" spans="1:6" x14ac:dyDescent="0.25">
      <c r="A201" s="50">
        <v>200</v>
      </c>
      <c r="B201" s="36">
        <v>7011</v>
      </c>
      <c r="C201" s="46">
        <v>7011</v>
      </c>
      <c r="D201" s="22" t="s">
        <v>4</v>
      </c>
      <c r="E201" s="9" t="s">
        <v>411</v>
      </c>
      <c r="F201" s="36" t="s">
        <v>441</v>
      </c>
    </row>
    <row r="202" spans="1:6" x14ac:dyDescent="0.25">
      <c r="A202" s="50">
        <v>201</v>
      </c>
      <c r="B202" s="36">
        <v>7012</v>
      </c>
      <c r="C202" s="46">
        <v>7012</v>
      </c>
      <c r="D202" s="22" t="s">
        <v>4</v>
      </c>
      <c r="E202" s="9" t="s">
        <v>412</v>
      </c>
      <c r="F202" s="36" t="s">
        <v>442</v>
      </c>
    </row>
    <row r="203" spans="1:6" x14ac:dyDescent="0.25">
      <c r="A203" s="50">
        <v>202</v>
      </c>
      <c r="B203" s="36">
        <v>7013</v>
      </c>
      <c r="C203" s="46">
        <v>7013</v>
      </c>
      <c r="D203" s="22" t="s">
        <v>4</v>
      </c>
      <c r="E203" s="9" t="s">
        <v>413</v>
      </c>
      <c r="F203" s="36" t="s">
        <v>443</v>
      </c>
    </row>
    <row r="204" spans="1:6" x14ac:dyDescent="0.25">
      <c r="A204" s="50">
        <v>203</v>
      </c>
      <c r="B204" s="36">
        <v>7014</v>
      </c>
      <c r="C204" s="46">
        <v>7014</v>
      </c>
      <c r="D204" s="22" t="s">
        <v>4</v>
      </c>
      <c r="E204" s="9" t="s">
        <v>422</v>
      </c>
      <c r="F204" s="36" t="s">
        <v>442</v>
      </c>
    </row>
    <row r="205" spans="1:6" x14ac:dyDescent="0.25">
      <c r="A205" s="50">
        <v>204</v>
      </c>
      <c r="B205" s="36">
        <v>7015</v>
      </c>
      <c r="C205" s="46">
        <v>7015</v>
      </c>
      <c r="D205" s="22" t="s">
        <v>4</v>
      </c>
      <c r="E205" s="9" t="s">
        <v>424</v>
      </c>
      <c r="F205" s="36" t="s">
        <v>449</v>
      </c>
    </row>
    <row r="206" spans="1:6" x14ac:dyDescent="0.25">
      <c r="A206" s="50">
        <v>205</v>
      </c>
      <c r="B206" s="36">
        <v>7017</v>
      </c>
      <c r="C206" s="46">
        <v>7017</v>
      </c>
      <c r="D206" s="22" t="s">
        <v>4</v>
      </c>
      <c r="E206" s="9" t="s">
        <v>416</v>
      </c>
      <c r="F206" s="36" t="s">
        <v>445</v>
      </c>
    </row>
    <row r="207" spans="1:6" x14ac:dyDescent="0.25">
      <c r="A207" s="50">
        <v>206</v>
      </c>
      <c r="B207" s="36">
        <v>7019</v>
      </c>
      <c r="C207" s="46">
        <v>7019</v>
      </c>
      <c r="D207" s="22" t="s">
        <v>4</v>
      </c>
      <c r="E207" s="9" t="s">
        <v>419</v>
      </c>
      <c r="F207" s="36" t="s">
        <v>447</v>
      </c>
    </row>
    <row r="208" spans="1:6" x14ac:dyDescent="0.25">
      <c r="A208" s="50">
        <v>207</v>
      </c>
      <c r="B208" s="36">
        <v>7020</v>
      </c>
      <c r="C208" s="46">
        <v>7020</v>
      </c>
      <c r="D208" s="22" t="s">
        <v>4</v>
      </c>
      <c r="E208" s="38" t="s">
        <v>427</v>
      </c>
      <c r="F208" s="36" t="s">
        <v>531</v>
      </c>
    </row>
    <row r="209" spans="1:66" x14ac:dyDescent="0.25">
      <c r="A209" s="50">
        <v>208</v>
      </c>
      <c r="B209" s="36">
        <v>7021</v>
      </c>
      <c r="C209" s="46">
        <v>7021</v>
      </c>
      <c r="D209" s="22" t="s">
        <v>4</v>
      </c>
      <c r="E209" s="38" t="s">
        <v>426</v>
      </c>
      <c r="F209" s="36" t="s">
        <v>532</v>
      </c>
    </row>
    <row r="210" spans="1:66" x14ac:dyDescent="0.25">
      <c r="A210" s="50">
        <v>209</v>
      </c>
      <c r="B210" s="36">
        <v>7022</v>
      </c>
      <c r="C210" s="46">
        <v>7022</v>
      </c>
      <c r="D210" s="22" t="s">
        <v>4</v>
      </c>
      <c r="E210" s="38" t="s">
        <v>428</v>
      </c>
      <c r="F210" s="36" t="s">
        <v>533</v>
      </c>
    </row>
    <row r="211" spans="1:66" x14ac:dyDescent="0.25">
      <c r="A211" s="50">
        <v>210</v>
      </c>
      <c r="B211" s="36">
        <v>7023</v>
      </c>
      <c r="C211" s="46">
        <v>7023</v>
      </c>
      <c r="D211" s="22" t="s">
        <v>4</v>
      </c>
      <c r="E211" s="38" t="s">
        <v>429</v>
      </c>
      <c r="F211" s="36" t="s">
        <v>534</v>
      </c>
    </row>
    <row r="212" spans="1:66" x14ac:dyDescent="0.25">
      <c r="A212" s="50">
        <v>211</v>
      </c>
      <c r="B212" s="36">
        <v>7024</v>
      </c>
      <c r="C212" s="46">
        <v>7024</v>
      </c>
      <c r="D212" s="22" t="s">
        <v>4</v>
      </c>
      <c r="E212" s="38" t="s">
        <v>436</v>
      </c>
      <c r="F212" s="36" t="s">
        <v>533</v>
      </c>
    </row>
    <row r="213" spans="1:66" x14ac:dyDescent="0.25">
      <c r="A213" s="50">
        <v>212</v>
      </c>
      <c r="B213" s="36">
        <v>7025</v>
      </c>
      <c r="C213" s="46">
        <v>7025</v>
      </c>
      <c r="D213" s="22" t="s">
        <v>4</v>
      </c>
      <c r="E213" s="38" t="s">
        <v>437</v>
      </c>
      <c r="F213" s="36" t="s">
        <v>537</v>
      </c>
    </row>
    <row r="214" spans="1:66" x14ac:dyDescent="0.25">
      <c r="A214" s="50">
        <v>213</v>
      </c>
      <c r="B214" s="36">
        <v>7026</v>
      </c>
      <c r="C214" s="46">
        <v>7026</v>
      </c>
      <c r="D214" s="22" t="s">
        <v>4</v>
      </c>
      <c r="E214" s="38" t="s">
        <v>430</v>
      </c>
      <c r="F214" s="36" t="s">
        <v>535</v>
      </c>
    </row>
    <row r="215" spans="1:66" x14ac:dyDescent="0.25">
      <c r="A215" s="50">
        <v>214</v>
      </c>
      <c r="B215" s="36">
        <v>7027</v>
      </c>
      <c r="C215" s="46">
        <v>7027</v>
      </c>
      <c r="D215" s="22" t="s">
        <v>4</v>
      </c>
      <c r="E215" s="38" t="s">
        <v>431</v>
      </c>
      <c r="F215" s="36" t="s">
        <v>538</v>
      </c>
    </row>
    <row r="216" spans="1:66" x14ac:dyDescent="0.25">
      <c r="A216" s="50">
        <v>215</v>
      </c>
      <c r="B216" s="36">
        <v>7028</v>
      </c>
      <c r="C216" s="46">
        <v>7028</v>
      </c>
      <c r="D216" s="22" t="s">
        <v>4</v>
      </c>
      <c r="E216" s="38" t="s">
        <v>432</v>
      </c>
      <c r="F216" s="36" t="s">
        <v>539</v>
      </c>
    </row>
    <row r="217" spans="1:66" x14ac:dyDescent="0.25">
      <c r="A217" s="50">
        <v>216</v>
      </c>
      <c r="B217" s="36">
        <v>7029</v>
      </c>
      <c r="C217" s="36">
        <v>7029</v>
      </c>
      <c r="D217" s="22" t="s">
        <v>4</v>
      </c>
      <c r="E217" s="38" t="s">
        <v>433</v>
      </c>
      <c r="F217" s="36" t="s">
        <v>536</v>
      </c>
    </row>
    <row r="218" spans="1:66" ht="15" customHeight="1" x14ac:dyDescent="0.25">
      <c r="A218" s="50">
        <v>217</v>
      </c>
      <c r="B218" s="52">
        <v>7030</v>
      </c>
      <c r="C218" s="52">
        <v>7030</v>
      </c>
      <c r="D218" s="22" t="s">
        <v>4</v>
      </c>
      <c r="E218" s="39" t="s">
        <v>461</v>
      </c>
      <c r="F218" s="36" t="s">
        <v>531</v>
      </c>
      <c r="G218" s="36"/>
      <c r="H218" s="36"/>
      <c r="I218" s="36"/>
      <c r="J218" s="36"/>
      <c r="K218" s="36"/>
      <c r="L218" s="36"/>
      <c r="M218" s="36"/>
      <c r="N218" s="36"/>
      <c r="O218" s="36"/>
      <c r="P218" s="36"/>
      <c r="Q218" s="36"/>
      <c r="R218" s="36"/>
      <c r="S218" s="36"/>
      <c r="T218" s="36"/>
      <c r="U218" s="36"/>
      <c r="V218" s="36"/>
      <c r="W218" s="36"/>
      <c r="X218" s="43"/>
      <c r="Y218" s="36"/>
      <c r="Z218" s="45"/>
      <c r="AA218" s="45"/>
      <c r="AB218" s="45"/>
      <c r="AC218" s="36"/>
      <c r="AD218" s="43"/>
      <c r="AE218" s="36"/>
      <c r="AF218" s="43"/>
      <c r="AG218" s="45"/>
      <c r="AH218" s="45"/>
      <c r="AI218" s="45"/>
      <c r="AJ218" s="36"/>
      <c r="AK218" s="43"/>
      <c r="AL218" s="35"/>
      <c r="AM218" s="35"/>
      <c r="AN218" s="35"/>
      <c r="AO218" s="35"/>
      <c r="AP218" s="36"/>
      <c r="AQ218" s="36"/>
      <c r="AR218" s="36"/>
      <c r="AS218" s="45"/>
      <c r="AT218" s="45"/>
      <c r="AU218" s="45"/>
      <c r="AV218" s="36"/>
      <c r="AW218" s="45"/>
      <c r="AX218" s="45"/>
      <c r="AY218" s="36"/>
      <c r="AZ218" s="43"/>
      <c r="BA218" s="53"/>
      <c r="BB218" s="53"/>
      <c r="BC218" s="53"/>
      <c r="BD218" s="53"/>
      <c r="BE218" s="53"/>
      <c r="BF218" s="53"/>
      <c r="BG218" s="45"/>
      <c r="BH218" s="45"/>
      <c r="BI218" s="55"/>
      <c r="BJ218" s="54"/>
      <c r="BK218" s="45"/>
      <c r="BL218" s="55"/>
      <c r="BM218" s="54"/>
      <c r="BN218" s="45"/>
    </row>
    <row r="219" spans="1:66" ht="15" customHeight="1" x14ac:dyDescent="0.25">
      <c r="A219" s="50">
        <v>218</v>
      </c>
      <c r="B219" s="52" t="s">
        <v>522</v>
      </c>
      <c r="C219" s="52">
        <v>917031</v>
      </c>
      <c r="D219" s="22" t="s">
        <v>4</v>
      </c>
      <c r="E219" s="39" t="s">
        <v>460</v>
      </c>
      <c r="F219" s="36" t="s">
        <v>532</v>
      </c>
      <c r="G219" s="36"/>
      <c r="H219" s="36"/>
      <c r="I219" s="36"/>
      <c r="J219" s="36"/>
      <c r="K219" s="36"/>
      <c r="L219" s="36"/>
      <c r="M219" s="36"/>
      <c r="N219" s="36"/>
      <c r="O219" s="36"/>
      <c r="P219" s="36"/>
      <c r="Q219" s="36"/>
      <c r="R219" s="36"/>
      <c r="S219" s="36"/>
      <c r="T219" s="36"/>
      <c r="U219" s="36"/>
      <c r="V219" s="36"/>
      <c r="W219" s="36"/>
      <c r="X219" s="43"/>
      <c r="Y219" s="36"/>
      <c r="Z219" s="45"/>
      <c r="AA219" s="45"/>
      <c r="AB219" s="45"/>
      <c r="AC219" s="36"/>
      <c r="AD219" s="43"/>
      <c r="AE219" s="36"/>
      <c r="AF219" s="43"/>
      <c r="AG219" s="45"/>
      <c r="AH219" s="45"/>
      <c r="AI219" s="45"/>
      <c r="AJ219" s="36"/>
      <c r="AK219" s="43"/>
      <c r="AL219" s="35"/>
      <c r="AM219" s="35"/>
      <c r="AN219" s="35"/>
      <c r="AO219" s="35"/>
      <c r="AP219" s="36"/>
      <c r="AQ219" s="36"/>
      <c r="AR219" s="36"/>
      <c r="AS219" s="45"/>
      <c r="AT219" s="45"/>
      <c r="AU219" s="45"/>
      <c r="AV219" s="36"/>
      <c r="AW219" s="45"/>
      <c r="AX219" s="45"/>
      <c r="AY219" s="36"/>
      <c r="AZ219" s="43"/>
      <c r="BA219" s="53"/>
      <c r="BB219" s="53"/>
      <c r="BC219" s="53"/>
      <c r="BD219" s="53"/>
      <c r="BE219" s="53"/>
      <c r="BF219" s="53"/>
      <c r="BG219" s="45"/>
      <c r="BH219" s="45"/>
      <c r="BI219" s="55"/>
      <c r="BJ219" s="54"/>
      <c r="BK219" s="45"/>
      <c r="BL219" s="55"/>
      <c r="BM219" s="54"/>
      <c r="BN219" s="45"/>
    </row>
    <row r="220" spans="1:66" ht="15" customHeight="1" x14ac:dyDescent="0.25">
      <c r="A220" s="50">
        <v>219</v>
      </c>
      <c r="B220" s="52" t="s">
        <v>523</v>
      </c>
      <c r="C220" s="52">
        <v>927031</v>
      </c>
      <c r="D220" s="22" t="s">
        <v>4</v>
      </c>
      <c r="E220" s="39" t="s">
        <v>460</v>
      </c>
      <c r="F220" s="36" t="s">
        <v>532</v>
      </c>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43"/>
      <c r="AE220" s="36"/>
      <c r="AF220" s="43"/>
      <c r="AG220" s="45"/>
      <c r="AH220" s="45"/>
      <c r="AI220" s="45"/>
      <c r="AJ220" s="36"/>
      <c r="AK220" s="43"/>
      <c r="AL220" s="35"/>
      <c r="AM220" s="35"/>
      <c r="AN220" s="35"/>
      <c r="AO220" s="35"/>
      <c r="AP220" s="36"/>
      <c r="AQ220" s="36"/>
      <c r="AR220" s="36"/>
      <c r="AS220" s="45"/>
      <c r="AT220" s="45"/>
      <c r="AU220" s="45"/>
      <c r="AV220" s="36"/>
      <c r="AW220" s="45"/>
      <c r="AX220" s="45"/>
      <c r="AY220" s="36"/>
      <c r="AZ220" s="43"/>
      <c r="BA220" s="53"/>
      <c r="BB220" s="53"/>
      <c r="BC220" s="53"/>
      <c r="BD220" s="53"/>
      <c r="BE220" s="53"/>
      <c r="BF220" s="53"/>
      <c r="BG220" s="45"/>
      <c r="BH220" s="45"/>
      <c r="BI220" s="55"/>
      <c r="BJ220" s="54"/>
      <c r="BK220" s="45"/>
      <c r="BL220" s="55"/>
      <c r="BM220" s="54"/>
      <c r="BN220" s="45"/>
    </row>
    <row r="221" spans="1:66" ht="15" customHeight="1" x14ac:dyDescent="0.25">
      <c r="A221" s="50">
        <v>220</v>
      </c>
      <c r="B221" s="52" t="s">
        <v>524</v>
      </c>
      <c r="C221" s="68">
        <v>917032</v>
      </c>
      <c r="D221" s="22" t="s">
        <v>4</v>
      </c>
      <c r="E221" s="39" t="s">
        <v>462</v>
      </c>
      <c r="F221" s="36" t="s">
        <v>533</v>
      </c>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43"/>
      <c r="AE221" s="36"/>
      <c r="AF221" s="43"/>
      <c r="AG221" s="45"/>
      <c r="AH221" s="45"/>
      <c r="AI221" s="45"/>
      <c r="AJ221" s="36"/>
      <c r="AK221" s="43"/>
      <c r="AL221" s="35"/>
      <c r="AM221" s="35"/>
      <c r="AN221" s="35"/>
      <c r="AO221" s="35"/>
      <c r="AP221" s="36"/>
      <c r="AQ221" s="36"/>
      <c r="AR221" s="36"/>
      <c r="AS221" s="45"/>
      <c r="AT221" s="45"/>
      <c r="AU221" s="45"/>
      <c r="AV221" s="36"/>
      <c r="AW221" s="45"/>
      <c r="AX221" s="45"/>
      <c r="AY221" s="36"/>
      <c r="AZ221" s="43"/>
      <c r="BA221" s="53"/>
      <c r="BB221" s="53"/>
      <c r="BC221" s="53"/>
      <c r="BD221" s="53"/>
      <c r="BE221" s="53"/>
      <c r="BF221" s="53"/>
      <c r="BG221" s="45"/>
      <c r="BH221" s="45"/>
      <c r="BI221" s="55"/>
      <c r="BJ221" s="54"/>
      <c r="BK221" s="45"/>
      <c r="BL221" s="55"/>
      <c r="BM221" s="54"/>
      <c r="BN221" s="45"/>
    </row>
    <row r="222" spans="1:66" ht="15" customHeight="1" x14ac:dyDescent="0.25">
      <c r="A222" s="50">
        <v>221</v>
      </c>
      <c r="B222" s="52" t="s">
        <v>525</v>
      </c>
      <c r="C222" s="68">
        <v>927032</v>
      </c>
      <c r="D222" s="22" t="s">
        <v>4</v>
      </c>
      <c r="E222" s="39" t="s">
        <v>462</v>
      </c>
      <c r="F222" s="36" t="s">
        <v>533</v>
      </c>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43"/>
      <c r="AE222" s="36"/>
      <c r="AF222" s="43"/>
      <c r="AG222" s="45"/>
      <c r="AH222" s="45"/>
      <c r="AI222" s="45"/>
      <c r="AJ222" s="36"/>
      <c r="AK222" s="43"/>
      <c r="AL222" s="35"/>
      <c r="AM222" s="35"/>
      <c r="AN222" s="35"/>
      <c r="AO222" s="35"/>
      <c r="AP222" s="36"/>
      <c r="AQ222" s="36"/>
      <c r="AR222" s="36"/>
      <c r="AS222" s="45"/>
      <c r="AT222" s="45"/>
      <c r="AU222" s="45"/>
      <c r="AV222" s="36"/>
      <c r="AW222" s="45"/>
      <c r="AX222" s="45"/>
      <c r="AY222" s="36"/>
      <c r="AZ222" s="43"/>
      <c r="BA222" s="53"/>
      <c r="BB222" s="53"/>
      <c r="BC222" s="53"/>
      <c r="BD222" s="53"/>
      <c r="BE222" s="53"/>
      <c r="BF222" s="53"/>
      <c r="BG222" s="45"/>
      <c r="BH222" s="45"/>
      <c r="BI222" s="55"/>
      <c r="BJ222" s="54"/>
      <c r="BK222" s="45"/>
      <c r="BL222" s="55"/>
      <c r="BM222" s="54"/>
      <c r="BN222" s="45"/>
    </row>
    <row r="223" spans="1:66" ht="15" customHeight="1" x14ac:dyDescent="0.25">
      <c r="A223" s="50">
        <v>222</v>
      </c>
      <c r="B223" s="52" t="s">
        <v>526</v>
      </c>
      <c r="C223" s="68">
        <v>917033</v>
      </c>
      <c r="D223" s="22" t="s">
        <v>4</v>
      </c>
      <c r="E223" s="39" t="s">
        <v>463</v>
      </c>
      <c r="F223" s="36" t="s">
        <v>534</v>
      </c>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43"/>
      <c r="AE223" s="36"/>
      <c r="AF223" s="43"/>
      <c r="AG223" s="45"/>
      <c r="AH223" s="45"/>
      <c r="AI223" s="45"/>
      <c r="AJ223" s="36"/>
      <c r="AK223" s="43"/>
      <c r="AL223" s="35"/>
      <c r="AM223" s="35"/>
      <c r="AN223" s="35"/>
      <c r="AO223" s="35"/>
      <c r="AP223" s="36"/>
      <c r="AQ223" s="36"/>
      <c r="AR223" s="36"/>
      <c r="AS223" s="45"/>
      <c r="AT223" s="45"/>
      <c r="AU223" s="45"/>
      <c r="AV223" s="36"/>
      <c r="AW223" s="45"/>
      <c r="AX223" s="45"/>
      <c r="AY223" s="36"/>
      <c r="AZ223" s="43"/>
      <c r="BA223" s="53"/>
      <c r="BB223" s="53"/>
      <c r="BC223" s="53"/>
      <c r="BD223" s="53"/>
      <c r="BE223" s="53"/>
      <c r="BF223" s="53"/>
      <c r="BG223" s="45"/>
      <c r="BH223" s="45"/>
      <c r="BI223" s="55"/>
      <c r="BJ223" s="54"/>
      <c r="BK223" s="45"/>
      <c r="BL223" s="55"/>
      <c r="BM223" s="54"/>
      <c r="BN223" s="45"/>
    </row>
    <row r="224" spans="1:66" ht="15" customHeight="1" x14ac:dyDescent="0.25">
      <c r="A224" s="50">
        <v>223</v>
      </c>
      <c r="B224" s="52" t="s">
        <v>527</v>
      </c>
      <c r="C224" s="68">
        <v>927033</v>
      </c>
      <c r="D224" s="22" t="s">
        <v>4</v>
      </c>
      <c r="E224" s="39" t="s">
        <v>463</v>
      </c>
      <c r="F224" s="36" t="s">
        <v>534</v>
      </c>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43"/>
      <c r="AE224" s="36"/>
      <c r="AF224" s="43"/>
      <c r="AG224" s="45"/>
      <c r="AH224" s="45"/>
      <c r="AI224" s="45"/>
      <c r="AJ224" s="36"/>
      <c r="AK224" s="43"/>
      <c r="AL224" s="35"/>
      <c r="AM224" s="35"/>
      <c r="AN224" s="35"/>
      <c r="AO224" s="35"/>
      <c r="AP224" s="36"/>
      <c r="AQ224" s="36"/>
      <c r="AR224" s="36"/>
      <c r="AS224" s="45"/>
      <c r="AT224" s="45"/>
      <c r="AU224" s="45"/>
      <c r="AV224" s="36"/>
      <c r="AW224" s="45"/>
      <c r="AX224" s="45"/>
      <c r="AY224" s="36"/>
      <c r="AZ224" s="43"/>
      <c r="BA224" s="53"/>
      <c r="BB224" s="53"/>
      <c r="BC224" s="53"/>
      <c r="BD224" s="53"/>
      <c r="BE224" s="53"/>
      <c r="BF224" s="53"/>
      <c r="BG224" s="45"/>
      <c r="BH224" s="45"/>
      <c r="BI224" s="55"/>
      <c r="BJ224" s="54"/>
      <c r="BK224" s="45"/>
      <c r="BL224" s="55"/>
      <c r="BM224" s="54"/>
      <c r="BN224" s="45"/>
    </row>
    <row r="225" spans="1:66" ht="15" customHeight="1" x14ac:dyDescent="0.25">
      <c r="A225" s="50">
        <v>224</v>
      </c>
      <c r="B225" s="52">
        <v>7034</v>
      </c>
      <c r="C225" s="68">
        <v>7034</v>
      </c>
      <c r="D225" s="22" t="s">
        <v>4</v>
      </c>
      <c r="E225" s="33" t="s">
        <v>471</v>
      </c>
      <c r="F225" s="36" t="s">
        <v>533</v>
      </c>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43"/>
      <c r="AE225" s="36"/>
      <c r="AF225" s="43"/>
      <c r="AG225" s="45"/>
      <c r="AH225" s="45"/>
      <c r="AI225" s="45"/>
      <c r="AJ225" s="36"/>
      <c r="AK225" s="43"/>
      <c r="AL225" s="35"/>
      <c r="AM225" s="35"/>
      <c r="AN225" s="35"/>
      <c r="AO225" s="35"/>
      <c r="AP225" s="36"/>
      <c r="AQ225" s="36"/>
      <c r="AR225" s="36"/>
      <c r="AS225" s="45"/>
      <c r="AT225" s="45"/>
      <c r="AU225" s="45"/>
      <c r="AV225" s="36"/>
      <c r="AW225" s="45"/>
      <c r="AX225" s="45"/>
      <c r="AY225" s="36"/>
      <c r="AZ225" s="43"/>
      <c r="BA225" s="53"/>
      <c r="BB225" s="53"/>
      <c r="BC225" s="53"/>
      <c r="BD225" s="53"/>
      <c r="BE225" s="53"/>
      <c r="BF225" s="53"/>
      <c r="BG225" s="45"/>
      <c r="BH225" s="45"/>
      <c r="BI225" s="55"/>
      <c r="BJ225" s="54"/>
      <c r="BK225" s="45"/>
      <c r="BL225" s="55"/>
      <c r="BM225" s="54"/>
      <c r="BN225" s="45"/>
    </row>
    <row r="226" spans="1:66" ht="15" customHeight="1" x14ac:dyDescent="0.25">
      <c r="A226" s="50">
        <v>225</v>
      </c>
      <c r="B226" s="52">
        <v>7035</v>
      </c>
      <c r="C226" s="68">
        <v>7035</v>
      </c>
      <c r="D226" s="22" t="s">
        <v>4</v>
      </c>
      <c r="E226" s="33" t="s">
        <v>470</v>
      </c>
      <c r="F226" s="36" t="s">
        <v>537</v>
      </c>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43"/>
      <c r="AE226" s="36"/>
      <c r="AF226" s="43"/>
      <c r="AG226" s="45"/>
      <c r="AH226" s="45"/>
      <c r="AI226" s="45"/>
      <c r="AJ226" s="36"/>
      <c r="AK226" s="43"/>
      <c r="AL226" s="35"/>
      <c r="AM226" s="35"/>
      <c r="AN226" s="35"/>
      <c r="AO226" s="35"/>
      <c r="AP226" s="36"/>
      <c r="AQ226" s="36"/>
      <c r="AR226" s="36"/>
      <c r="AS226" s="45"/>
      <c r="AT226" s="45"/>
      <c r="AU226" s="45"/>
      <c r="AV226" s="36"/>
      <c r="AW226" s="45"/>
      <c r="AX226" s="45"/>
      <c r="AY226" s="36"/>
      <c r="AZ226" s="43"/>
      <c r="BA226" s="53"/>
      <c r="BB226" s="53"/>
      <c r="BC226" s="53"/>
      <c r="BD226" s="53"/>
      <c r="BE226" s="53"/>
      <c r="BF226" s="53"/>
      <c r="BG226" s="45"/>
      <c r="BH226" s="45"/>
      <c r="BI226" s="55"/>
      <c r="BJ226" s="54"/>
      <c r="BK226" s="45"/>
      <c r="BL226" s="55"/>
      <c r="BM226" s="54"/>
      <c r="BN226" s="45"/>
    </row>
    <row r="227" spans="1:66" ht="15" customHeight="1" x14ac:dyDescent="0.25">
      <c r="A227" s="50">
        <v>226</v>
      </c>
      <c r="B227" s="52">
        <v>7036</v>
      </c>
      <c r="C227" s="68">
        <v>7036</v>
      </c>
      <c r="D227" s="22" t="s">
        <v>4</v>
      </c>
      <c r="E227" s="39" t="s">
        <v>465</v>
      </c>
      <c r="F227" s="36" t="s">
        <v>535</v>
      </c>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43"/>
      <c r="AE227" s="36"/>
      <c r="AF227" s="43"/>
      <c r="AG227" s="45"/>
      <c r="AH227" s="45"/>
      <c r="AI227" s="45"/>
      <c r="AJ227" s="36"/>
      <c r="AK227" s="43"/>
      <c r="AL227" s="35"/>
      <c r="AM227" s="35"/>
      <c r="AN227" s="35"/>
      <c r="AO227" s="35"/>
      <c r="AP227" s="36"/>
      <c r="AQ227" s="36"/>
      <c r="AR227" s="36"/>
      <c r="AS227" s="45"/>
      <c r="AT227" s="45"/>
      <c r="AU227" s="45"/>
      <c r="AV227" s="36"/>
      <c r="AW227" s="45"/>
      <c r="AX227" s="45"/>
      <c r="AY227" s="36"/>
      <c r="AZ227" s="43"/>
      <c r="BA227" s="53"/>
      <c r="BB227" s="53"/>
      <c r="BC227" s="53"/>
      <c r="BD227" s="53"/>
      <c r="BE227" s="53"/>
      <c r="BF227" s="53"/>
      <c r="BG227" s="45"/>
      <c r="BH227" s="45"/>
      <c r="BI227" s="55"/>
      <c r="BJ227" s="54"/>
      <c r="BK227" s="45"/>
      <c r="BL227" s="55"/>
      <c r="BM227" s="54"/>
      <c r="BN227" s="45"/>
    </row>
    <row r="228" spans="1:66" ht="15" customHeight="1" x14ac:dyDescent="0.25">
      <c r="A228" s="50">
        <v>227</v>
      </c>
      <c r="B228" s="52">
        <v>7037</v>
      </c>
      <c r="C228" s="68">
        <v>7037</v>
      </c>
      <c r="D228" s="22" t="s">
        <v>4</v>
      </c>
      <c r="E228" s="39" t="s">
        <v>466</v>
      </c>
      <c r="F228" s="36" t="s">
        <v>538</v>
      </c>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43"/>
      <c r="AE228" s="36"/>
      <c r="AF228" s="43"/>
      <c r="AG228" s="45"/>
      <c r="AH228" s="45"/>
      <c r="AI228" s="45"/>
      <c r="AJ228" s="36"/>
      <c r="AK228" s="43"/>
      <c r="AL228" s="35"/>
      <c r="AM228" s="35"/>
      <c r="AN228" s="35"/>
      <c r="AO228" s="35"/>
      <c r="AP228" s="36"/>
      <c r="AQ228" s="36"/>
      <c r="AR228" s="36"/>
      <c r="AS228" s="45"/>
      <c r="AT228" s="45"/>
      <c r="AU228" s="45"/>
      <c r="AV228" s="36"/>
      <c r="AW228" s="45"/>
      <c r="AX228" s="45"/>
      <c r="AY228" s="36"/>
      <c r="AZ228" s="43"/>
      <c r="BA228" s="53"/>
      <c r="BB228" s="53"/>
      <c r="BC228" s="53"/>
      <c r="BD228" s="53"/>
      <c r="BE228" s="53"/>
      <c r="BF228" s="53"/>
      <c r="BG228" s="45"/>
      <c r="BH228" s="45"/>
      <c r="BI228" s="55"/>
      <c r="BJ228" s="54"/>
      <c r="BK228" s="45"/>
      <c r="BL228" s="55"/>
      <c r="BM228" s="54"/>
      <c r="BN228" s="45"/>
    </row>
    <row r="229" spans="1:66" ht="15" customHeight="1" x14ac:dyDescent="0.25">
      <c r="A229" s="50">
        <v>228</v>
      </c>
      <c r="B229" s="52">
        <v>7038</v>
      </c>
      <c r="C229" s="68">
        <v>7038</v>
      </c>
      <c r="D229" s="22" t="s">
        <v>4</v>
      </c>
      <c r="E229" s="33" t="s">
        <v>469</v>
      </c>
      <c r="F229" s="36" t="s">
        <v>539</v>
      </c>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43"/>
      <c r="AE229" s="36"/>
      <c r="AF229" s="43"/>
      <c r="AG229" s="45"/>
      <c r="AH229" s="45"/>
      <c r="AI229" s="45"/>
      <c r="AJ229" s="36"/>
      <c r="AK229" s="43"/>
      <c r="AL229" s="35"/>
      <c r="AM229" s="35"/>
      <c r="AN229" s="35"/>
      <c r="AO229" s="35"/>
      <c r="AP229" s="36"/>
      <c r="AQ229" s="36"/>
      <c r="AR229" s="36"/>
      <c r="AS229" s="45"/>
      <c r="AT229" s="45"/>
      <c r="AU229" s="45"/>
      <c r="AV229" s="36"/>
      <c r="AW229" s="45"/>
      <c r="AX229" s="45"/>
      <c r="AY229" s="36"/>
      <c r="AZ229" s="43"/>
      <c r="BA229" s="53"/>
      <c r="BB229" s="53"/>
      <c r="BC229" s="53"/>
      <c r="BD229" s="53"/>
      <c r="BE229" s="53"/>
      <c r="BF229" s="53"/>
      <c r="BG229" s="45"/>
      <c r="BH229" s="45"/>
      <c r="BI229" s="55"/>
      <c r="BJ229" s="54"/>
      <c r="BK229" s="45"/>
      <c r="BL229" s="55"/>
      <c r="BM229" s="54"/>
      <c r="BN229" s="45"/>
    </row>
    <row r="230" spans="1:66" ht="15" customHeight="1" x14ac:dyDescent="0.25">
      <c r="A230" s="50">
        <v>229</v>
      </c>
      <c r="B230" s="52">
        <v>7039</v>
      </c>
      <c r="C230" s="68">
        <v>7039</v>
      </c>
      <c r="D230" s="22" t="s">
        <v>4</v>
      </c>
      <c r="E230" s="39" t="s">
        <v>467</v>
      </c>
      <c r="F230" s="36" t="s">
        <v>536</v>
      </c>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43"/>
      <c r="AE230" s="36"/>
      <c r="AF230" s="43"/>
      <c r="AG230" s="45"/>
      <c r="AH230" s="45"/>
      <c r="AI230" s="45"/>
      <c r="AJ230" s="36"/>
      <c r="AK230" s="43"/>
      <c r="AL230" s="35"/>
      <c r="AM230" s="35"/>
      <c r="AN230" s="35"/>
      <c r="AO230" s="35"/>
      <c r="AP230" s="36"/>
      <c r="AQ230" s="36"/>
      <c r="AR230" s="36"/>
      <c r="AS230" s="45"/>
      <c r="AT230" s="45"/>
      <c r="AU230" s="45"/>
      <c r="AV230" s="36"/>
      <c r="AW230" s="45"/>
      <c r="AX230" s="45"/>
      <c r="AY230" s="36"/>
      <c r="AZ230" s="43"/>
      <c r="BA230" s="53"/>
      <c r="BB230" s="53"/>
      <c r="BC230" s="53"/>
      <c r="BD230" s="53"/>
      <c r="BE230" s="53"/>
      <c r="BF230" s="53"/>
      <c r="BG230" s="45"/>
      <c r="BH230" s="45"/>
      <c r="BI230" s="55"/>
      <c r="BJ230" s="54"/>
      <c r="BK230" s="45"/>
      <c r="BL230" s="55"/>
      <c r="BM230" s="54"/>
      <c r="BN230" s="45"/>
    </row>
    <row r="231" spans="1:66" x14ac:dyDescent="0.25">
      <c r="A231" s="50">
        <v>230</v>
      </c>
      <c r="B231" s="52" t="s">
        <v>296</v>
      </c>
      <c r="C231" s="68">
        <v>917040</v>
      </c>
      <c r="D231" s="22" t="s">
        <v>4</v>
      </c>
      <c r="E231" s="6" t="s">
        <v>17</v>
      </c>
      <c r="F231" s="36" t="s">
        <v>656</v>
      </c>
    </row>
    <row r="232" spans="1:66" x14ac:dyDescent="0.25">
      <c r="A232" s="50">
        <v>231</v>
      </c>
      <c r="B232" s="52" t="s">
        <v>297</v>
      </c>
      <c r="C232" s="68">
        <v>927040</v>
      </c>
      <c r="D232" s="22" t="s">
        <v>4</v>
      </c>
      <c r="E232" s="6" t="s">
        <v>17</v>
      </c>
      <c r="F232" s="36" t="s">
        <v>656</v>
      </c>
    </row>
    <row r="233" spans="1:66" x14ac:dyDescent="0.25">
      <c r="A233" s="50">
        <v>232</v>
      </c>
      <c r="B233" s="52" t="s">
        <v>298</v>
      </c>
      <c r="C233" s="68">
        <v>937040</v>
      </c>
      <c r="D233" s="22" t="s">
        <v>4</v>
      </c>
      <c r="E233" s="6" t="s">
        <v>17</v>
      </c>
      <c r="F233" s="36" t="s">
        <v>656</v>
      </c>
    </row>
    <row r="234" spans="1:66" x14ac:dyDescent="0.25">
      <c r="A234" s="50">
        <v>233</v>
      </c>
      <c r="B234" s="52" t="s">
        <v>299</v>
      </c>
      <c r="C234" s="69">
        <v>917043</v>
      </c>
      <c r="D234" s="22" t="s">
        <v>4</v>
      </c>
      <c r="E234" s="75" t="s">
        <v>404</v>
      </c>
      <c r="F234" s="43" t="s">
        <v>450</v>
      </c>
    </row>
    <row r="235" spans="1:66" x14ac:dyDescent="0.25">
      <c r="A235" s="50">
        <v>234</v>
      </c>
      <c r="B235" s="52" t="s">
        <v>300</v>
      </c>
      <c r="C235" s="69">
        <v>927043</v>
      </c>
      <c r="D235" s="22" t="s">
        <v>4</v>
      </c>
      <c r="E235" s="75" t="s">
        <v>404</v>
      </c>
      <c r="F235" s="43" t="s">
        <v>450</v>
      </c>
    </row>
    <row r="236" spans="1:66" x14ac:dyDescent="0.25">
      <c r="A236" s="50">
        <v>235</v>
      </c>
      <c r="B236" s="52" t="s">
        <v>301</v>
      </c>
      <c r="C236" s="68">
        <v>917061</v>
      </c>
      <c r="D236" s="22" t="s">
        <v>4</v>
      </c>
      <c r="E236" s="11" t="s">
        <v>16</v>
      </c>
      <c r="F236" s="36" t="s">
        <v>530</v>
      </c>
    </row>
    <row r="237" spans="1:66" x14ac:dyDescent="0.25">
      <c r="A237" s="50">
        <v>236</v>
      </c>
      <c r="B237" s="52" t="s">
        <v>302</v>
      </c>
      <c r="C237" s="68">
        <v>927061</v>
      </c>
      <c r="D237" s="22" t="s">
        <v>4</v>
      </c>
      <c r="E237" s="11" t="s">
        <v>16</v>
      </c>
      <c r="F237" s="36" t="s">
        <v>530</v>
      </c>
    </row>
    <row r="238" spans="1:66" x14ac:dyDescent="0.25">
      <c r="A238" s="50">
        <v>237</v>
      </c>
      <c r="B238" s="52" t="s">
        <v>303</v>
      </c>
      <c r="C238" s="68">
        <v>937061</v>
      </c>
      <c r="D238" s="22" t="s">
        <v>4</v>
      </c>
      <c r="E238" s="11" t="s">
        <v>16</v>
      </c>
      <c r="F238" s="36" t="s">
        <v>530</v>
      </c>
    </row>
    <row r="239" spans="1:66" x14ac:dyDescent="0.25">
      <c r="A239" s="50">
        <v>238</v>
      </c>
      <c r="B239" s="36">
        <v>7091</v>
      </c>
      <c r="C239" s="46">
        <v>7091</v>
      </c>
      <c r="D239" s="22" t="s">
        <v>4</v>
      </c>
      <c r="E239" s="24" t="s">
        <v>353</v>
      </c>
      <c r="F239" s="36" t="s">
        <v>491</v>
      </c>
    </row>
    <row r="240" spans="1:66" x14ac:dyDescent="0.25">
      <c r="A240" s="50">
        <v>239</v>
      </c>
      <c r="B240" s="36">
        <v>7100</v>
      </c>
      <c r="C240" s="46">
        <v>7100</v>
      </c>
      <c r="D240" s="22" t="s">
        <v>4</v>
      </c>
      <c r="E240" s="17" t="s">
        <v>134</v>
      </c>
      <c r="F240" s="36" t="s">
        <v>540</v>
      </c>
    </row>
    <row r="241" spans="1:6" x14ac:dyDescent="0.25">
      <c r="A241" s="50">
        <v>240</v>
      </c>
      <c r="B241" s="36">
        <v>7110</v>
      </c>
      <c r="C241" s="46">
        <v>7110</v>
      </c>
      <c r="D241" s="22" t="s">
        <v>4</v>
      </c>
      <c r="E241" s="12" t="s">
        <v>9</v>
      </c>
      <c r="F241" s="36" t="s">
        <v>530</v>
      </c>
    </row>
    <row r="242" spans="1:6" x14ac:dyDescent="0.25">
      <c r="A242" s="50">
        <v>241</v>
      </c>
      <c r="B242" s="36">
        <v>7113</v>
      </c>
      <c r="C242" s="71">
        <v>7113</v>
      </c>
      <c r="D242" s="22" t="s">
        <v>4</v>
      </c>
      <c r="E242" s="34" t="s">
        <v>408</v>
      </c>
      <c r="F242" s="43" t="s">
        <v>450</v>
      </c>
    </row>
    <row r="243" spans="1:6" x14ac:dyDescent="0.25">
      <c r="A243" s="50">
        <v>242</v>
      </c>
      <c r="B243" s="36">
        <v>7120</v>
      </c>
      <c r="C243" s="46">
        <v>7120</v>
      </c>
      <c r="D243" s="22" t="s">
        <v>4</v>
      </c>
      <c r="E243" s="13" t="s">
        <v>8</v>
      </c>
      <c r="F243" s="36" t="s">
        <v>530</v>
      </c>
    </row>
    <row r="244" spans="1:6" x14ac:dyDescent="0.25">
      <c r="A244" s="50">
        <v>243</v>
      </c>
      <c r="B244" s="36">
        <v>7123</v>
      </c>
      <c r="C244" s="71">
        <v>7123</v>
      </c>
      <c r="D244" s="22" t="s">
        <v>4</v>
      </c>
      <c r="E244" s="32" t="s">
        <v>403</v>
      </c>
      <c r="F244" s="43" t="s">
        <v>450</v>
      </c>
    </row>
    <row r="245" spans="1:6" x14ac:dyDescent="0.25">
      <c r="A245" s="50">
        <v>244</v>
      </c>
      <c r="B245" s="36">
        <v>7130</v>
      </c>
      <c r="C245" s="46">
        <v>7130</v>
      </c>
      <c r="D245" s="22" t="s">
        <v>4</v>
      </c>
      <c r="E245" s="14" t="s">
        <v>10</v>
      </c>
      <c r="F245" s="36" t="s">
        <v>543</v>
      </c>
    </row>
    <row r="246" spans="1:6" x14ac:dyDescent="0.25">
      <c r="A246" s="50">
        <v>245</v>
      </c>
      <c r="B246" s="36">
        <v>7133</v>
      </c>
      <c r="C246" s="71">
        <v>7133</v>
      </c>
      <c r="D246" s="22" t="s">
        <v>4</v>
      </c>
      <c r="E246" s="31" t="s">
        <v>405</v>
      </c>
      <c r="F246" s="43" t="s">
        <v>451</v>
      </c>
    </row>
    <row r="247" spans="1:6" x14ac:dyDescent="0.25">
      <c r="A247" s="50">
        <v>246</v>
      </c>
      <c r="B247" s="36">
        <v>7140</v>
      </c>
      <c r="C247" s="46">
        <v>7140</v>
      </c>
      <c r="D247" s="22" t="s">
        <v>4</v>
      </c>
      <c r="E247" s="15" t="s">
        <v>14</v>
      </c>
      <c r="F247" s="50" t="s">
        <v>542</v>
      </c>
    </row>
    <row r="248" spans="1:6" x14ac:dyDescent="0.25">
      <c r="A248" s="50">
        <v>247</v>
      </c>
      <c r="B248" s="36">
        <v>7150</v>
      </c>
      <c r="C248" s="46">
        <v>7150</v>
      </c>
      <c r="D248" s="22" t="s">
        <v>4</v>
      </c>
      <c r="E248" s="18" t="s">
        <v>15</v>
      </c>
      <c r="F248" s="43" t="s">
        <v>485</v>
      </c>
    </row>
    <row r="249" spans="1:6" x14ac:dyDescent="0.25">
      <c r="A249" s="50">
        <v>248</v>
      </c>
      <c r="B249" s="52" t="s">
        <v>304</v>
      </c>
      <c r="C249" s="68">
        <v>917160</v>
      </c>
      <c r="D249" s="22" t="s">
        <v>4</v>
      </c>
      <c r="E249" s="74" t="s">
        <v>11</v>
      </c>
      <c r="F249" s="36" t="s">
        <v>544</v>
      </c>
    </row>
    <row r="250" spans="1:6" x14ac:dyDescent="0.25">
      <c r="A250" s="50">
        <v>249</v>
      </c>
      <c r="B250" s="52" t="s">
        <v>305</v>
      </c>
      <c r="C250" s="68">
        <v>927160</v>
      </c>
      <c r="D250" s="22" t="s">
        <v>4</v>
      </c>
      <c r="E250" s="74" t="s">
        <v>11</v>
      </c>
      <c r="F250" s="36" t="s">
        <v>544</v>
      </c>
    </row>
    <row r="251" spans="1:6" x14ac:dyDescent="0.25">
      <c r="A251" s="50">
        <v>250</v>
      </c>
      <c r="B251" s="36">
        <v>7180</v>
      </c>
      <c r="C251" s="46">
        <v>7180</v>
      </c>
      <c r="D251" s="22" t="s">
        <v>4</v>
      </c>
      <c r="E251" s="16" t="s">
        <v>13</v>
      </c>
      <c r="F251" s="36" t="s">
        <v>486</v>
      </c>
    </row>
    <row r="252" spans="1:6" x14ac:dyDescent="0.25">
      <c r="A252" s="50">
        <v>251</v>
      </c>
      <c r="B252" s="36">
        <v>8010</v>
      </c>
      <c r="C252" s="46">
        <v>8010</v>
      </c>
      <c r="D252" s="36" t="s">
        <v>3</v>
      </c>
      <c r="E252" s="25" t="s">
        <v>410</v>
      </c>
      <c r="F252" s="36" t="s">
        <v>438</v>
      </c>
    </row>
    <row r="253" spans="1:6" x14ac:dyDescent="0.25">
      <c r="A253" s="50">
        <v>252</v>
      </c>
      <c r="B253" s="36">
        <v>8012</v>
      </c>
      <c r="C253" s="46">
        <v>8012</v>
      </c>
      <c r="D253" s="36" t="s">
        <v>3</v>
      </c>
      <c r="E253" s="25" t="s">
        <v>412</v>
      </c>
      <c r="F253" s="36" t="s">
        <v>442</v>
      </c>
    </row>
    <row r="254" spans="1:6" x14ac:dyDescent="0.25">
      <c r="A254" s="50">
        <v>253</v>
      </c>
      <c r="B254" s="36">
        <v>8013</v>
      </c>
      <c r="C254" s="46">
        <v>8013</v>
      </c>
      <c r="D254" s="36" t="s">
        <v>3</v>
      </c>
      <c r="E254" s="25" t="s">
        <v>413</v>
      </c>
      <c r="F254" s="36" t="s">
        <v>443</v>
      </c>
    </row>
    <row r="255" spans="1:6" x14ac:dyDescent="0.25">
      <c r="A255" s="50">
        <v>254</v>
      </c>
      <c r="B255" s="36">
        <v>8015</v>
      </c>
      <c r="C255" s="46">
        <v>8015</v>
      </c>
      <c r="D255" s="36" t="s">
        <v>3</v>
      </c>
      <c r="E255" s="9" t="s">
        <v>424</v>
      </c>
      <c r="F255" s="36" t="s">
        <v>449</v>
      </c>
    </row>
    <row r="256" spans="1:6" x14ac:dyDescent="0.25">
      <c r="A256" s="50">
        <v>255</v>
      </c>
      <c r="B256" s="36">
        <v>8019</v>
      </c>
      <c r="C256" s="46">
        <v>8019</v>
      </c>
      <c r="D256" s="36" t="s">
        <v>3</v>
      </c>
      <c r="E256" s="9" t="s">
        <v>448</v>
      </c>
      <c r="F256" s="36" t="s">
        <v>442</v>
      </c>
    </row>
    <row r="257" spans="1:66" x14ac:dyDescent="0.25">
      <c r="A257" s="50">
        <v>256</v>
      </c>
      <c r="B257" s="36">
        <v>8020</v>
      </c>
      <c r="C257" s="46">
        <v>8020</v>
      </c>
      <c r="D257" s="36" t="s">
        <v>3</v>
      </c>
      <c r="E257" s="38" t="s">
        <v>427</v>
      </c>
      <c r="F257" s="36" t="s">
        <v>454</v>
      </c>
    </row>
    <row r="258" spans="1:66" x14ac:dyDescent="0.25">
      <c r="A258" s="50">
        <v>257</v>
      </c>
      <c r="B258" s="36">
        <v>8022</v>
      </c>
      <c r="C258" s="46">
        <v>8022</v>
      </c>
      <c r="D258" s="36" t="s">
        <v>3</v>
      </c>
      <c r="E258" s="38" t="s">
        <v>428</v>
      </c>
      <c r="F258" s="36" t="s">
        <v>455</v>
      </c>
    </row>
    <row r="259" spans="1:66" x14ac:dyDescent="0.25">
      <c r="A259" s="50">
        <v>258</v>
      </c>
      <c r="B259" s="36">
        <v>8023</v>
      </c>
      <c r="C259" s="36">
        <v>8023</v>
      </c>
      <c r="D259" s="36" t="s">
        <v>3</v>
      </c>
      <c r="E259" s="38" t="s">
        <v>429</v>
      </c>
      <c r="F259" s="36" t="s">
        <v>456</v>
      </c>
    </row>
    <row r="260" spans="1:66" x14ac:dyDescent="0.25">
      <c r="A260" s="50">
        <v>259</v>
      </c>
      <c r="B260" s="36">
        <v>8029</v>
      </c>
      <c r="C260" s="36">
        <v>8029</v>
      </c>
      <c r="D260" s="36" t="s">
        <v>3</v>
      </c>
      <c r="E260" s="38" t="s">
        <v>434</v>
      </c>
      <c r="F260" s="36" t="s">
        <v>455</v>
      </c>
    </row>
    <row r="261" spans="1:66" ht="15" customHeight="1" x14ac:dyDescent="0.25">
      <c r="A261" s="50">
        <v>260</v>
      </c>
      <c r="B261" s="36">
        <v>8030</v>
      </c>
      <c r="C261" s="36">
        <v>8030</v>
      </c>
      <c r="D261" s="36" t="s">
        <v>3</v>
      </c>
      <c r="E261" s="39" t="s">
        <v>461</v>
      </c>
      <c r="F261" s="36" t="s">
        <v>454</v>
      </c>
      <c r="G261" s="36"/>
      <c r="H261" s="36"/>
      <c r="I261" s="36"/>
      <c r="J261" s="36"/>
      <c r="K261" s="36"/>
      <c r="L261" s="36"/>
      <c r="M261" s="36"/>
      <c r="N261" s="36"/>
      <c r="O261" s="36"/>
      <c r="P261" s="36"/>
      <c r="Q261" s="36"/>
      <c r="R261" s="36"/>
      <c r="S261" s="36"/>
      <c r="T261" s="36"/>
      <c r="U261" s="36"/>
      <c r="V261" s="36"/>
      <c r="W261" s="36"/>
      <c r="X261" s="43"/>
      <c r="Y261" s="43"/>
      <c r="Z261" s="45"/>
      <c r="AA261" s="45"/>
      <c r="AB261" s="45"/>
      <c r="AC261" s="36"/>
      <c r="AD261" s="45"/>
      <c r="AE261" s="45"/>
      <c r="AF261" s="35"/>
      <c r="AG261" s="45"/>
      <c r="AH261" s="45"/>
      <c r="AI261" s="45"/>
      <c r="AJ261" s="36"/>
      <c r="AK261" s="45"/>
      <c r="AL261" s="35"/>
      <c r="AM261" s="35"/>
      <c r="AN261" s="35"/>
      <c r="AO261" s="35"/>
      <c r="AP261" s="36"/>
      <c r="AQ261" s="45"/>
      <c r="AR261" s="45"/>
      <c r="AS261" s="45"/>
      <c r="AT261" s="45"/>
      <c r="AU261" s="45"/>
      <c r="AV261" s="45"/>
      <c r="AW261" s="45"/>
      <c r="AX261" s="45"/>
      <c r="AY261" s="45"/>
      <c r="AZ261" s="35"/>
      <c r="BA261" s="53"/>
      <c r="BB261" s="53"/>
      <c r="BC261" s="53"/>
      <c r="BD261" s="53"/>
      <c r="BE261" s="53"/>
      <c r="BF261" s="53"/>
      <c r="BG261" s="45"/>
      <c r="BH261" s="45"/>
      <c r="BI261" s="53"/>
      <c r="BJ261" s="54"/>
      <c r="BK261" s="45"/>
      <c r="BL261" s="53"/>
      <c r="BM261" s="54"/>
      <c r="BN261" s="45"/>
    </row>
    <row r="262" spans="1:66" ht="15" customHeight="1" x14ac:dyDescent="0.25">
      <c r="A262" s="50">
        <v>261</v>
      </c>
      <c r="B262" s="36">
        <v>8032</v>
      </c>
      <c r="C262" s="46">
        <v>8032</v>
      </c>
      <c r="D262" s="36" t="s">
        <v>3</v>
      </c>
      <c r="E262" s="39" t="s">
        <v>462</v>
      </c>
      <c r="F262" s="36" t="s">
        <v>455</v>
      </c>
      <c r="G262" s="36"/>
      <c r="H262" s="36"/>
      <c r="I262" s="36"/>
      <c r="J262" s="36"/>
      <c r="K262" s="36"/>
      <c r="L262" s="36"/>
      <c r="M262" s="36"/>
      <c r="N262" s="36"/>
      <c r="O262" s="36"/>
      <c r="P262" s="36"/>
      <c r="Q262" s="36"/>
      <c r="R262" s="36"/>
      <c r="S262" s="36"/>
      <c r="T262" s="36"/>
      <c r="U262" s="36"/>
      <c r="V262" s="36"/>
      <c r="W262" s="36"/>
      <c r="X262" s="43"/>
      <c r="Y262" s="43"/>
      <c r="Z262" s="45"/>
      <c r="AA262" s="45"/>
      <c r="AB262" s="45"/>
      <c r="AC262" s="36"/>
      <c r="AD262" s="45"/>
      <c r="AE262" s="45"/>
      <c r="AF262" s="35"/>
      <c r="AG262" s="45"/>
      <c r="AH262" s="45"/>
      <c r="AI262" s="45"/>
      <c r="AJ262" s="36"/>
      <c r="AK262" s="45"/>
      <c r="AL262" s="35"/>
      <c r="AM262" s="35"/>
      <c r="AN262" s="35"/>
      <c r="AO262" s="35"/>
      <c r="AP262" s="36"/>
      <c r="AQ262" s="45"/>
      <c r="AR262" s="45"/>
      <c r="AS262" s="45"/>
      <c r="AT262" s="45"/>
      <c r="AU262" s="45"/>
      <c r="AV262" s="45"/>
      <c r="AW262" s="45"/>
      <c r="AX262" s="45"/>
      <c r="AY262" s="45"/>
      <c r="AZ262" s="35"/>
      <c r="BA262" s="53"/>
      <c r="BB262" s="53"/>
      <c r="BC262" s="53"/>
      <c r="BD262" s="53"/>
      <c r="BE262" s="53"/>
      <c r="BF262" s="53"/>
      <c r="BG262" s="45"/>
      <c r="BH262" s="45"/>
      <c r="BI262" s="53"/>
      <c r="BJ262" s="54"/>
      <c r="BK262" s="45"/>
      <c r="BL262" s="53"/>
      <c r="BM262" s="54"/>
      <c r="BN262" s="45"/>
    </row>
    <row r="263" spans="1:66" ht="15" customHeight="1" x14ac:dyDescent="0.25">
      <c r="A263" s="50">
        <v>262</v>
      </c>
      <c r="B263" s="36">
        <v>8033</v>
      </c>
      <c r="C263" s="46">
        <v>8033</v>
      </c>
      <c r="D263" s="36" t="s">
        <v>3</v>
      </c>
      <c r="E263" s="39" t="s">
        <v>463</v>
      </c>
      <c r="F263" s="36" t="s">
        <v>456</v>
      </c>
      <c r="G263" s="36"/>
      <c r="H263" s="36"/>
      <c r="I263" s="36"/>
      <c r="J263" s="36"/>
      <c r="K263" s="36"/>
      <c r="L263" s="36"/>
      <c r="M263" s="36"/>
      <c r="N263" s="36"/>
      <c r="O263" s="36"/>
      <c r="P263" s="36"/>
      <c r="Q263" s="36"/>
      <c r="R263" s="36"/>
      <c r="S263" s="36"/>
      <c r="T263" s="36"/>
      <c r="U263" s="36"/>
      <c r="V263" s="36"/>
      <c r="W263" s="36"/>
      <c r="X263" s="43"/>
      <c r="Y263" s="43"/>
      <c r="Z263" s="45"/>
      <c r="AA263" s="45"/>
      <c r="AB263" s="45"/>
      <c r="AC263" s="36"/>
      <c r="AD263" s="45"/>
      <c r="AE263" s="45"/>
      <c r="AF263" s="35"/>
      <c r="AG263" s="45"/>
      <c r="AH263" s="45"/>
      <c r="AI263" s="45"/>
      <c r="AJ263" s="36"/>
      <c r="AK263" s="45"/>
      <c r="AL263" s="35"/>
      <c r="AM263" s="35"/>
      <c r="AN263" s="35"/>
      <c r="AO263" s="35"/>
      <c r="AP263" s="36"/>
      <c r="AQ263" s="45"/>
      <c r="AR263" s="45"/>
      <c r="AS263" s="45"/>
      <c r="AT263" s="45"/>
      <c r="AU263" s="45"/>
      <c r="AV263" s="45"/>
      <c r="AW263" s="45"/>
      <c r="AX263" s="45"/>
      <c r="AY263" s="45"/>
      <c r="AZ263" s="35"/>
      <c r="BA263" s="53"/>
      <c r="BB263" s="53"/>
      <c r="BC263" s="53"/>
      <c r="BD263" s="53"/>
      <c r="BE263" s="53"/>
      <c r="BF263" s="53"/>
      <c r="BG263" s="45"/>
      <c r="BH263" s="45"/>
      <c r="BI263" s="53"/>
      <c r="BJ263" s="54"/>
      <c r="BK263" s="45"/>
      <c r="BL263" s="53"/>
      <c r="BM263" s="54"/>
      <c r="BN263" s="45"/>
    </row>
    <row r="264" spans="1:66" ht="15" customHeight="1" x14ac:dyDescent="0.25">
      <c r="A264" s="50">
        <v>263</v>
      </c>
      <c r="B264" s="36">
        <v>8035</v>
      </c>
      <c r="C264" s="46">
        <v>8035</v>
      </c>
      <c r="D264" s="36" t="s">
        <v>3</v>
      </c>
      <c r="E264" s="33" t="s">
        <v>470</v>
      </c>
      <c r="F264" s="36" t="s">
        <v>673</v>
      </c>
      <c r="G264" s="36"/>
      <c r="H264" s="36"/>
      <c r="I264" s="36"/>
      <c r="J264" s="36"/>
      <c r="K264" s="36"/>
      <c r="L264" s="36"/>
      <c r="M264" s="36"/>
      <c r="N264" s="36"/>
      <c r="O264" s="36"/>
      <c r="P264" s="36"/>
      <c r="Q264" s="36"/>
      <c r="R264" s="36"/>
      <c r="S264" s="36"/>
      <c r="T264" s="36"/>
      <c r="U264" s="36"/>
      <c r="V264" s="36"/>
      <c r="W264" s="36"/>
      <c r="X264" s="43"/>
      <c r="Y264" s="43"/>
      <c r="Z264" s="45"/>
      <c r="AA264" s="45"/>
      <c r="AB264" s="45"/>
      <c r="AC264" s="36"/>
      <c r="AD264" s="45"/>
      <c r="AE264" s="45"/>
      <c r="AF264" s="35"/>
      <c r="AG264" s="45"/>
      <c r="AH264" s="45"/>
      <c r="AI264" s="45"/>
      <c r="AJ264" s="36"/>
      <c r="AK264" s="45"/>
      <c r="AL264" s="35"/>
      <c r="AM264" s="35"/>
      <c r="AN264" s="35"/>
      <c r="AO264" s="35"/>
      <c r="AP264" s="36"/>
      <c r="AQ264" s="45"/>
      <c r="AR264" s="45"/>
      <c r="AS264" s="45"/>
      <c r="AT264" s="45"/>
      <c r="AU264" s="45"/>
      <c r="AV264" s="45"/>
      <c r="AW264" s="45"/>
      <c r="AX264" s="45"/>
      <c r="AY264" s="45"/>
      <c r="AZ264" s="35"/>
      <c r="BA264" s="53"/>
      <c r="BB264" s="53"/>
      <c r="BC264" s="53"/>
      <c r="BD264" s="53"/>
      <c r="BE264" s="53"/>
      <c r="BF264" s="53"/>
      <c r="BG264" s="45"/>
      <c r="BH264" s="45"/>
      <c r="BI264" s="53"/>
      <c r="BJ264" s="54"/>
      <c r="BK264" s="45"/>
      <c r="BL264" s="53"/>
      <c r="BM264" s="54"/>
      <c r="BN264" s="45"/>
    </row>
    <row r="265" spans="1:66" ht="15" customHeight="1" x14ac:dyDescent="0.25">
      <c r="A265" s="50">
        <v>264</v>
      </c>
      <c r="B265" s="36">
        <v>8036</v>
      </c>
      <c r="C265" s="71">
        <v>8036</v>
      </c>
      <c r="D265" s="36" t="s">
        <v>3</v>
      </c>
      <c r="E265" s="33" t="s">
        <v>464</v>
      </c>
      <c r="F265" s="36" t="s">
        <v>459</v>
      </c>
      <c r="G265" s="36"/>
      <c r="H265" s="36"/>
      <c r="I265" s="36"/>
      <c r="J265" s="36"/>
      <c r="K265" s="36"/>
      <c r="L265" s="36"/>
      <c r="M265" s="36"/>
      <c r="N265" s="36"/>
      <c r="O265" s="36"/>
      <c r="P265" s="36"/>
      <c r="Q265" s="36"/>
      <c r="R265" s="36"/>
      <c r="S265" s="36"/>
      <c r="T265" s="36"/>
      <c r="U265" s="36"/>
      <c r="V265" s="36"/>
      <c r="W265" s="36"/>
      <c r="X265" s="43"/>
      <c r="Y265" s="43"/>
      <c r="Z265" s="45"/>
      <c r="AA265" s="45"/>
      <c r="AB265" s="45"/>
      <c r="AC265" s="36"/>
      <c r="AD265" s="45"/>
      <c r="AE265" s="45"/>
      <c r="AF265" s="35"/>
      <c r="AG265" s="45"/>
      <c r="AH265" s="45"/>
      <c r="AI265" s="45"/>
      <c r="AJ265" s="36"/>
      <c r="AK265" s="45"/>
      <c r="AL265" s="35"/>
      <c r="AM265" s="35"/>
      <c r="AN265" s="35"/>
      <c r="AO265" s="35"/>
      <c r="AP265" s="36"/>
      <c r="AQ265" s="45"/>
      <c r="AR265" s="45"/>
      <c r="AS265" s="45"/>
      <c r="AT265" s="45"/>
      <c r="AU265" s="45"/>
      <c r="AV265" s="45"/>
      <c r="AW265" s="45"/>
      <c r="AX265" s="45"/>
      <c r="AY265" s="45"/>
      <c r="AZ265" s="35"/>
      <c r="BA265" s="53"/>
      <c r="BB265" s="53"/>
      <c r="BC265" s="53"/>
      <c r="BD265" s="53"/>
      <c r="BE265" s="53"/>
      <c r="BF265" s="53"/>
      <c r="BG265" s="45"/>
      <c r="BH265" s="45"/>
      <c r="BI265" s="53"/>
      <c r="BJ265" s="54"/>
      <c r="BK265" s="45"/>
      <c r="BL265" s="53"/>
      <c r="BM265" s="54"/>
      <c r="BN265" s="45"/>
    </row>
    <row r="266" spans="1:66" ht="15" customHeight="1" x14ac:dyDescent="0.25">
      <c r="A266" s="50">
        <v>265</v>
      </c>
      <c r="B266" s="36">
        <v>8038</v>
      </c>
      <c r="C266" s="46">
        <v>8038</v>
      </c>
      <c r="D266" s="36" t="s">
        <v>3</v>
      </c>
      <c r="E266" s="33" t="s">
        <v>469</v>
      </c>
      <c r="F266" s="36" t="s">
        <v>674</v>
      </c>
      <c r="G266" s="36"/>
      <c r="H266" s="36"/>
      <c r="I266" s="36"/>
      <c r="J266" s="36"/>
      <c r="K266" s="36"/>
      <c r="L266" s="36"/>
      <c r="M266" s="36"/>
      <c r="N266" s="36"/>
      <c r="O266" s="36"/>
      <c r="P266" s="36"/>
      <c r="Q266" s="36"/>
      <c r="R266" s="36"/>
      <c r="S266" s="36"/>
      <c r="T266" s="36"/>
      <c r="U266" s="36"/>
      <c r="V266" s="36"/>
      <c r="W266" s="36"/>
      <c r="X266" s="43"/>
      <c r="Y266" s="43"/>
      <c r="Z266" s="45"/>
      <c r="AA266" s="45"/>
      <c r="AB266" s="45"/>
      <c r="AC266" s="36"/>
      <c r="AD266" s="45"/>
      <c r="AE266" s="45"/>
      <c r="AF266" s="35"/>
      <c r="AG266" s="45"/>
      <c r="AH266" s="45"/>
      <c r="AI266" s="45"/>
      <c r="AJ266" s="36"/>
      <c r="AK266" s="45"/>
      <c r="AL266" s="35"/>
      <c r="AM266" s="35"/>
      <c r="AN266" s="35"/>
      <c r="AO266" s="35"/>
      <c r="AP266" s="36"/>
      <c r="AQ266" s="45"/>
      <c r="AR266" s="45"/>
      <c r="AS266" s="45"/>
      <c r="AT266" s="45"/>
      <c r="AU266" s="45"/>
      <c r="AV266" s="45"/>
      <c r="AW266" s="45"/>
      <c r="AX266" s="45"/>
      <c r="AY266" s="45"/>
      <c r="AZ266" s="35"/>
      <c r="BA266" s="53"/>
      <c r="BB266" s="53"/>
      <c r="BC266" s="53"/>
      <c r="BD266" s="53"/>
      <c r="BE266" s="53"/>
      <c r="BF266" s="53"/>
      <c r="BG266" s="45"/>
      <c r="BH266" s="45"/>
      <c r="BI266" s="53"/>
      <c r="BJ266" s="54"/>
      <c r="BK266" s="45"/>
      <c r="BL266" s="53"/>
      <c r="BM266" s="54"/>
      <c r="BN266" s="45"/>
    </row>
    <row r="267" spans="1:66" ht="15" customHeight="1" x14ac:dyDescent="0.25">
      <c r="A267" s="50">
        <v>266</v>
      </c>
      <c r="B267" s="36">
        <v>8039</v>
      </c>
      <c r="C267" s="46">
        <v>8039</v>
      </c>
      <c r="D267" s="36" t="s">
        <v>3</v>
      </c>
      <c r="E267" s="39" t="s">
        <v>468</v>
      </c>
      <c r="F267" s="36" t="s">
        <v>455</v>
      </c>
      <c r="G267" s="36"/>
      <c r="H267" s="36"/>
      <c r="I267" s="36"/>
      <c r="J267" s="36"/>
      <c r="K267" s="36"/>
      <c r="L267" s="36"/>
      <c r="M267" s="36"/>
      <c r="N267" s="36"/>
      <c r="O267" s="36"/>
      <c r="P267" s="36"/>
      <c r="Q267" s="36"/>
      <c r="R267" s="36"/>
      <c r="S267" s="36"/>
      <c r="T267" s="36"/>
      <c r="U267" s="36"/>
      <c r="V267" s="36"/>
      <c r="W267" s="36"/>
      <c r="X267" s="47"/>
      <c r="Y267" s="47"/>
      <c r="AC267" s="9"/>
      <c r="AF267" s="49"/>
      <c r="AJ267" s="12"/>
      <c r="AK267" s="45"/>
      <c r="AL267" s="49"/>
      <c r="AM267" s="49"/>
      <c r="AN267" s="49"/>
      <c r="AO267" s="49"/>
      <c r="AP267" s="46"/>
      <c r="AS267" s="44"/>
      <c r="AZ267" s="49"/>
      <c r="BA267" s="20"/>
      <c r="BB267" s="20"/>
      <c r="BC267" s="20"/>
      <c r="BD267" s="20"/>
      <c r="BE267" s="20"/>
      <c r="BF267" s="20"/>
      <c r="BH267" s="28"/>
      <c r="BI267" s="20"/>
      <c r="BJ267" s="79"/>
      <c r="BL267" s="20"/>
      <c r="BM267" s="79"/>
    </row>
    <row r="268" spans="1:66" x14ac:dyDescent="0.25">
      <c r="A268" s="50">
        <v>267</v>
      </c>
      <c r="B268" s="36">
        <v>8040</v>
      </c>
      <c r="C268" s="46">
        <v>8040</v>
      </c>
      <c r="D268" s="36" t="s">
        <v>3</v>
      </c>
      <c r="E268" s="6" t="s">
        <v>17</v>
      </c>
      <c r="F268" s="36" t="s">
        <v>677</v>
      </c>
    </row>
    <row r="269" spans="1:66" x14ac:dyDescent="0.25">
      <c r="A269" s="50">
        <v>268</v>
      </c>
      <c r="B269" s="36">
        <v>8043</v>
      </c>
      <c r="C269" s="71">
        <v>8043</v>
      </c>
      <c r="D269" s="36" t="s">
        <v>3</v>
      </c>
      <c r="E269" s="75" t="s">
        <v>404</v>
      </c>
      <c r="F269" s="43" t="s">
        <v>450</v>
      </c>
    </row>
    <row r="270" spans="1:66" x14ac:dyDescent="0.25">
      <c r="A270" s="50">
        <v>269</v>
      </c>
      <c r="B270" s="52" t="s">
        <v>306</v>
      </c>
      <c r="C270" s="68">
        <v>918061</v>
      </c>
      <c r="D270" s="36" t="s">
        <v>3</v>
      </c>
      <c r="E270" s="11" t="s">
        <v>16</v>
      </c>
      <c r="F270" s="36" t="s">
        <v>677</v>
      </c>
    </row>
    <row r="271" spans="1:66" x14ac:dyDescent="0.25">
      <c r="A271" s="50">
        <v>270</v>
      </c>
      <c r="B271" s="52" t="s">
        <v>307</v>
      </c>
      <c r="C271" s="68">
        <v>928061</v>
      </c>
      <c r="D271" s="36" t="s">
        <v>3</v>
      </c>
      <c r="E271" s="11" t="s">
        <v>16</v>
      </c>
      <c r="F271" s="36" t="s">
        <v>677</v>
      </c>
    </row>
    <row r="272" spans="1:66" x14ac:dyDescent="0.25">
      <c r="A272" s="50">
        <v>271</v>
      </c>
      <c r="B272" s="52" t="s">
        <v>308</v>
      </c>
      <c r="C272" s="68">
        <v>918091</v>
      </c>
      <c r="D272" s="36" t="s">
        <v>3</v>
      </c>
      <c r="E272" s="24" t="s">
        <v>353</v>
      </c>
      <c r="F272" s="36" t="s">
        <v>659</v>
      </c>
    </row>
    <row r="273" spans="1:6" x14ac:dyDescent="0.25">
      <c r="A273" s="50">
        <v>272</v>
      </c>
      <c r="B273" s="52" t="s">
        <v>309</v>
      </c>
      <c r="C273" s="68">
        <v>928091</v>
      </c>
      <c r="D273" s="36" t="s">
        <v>3</v>
      </c>
      <c r="E273" s="24" t="s">
        <v>353</v>
      </c>
      <c r="F273" s="36" t="s">
        <v>659</v>
      </c>
    </row>
    <row r="274" spans="1:6" x14ac:dyDescent="0.25">
      <c r="A274" s="50">
        <v>273</v>
      </c>
      <c r="B274" s="52" t="s">
        <v>310</v>
      </c>
      <c r="C274" s="72">
        <v>918092</v>
      </c>
      <c r="D274" s="36" t="s">
        <v>3</v>
      </c>
      <c r="E274" s="76" t="s">
        <v>354</v>
      </c>
      <c r="F274" s="43" t="s">
        <v>660</v>
      </c>
    </row>
    <row r="275" spans="1:6" x14ac:dyDescent="0.25">
      <c r="A275" s="50">
        <v>274</v>
      </c>
      <c r="B275" s="52" t="s">
        <v>311</v>
      </c>
      <c r="C275" s="72">
        <v>928092</v>
      </c>
      <c r="D275" s="36" t="s">
        <v>3</v>
      </c>
      <c r="E275" s="76" t="s">
        <v>354</v>
      </c>
      <c r="F275" s="43" t="s">
        <v>660</v>
      </c>
    </row>
    <row r="276" spans="1:6" x14ac:dyDescent="0.25">
      <c r="A276" s="50">
        <v>275</v>
      </c>
      <c r="B276" s="52" t="s">
        <v>312</v>
      </c>
      <c r="C276" s="68">
        <v>918100</v>
      </c>
      <c r="D276" s="36" t="s">
        <v>3</v>
      </c>
      <c r="E276" s="17" t="s">
        <v>134</v>
      </c>
      <c r="F276" s="36" t="s">
        <v>664</v>
      </c>
    </row>
    <row r="277" spans="1:6" x14ac:dyDescent="0.25">
      <c r="A277" s="50">
        <v>276</v>
      </c>
      <c r="B277" s="52" t="s">
        <v>313</v>
      </c>
      <c r="C277" s="68">
        <v>928100</v>
      </c>
      <c r="D277" s="36" t="s">
        <v>3</v>
      </c>
      <c r="E277" s="17" t="s">
        <v>134</v>
      </c>
      <c r="F277" s="36" t="s">
        <v>664</v>
      </c>
    </row>
    <row r="278" spans="1:6" x14ac:dyDescent="0.25">
      <c r="A278" s="50">
        <v>277</v>
      </c>
      <c r="B278" s="52" t="s">
        <v>314</v>
      </c>
      <c r="C278" s="68">
        <v>918110</v>
      </c>
      <c r="D278" s="36" t="s">
        <v>3</v>
      </c>
      <c r="E278" s="12" t="s">
        <v>9</v>
      </c>
      <c r="F278" s="36" t="s">
        <v>452</v>
      </c>
    </row>
    <row r="279" spans="1:6" x14ac:dyDescent="0.25">
      <c r="A279" s="50">
        <v>278</v>
      </c>
      <c r="B279" s="52" t="s">
        <v>315</v>
      </c>
      <c r="C279" s="68">
        <v>928110</v>
      </c>
      <c r="D279" s="36" t="s">
        <v>3</v>
      </c>
      <c r="E279" s="12" t="s">
        <v>9</v>
      </c>
      <c r="F279" s="36" t="s">
        <v>664</v>
      </c>
    </row>
    <row r="280" spans="1:6" x14ac:dyDescent="0.25">
      <c r="A280" s="50">
        <v>279</v>
      </c>
      <c r="B280" s="36">
        <v>8112</v>
      </c>
      <c r="C280" s="70">
        <v>8112</v>
      </c>
      <c r="D280" s="36" t="s">
        <v>3</v>
      </c>
      <c r="E280" s="30" t="s">
        <v>407</v>
      </c>
      <c r="F280" s="43" t="s">
        <v>660</v>
      </c>
    </row>
    <row r="281" spans="1:6" x14ac:dyDescent="0.25">
      <c r="A281" s="50">
        <v>280</v>
      </c>
      <c r="B281" s="36">
        <v>8113</v>
      </c>
      <c r="C281" s="71">
        <v>8113</v>
      </c>
      <c r="D281" s="36" t="s">
        <v>3</v>
      </c>
      <c r="E281" s="34" t="s">
        <v>408</v>
      </c>
      <c r="F281" s="43" t="s">
        <v>450</v>
      </c>
    </row>
    <row r="282" spans="1:6" x14ac:dyDescent="0.25">
      <c r="A282" s="50">
        <v>281</v>
      </c>
      <c r="B282" s="36">
        <v>8120</v>
      </c>
      <c r="C282" s="46">
        <v>8120</v>
      </c>
      <c r="D282" s="36" t="s">
        <v>3</v>
      </c>
      <c r="E282" s="13" t="s">
        <v>8</v>
      </c>
      <c r="F282" s="36" t="s">
        <v>452</v>
      </c>
    </row>
    <row r="283" spans="1:6" x14ac:dyDescent="0.25">
      <c r="A283" s="50">
        <v>282</v>
      </c>
      <c r="B283" s="36">
        <v>8122</v>
      </c>
      <c r="C283" s="70">
        <v>8122</v>
      </c>
      <c r="D283" s="36" t="s">
        <v>3</v>
      </c>
      <c r="E283" s="78" t="s">
        <v>409</v>
      </c>
      <c r="F283" s="43" t="s">
        <v>660</v>
      </c>
    </row>
    <row r="284" spans="1:6" x14ac:dyDescent="0.25">
      <c r="A284" s="50">
        <v>283</v>
      </c>
      <c r="B284" s="36">
        <v>8123</v>
      </c>
      <c r="C284" s="71">
        <v>8123</v>
      </c>
      <c r="D284" s="36" t="s">
        <v>3</v>
      </c>
      <c r="E284" s="32" t="s">
        <v>403</v>
      </c>
      <c r="F284" s="43" t="s">
        <v>450</v>
      </c>
    </row>
    <row r="285" spans="1:6" x14ac:dyDescent="0.25">
      <c r="A285" s="50">
        <v>284</v>
      </c>
      <c r="B285" s="36">
        <v>8130</v>
      </c>
      <c r="C285" s="46">
        <v>8130</v>
      </c>
      <c r="D285" s="36" t="s">
        <v>3</v>
      </c>
      <c r="E285" s="14" t="s">
        <v>10</v>
      </c>
      <c r="F285" s="36" t="s">
        <v>453</v>
      </c>
    </row>
    <row r="286" spans="1:6" x14ac:dyDescent="0.25">
      <c r="A286" s="50">
        <v>285</v>
      </c>
      <c r="B286" s="36">
        <v>8133</v>
      </c>
      <c r="C286" s="71">
        <v>8133</v>
      </c>
      <c r="D286" s="36" t="s">
        <v>3</v>
      </c>
      <c r="E286" s="31" t="s">
        <v>405</v>
      </c>
      <c r="F286" s="43" t="s">
        <v>451</v>
      </c>
    </row>
    <row r="287" spans="1:6" x14ac:dyDescent="0.25">
      <c r="A287" s="50">
        <v>286</v>
      </c>
      <c r="B287" s="36">
        <v>8140</v>
      </c>
      <c r="C287" s="46">
        <v>8140</v>
      </c>
      <c r="D287" s="36" t="s">
        <v>3</v>
      </c>
      <c r="E287" s="15" t="s">
        <v>14</v>
      </c>
      <c r="F287" s="36" t="s">
        <v>457</v>
      </c>
    </row>
    <row r="288" spans="1:6" x14ac:dyDescent="0.25">
      <c r="A288" s="50">
        <v>287</v>
      </c>
      <c r="B288" s="36">
        <v>8150</v>
      </c>
      <c r="C288" s="46">
        <v>8150</v>
      </c>
      <c r="D288" s="36" t="s">
        <v>3</v>
      </c>
      <c r="E288" s="18" t="s">
        <v>15</v>
      </c>
      <c r="F288" s="36" t="s">
        <v>458</v>
      </c>
    </row>
    <row r="289" spans="1:6" x14ac:dyDescent="0.25">
      <c r="A289" s="50">
        <v>288</v>
      </c>
      <c r="B289" s="36">
        <v>8180</v>
      </c>
      <c r="C289" s="46">
        <v>8180</v>
      </c>
      <c r="D289" s="36" t="s">
        <v>3</v>
      </c>
      <c r="E289" s="16" t="s">
        <v>13</v>
      </c>
      <c r="F289" s="36" t="s">
        <v>684</v>
      </c>
    </row>
    <row r="290" spans="1:6" x14ac:dyDescent="0.25">
      <c r="A290" s="50">
        <v>289</v>
      </c>
      <c r="B290" s="36">
        <v>11061</v>
      </c>
      <c r="C290" s="46">
        <v>11061</v>
      </c>
      <c r="D290" s="22" t="s">
        <v>205</v>
      </c>
      <c r="E290" s="11" t="s">
        <v>16</v>
      </c>
      <c r="F290" s="36" t="s">
        <v>549</v>
      </c>
    </row>
    <row r="291" spans="1:6" x14ac:dyDescent="0.25">
      <c r="A291" s="50">
        <v>290</v>
      </c>
      <c r="B291" s="52" t="s">
        <v>316</v>
      </c>
      <c r="C291" s="68">
        <v>9111091</v>
      </c>
      <c r="D291" s="22" t="s">
        <v>205</v>
      </c>
      <c r="E291" s="24" t="s">
        <v>353</v>
      </c>
      <c r="F291" s="36" t="s">
        <v>502</v>
      </c>
    </row>
    <row r="292" spans="1:6" x14ac:dyDescent="0.25">
      <c r="A292" s="50">
        <v>291</v>
      </c>
      <c r="B292" s="52" t="s">
        <v>317</v>
      </c>
      <c r="C292" s="68">
        <v>9211091</v>
      </c>
      <c r="D292" s="22" t="s">
        <v>205</v>
      </c>
      <c r="E292" s="24" t="s">
        <v>353</v>
      </c>
      <c r="F292" s="36" t="s">
        <v>502</v>
      </c>
    </row>
    <row r="293" spans="1:6" x14ac:dyDescent="0.25">
      <c r="A293" s="50">
        <v>292</v>
      </c>
      <c r="B293" s="52" t="s">
        <v>318</v>
      </c>
      <c r="C293" s="72">
        <v>9111092</v>
      </c>
      <c r="D293" s="22" t="s">
        <v>205</v>
      </c>
      <c r="E293" s="76" t="s">
        <v>354</v>
      </c>
      <c r="F293" s="43" t="s">
        <v>660</v>
      </c>
    </row>
    <row r="294" spans="1:6" x14ac:dyDescent="0.25">
      <c r="A294" s="50">
        <v>293</v>
      </c>
      <c r="B294" s="52" t="s">
        <v>319</v>
      </c>
      <c r="C294" s="72">
        <v>9211092</v>
      </c>
      <c r="D294" s="22" t="s">
        <v>205</v>
      </c>
      <c r="E294" s="76" t="s">
        <v>354</v>
      </c>
      <c r="F294" s="43" t="s">
        <v>660</v>
      </c>
    </row>
    <row r="295" spans="1:6" x14ac:dyDescent="0.25">
      <c r="A295" s="50">
        <v>294</v>
      </c>
      <c r="B295" s="36">
        <v>11100</v>
      </c>
      <c r="C295" s="46">
        <v>11100</v>
      </c>
      <c r="D295" s="22" t="s">
        <v>205</v>
      </c>
      <c r="E295" s="17" t="s">
        <v>134</v>
      </c>
      <c r="F295" s="36" t="s">
        <v>548</v>
      </c>
    </row>
    <row r="296" spans="1:6" x14ac:dyDescent="0.25">
      <c r="A296" s="50">
        <v>295</v>
      </c>
      <c r="B296" s="36">
        <v>11102</v>
      </c>
      <c r="C296" s="70">
        <v>11102</v>
      </c>
      <c r="D296" s="22" t="s">
        <v>205</v>
      </c>
      <c r="E296" s="77" t="s">
        <v>406</v>
      </c>
      <c r="F296" s="43" t="s">
        <v>660</v>
      </c>
    </row>
    <row r="297" spans="1:6" x14ac:dyDescent="0.25">
      <c r="A297" s="50">
        <v>296</v>
      </c>
      <c r="B297" s="36">
        <v>11110</v>
      </c>
      <c r="C297" s="46">
        <v>11110</v>
      </c>
      <c r="D297" s="22" t="s">
        <v>205</v>
      </c>
      <c r="E297" s="12" t="s">
        <v>9</v>
      </c>
      <c r="F297" s="36" t="s">
        <v>548</v>
      </c>
    </row>
    <row r="298" spans="1:6" x14ac:dyDescent="0.25">
      <c r="A298" s="50">
        <v>297</v>
      </c>
      <c r="B298" s="36">
        <v>11112</v>
      </c>
      <c r="C298" s="70">
        <v>11112</v>
      </c>
      <c r="D298" s="22" t="s">
        <v>205</v>
      </c>
      <c r="E298" s="30" t="s">
        <v>407</v>
      </c>
      <c r="F298" s="43" t="s">
        <v>660</v>
      </c>
    </row>
    <row r="299" spans="1:6" x14ac:dyDescent="0.25">
      <c r="A299" s="50">
        <v>298</v>
      </c>
      <c r="B299" s="36">
        <v>11120</v>
      </c>
      <c r="C299" s="46">
        <v>11120</v>
      </c>
      <c r="D299" s="22" t="s">
        <v>205</v>
      </c>
      <c r="E299" s="13" t="s">
        <v>8</v>
      </c>
      <c r="F299" s="36" t="s">
        <v>548</v>
      </c>
    </row>
    <row r="300" spans="1:6" x14ac:dyDescent="0.25">
      <c r="A300" s="50">
        <v>299</v>
      </c>
      <c r="B300" s="36">
        <v>11122</v>
      </c>
      <c r="C300" s="70">
        <v>11122</v>
      </c>
      <c r="D300" s="22" t="s">
        <v>205</v>
      </c>
      <c r="E300" s="78" t="s">
        <v>409</v>
      </c>
      <c r="F300" s="43" t="s">
        <v>660</v>
      </c>
    </row>
    <row r="301" spans="1:6" x14ac:dyDescent="0.25">
      <c r="A301" s="50">
        <v>300</v>
      </c>
      <c r="B301" s="36">
        <v>11130</v>
      </c>
      <c r="C301" s="46">
        <v>11130</v>
      </c>
      <c r="D301" s="22" t="s">
        <v>205</v>
      </c>
      <c r="E301" s="14" t="s">
        <v>10</v>
      </c>
      <c r="F301" s="36" t="s">
        <v>547</v>
      </c>
    </row>
    <row r="302" spans="1:6" x14ac:dyDescent="0.25">
      <c r="A302" s="50">
        <v>301</v>
      </c>
      <c r="B302" s="36">
        <v>11140</v>
      </c>
      <c r="C302" s="46">
        <v>11140</v>
      </c>
      <c r="D302" s="22" t="s">
        <v>205</v>
      </c>
      <c r="E302" s="15" t="s">
        <v>14</v>
      </c>
      <c r="F302" s="36" t="s">
        <v>500</v>
      </c>
    </row>
    <row r="303" spans="1:6" x14ac:dyDescent="0.25">
      <c r="A303" s="50">
        <v>302</v>
      </c>
      <c r="B303" s="36">
        <v>11150</v>
      </c>
      <c r="C303" s="46">
        <v>11150</v>
      </c>
      <c r="D303" s="22" t="s">
        <v>205</v>
      </c>
      <c r="E303" s="18" t="s">
        <v>15</v>
      </c>
      <c r="F303" s="36" t="s">
        <v>501</v>
      </c>
    </row>
    <row r="304" spans="1:6" x14ac:dyDescent="0.25">
      <c r="A304" s="50">
        <v>303</v>
      </c>
      <c r="B304" s="36">
        <v>11180</v>
      </c>
      <c r="C304" s="46">
        <v>11180</v>
      </c>
      <c r="D304" s="22" t="s">
        <v>205</v>
      </c>
      <c r="E304" s="16" t="s">
        <v>13</v>
      </c>
      <c r="F304" s="36" t="s">
        <v>551</v>
      </c>
    </row>
    <row r="305" spans="1:65" x14ac:dyDescent="0.25">
      <c r="A305" s="50">
        <v>304</v>
      </c>
      <c r="B305" s="36">
        <v>12010</v>
      </c>
      <c r="C305" s="46">
        <v>12010</v>
      </c>
      <c r="D305" s="36" t="s">
        <v>351</v>
      </c>
      <c r="E305" s="25" t="s">
        <v>410</v>
      </c>
      <c r="F305" s="36" t="s">
        <v>438</v>
      </c>
    </row>
    <row r="306" spans="1:65" x14ac:dyDescent="0.25">
      <c r="A306" s="50">
        <v>305</v>
      </c>
      <c r="B306" s="36">
        <v>12012</v>
      </c>
      <c r="C306" s="46">
        <v>12012</v>
      </c>
      <c r="D306" s="36" t="s">
        <v>351</v>
      </c>
      <c r="E306" s="25" t="s">
        <v>412</v>
      </c>
      <c r="F306" s="36" t="s">
        <v>442</v>
      </c>
    </row>
    <row r="307" spans="1:65" x14ac:dyDescent="0.25">
      <c r="A307" s="50">
        <v>306</v>
      </c>
      <c r="B307" s="36">
        <v>12018</v>
      </c>
      <c r="C307" s="46">
        <v>12018</v>
      </c>
      <c r="D307" s="36" t="s">
        <v>351</v>
      </c>
      <c r="E307" s="25" t="s">
        <v>418</v>
      </c>
      <c r="F307" s="36" t="s">
        <v>446</v>
      </c>
    </row>
    <row r="308" spans="1:65" x14ac:dyDescent="0.25">
      <c r="A308" s="50">
        <v>307</v>
      </c>
      <c r="B308" s="36">
        <v>12020</v>
      </c>
      <c r="C308" s="46">
        <v>12020</v>
      </c>
      <c r="D308" s="36" t="s">
        <v>351</v>
      </c>
      <c r="E308" s="38" t="s">
        <v>427</v>
      </c>
      <c r="F308" s="36" t="s">
        <v>557</v>
      </c>
    </row>
    <row r="309" spans="1:65" x14ac:dyDescent="0.25">
      <c r="A309" s="50">
        <v>308</v>
      </c>
      <c r="B309" s="36">
        <v>12022</v>
      </c>
      <c r="C309" s="46">
        <v>12022</v>
      </c>
      <c r="D309" s="36" t="s">
        <v>351</v>
      </c>
      <c r="E309" s="38" t="s">
        <v>428</v>
      </c>
      <c r="F309" s="36" t="s">
        <v>558</v>
      </c>
    </row>
    <row r="310" spans="1:65" x14ac:dyDescent="0.25">
      <c r="A310" s="50">
        <v>309</v>
      </c>
      <c r="B310" s="36">
        <v>12028</v>
      </c>
      <c r="C310" s="36">
        <v>12028</v>
      </c>
      <c r="D310" s="36" t="s">
        <v>351</v>
      </c>
      <c r="E310" s="38" t="s">
        <v>432</v>
      </c>
      <c r="F310" s="36" t="s">
        <v>559</v>
      </c>
    </row>
    <row r="311" spans="1:65" ht="15" customHeight="1" x14ac:dyDescent="0.25">
      <c r="A311" s="50">
        <v>310</v>
      </c>
      <c r="B311" s="36">
        <v>12030</v>
      </c>
      <c r="C311" s="36">
        <v>12030</v>
      </c>
      <c r="D311" s="36" t="s">
        <v>351</v>
      </c>
      <c r="E311" s="39" t="s">
        <v>461</v>
      </c>
      <c r="F311" s="36" t="s">
        <v>557</v>
      </c>
      <c r="G311" s="36"/>
      <c r="H311" s="36"/>
      <c r="I311" s="36"/>
      <c r="J311" s="36"/>
      <c r="K311" s="36"/>
      <c r="L311" s="36"/>
      <c r="M311" s="36"/>
      <c r="N311" s="36"/>
      <c r="O311" s="36"/>
      <c r="P311" s="36"/>
      <c r="Q311" s="36"/>
      <c r="R311" s="36"/>
      <c r="S311" s="36"/>
      <c r="T311" s="36"/>
      <c r="U311" s="36"/>
      <c r="V311" s="36"/>
      <c r="W311" s="36"/>
      <c r="X311" s="43"/>
      <c r="Y311" s="36"/>
      <c r="Z311" s="45"/>
      <c r="AA311" s="45"/>
      <c r="AB311" s="45"/>
      <c r="AC311" s="36"/>
      <c r="AD311" s="43"/>
      <c r="AE311" s="36"/>
      <c r="AF311" s="43"/>
      <c r="AG311" s="45"/>
      <c r="AH311" s="45"/>
      <c r="AI311" s="45"/>
      <c r="AJ311" s="36"/>
      <c r="AK311" s="43"/>
      <c r="AL311" s="35"/>
      <c r="AM311" s="35"/>
      <c r="AN311" s="35"/>
      <c r="AO311" s="35"/>
      <c r="AP311" s="36"/>
      <c r="AQ311" s="45"/>
      <c r="AR311" s="45"/>
      <c r="AS311" s="45"/>
      <c r="AT311" s="45"/>
      <c r="AU311" s="45"/>
      <c r="AV311" s="36"/>
      <c r="AW311" s="45"/>
      <c r="AX311" s="45"/>
      <c r="AY311" s="36"/>
      <c r="AZ311" s="43"/>
      <c r="BA311" s="53"/>
      <c r="BB311" s="53"/>
      <c r="BC311" s="53"/>
      <c r="BD311" s="53"/>
      <c r="BE311" s="53"/>
      <c r="BF311" s="53"/>
      <c r="BG311" s="45"/>
      <c r="BH311" s="45"/>
      <c r="BI311" s="55"/>
      <c r="BJ311" s="54"/>
      <c r="BK311" s="45"/>
      <c r="BL311" s="55"/>
      <c r="BM311" s="54"/>
    </row>
    <row r="312" spans="1:65" ht="15" customHeight="1" x14ac:dyDescent="0.25">
      <c r="A312" s="50">
        <v>311</v>
      </c>
      <c r="B312" s="36">
        <v>12035</v>
      </c>
      <c r="C312" s="46">
        <v>12035</v>
      </c>
      <c r="D312" s="36" t="s">
        <v>351</v>
      </c>
      <c r="E312" s="33" t="s">
        <v>470</v>
      </c>
      <c r="F312" s="36" t="s">
        <v>560</v>
      </c>
      <c r="G312" s="36"/>
      <c r="H312" s="36"/>
      <c r="I312" s="36"/>
      <c r="J312" s="36"/>
      <c r="K312" s="36"/>
      <c r="L312" s="36"/>
      <c r="M312" s="36"/>
      <c r="N312" s="36"/>
      <c r="O312" s="36"/>
      <c r="P312" s="36"/>
      <c r="Q312" s="36"/>
      <c r="R312" s="36"/>
      <c r="S312" s="36"/>
      <c r="T312" s="36"/>
      <c r="U312" s="36"/>
      <c r="V312" s="36"/>
      <c r="W312" s="36"/>
      <c r="X312" s="43"/>
      <c r="Y312" s="36"/>
      <c r="Z312" s="45"/>
      <c r="AA312" s="45"/>
      <c r="AB312" s="45"/>
      <c r="AC312" s="36"/>
      <c r="AD312" s="43"/>
      <c r="AE312" s="36"/>
      <c r="AF312" s="43"/>
      <c r="AG312" s="45"/>
      <c r="AH312" s="45"/>
      <c r="AI312" s="45"/>
      <c r="AJ312" s="36"/>
      <c r="AK312" s="43"/>
      <c r="AL312" s="35"/>
      <c r="AM312" s="35"/>
      <c r="AN312" s="35"/>
      <c r="AO312" s="35"/>
      <c r="AP312" s="36"/>
      <c r="AQ312" s="45"/>
      <c r="AR312" s="45"/>
      <c r="AS312" s="45"/>
      <c r="AT312" s="45"/>
      <c r="AU312" s="45"/>
      <c r="AV312" s="36"/>
      <c r="AW312" s="45"/>
      <c r="AX312" s="45"/>
      <c r="AY312" s="36"/>
      <c r="AZ312" s="43"/>
      <c r="BA312" s="53"/>
      <c r="BB312" s="53"/>
      <c r="BC312" s="53"/>
      <c r="BD312" s="53"/>
      <c r="BE312" s="53"/>
      <c r="BF312" s="53"/>
      <c r="BG312" s="45"/>
      <c r="BH312" s="45"/>
      <c r="BI312" s="55"/>
      <c r="BJ312" s="54"/>
      <c r="BK312" s="45"/>
      <c r="BL312" s="55"/>
      <c r="BM312" s="54"/>
    </row>
    <row r="313" spans="1:65" ht="15" customHeight="1" x14ac:dyDescent="0.25">
      <c r="A313" s="50">
        <v>312</v>
      </c>
      <c r="B313" s="36">
        <v>12036</v>
      </c>
      <c r="C313" s="71">
        <v>12036</v>
      </c>
      <c r="D313" s="36" t="s">
        <v>351</v>
      </c>
      <c r="E313" s="33" t="s">
        <v>464</v>
      </c>
      <c r="F313" s="36" t="s">
        <v>459</v>
      </c>
      <c r="G313" s="36"/>
      <c r="H313" s="36"/>
      <c r="I313" s="36"/>
      <c r="J313" s="36"/>
      <c r="K313" s="36"/>
      <c r="L313" s="36"/>
      <c r="M313" s="36"/>
      <c r="N313" s="36"/>
      <c r="O313" s="36"/>
      <c r="P313" s="36"/>
      <c r="Q313" s="36"/>
      <c r="R313" s="36"/>
      <c r="S313" s="36"/>
      <c r="T313" s="36"/>
      <c r="U313" s="36"/>
      <c r="V313" s="36"/>
      <c r="W313" s="36"/>
      <c r="X313" s="43"/>
      <c r="Y313" s="36"/>
      <c r="Z313" s="45"/>
      <c r="AA313" s="45"/>
      <c r="AB313" s="45"/>
      <c r="AC313" s="36"/>
      <c r="AD313" s="43"/>
      <c r="AE313" s="36"/>
      <c r="AF313" s="43"/>
      <c r="AG313" s="45"/>
      <c r="AH313" s="45"/>
      <c r="AI313" s="45"/>
      <c r="AJ313" s="36"/>
      <c r="AK313" s="43"/>
      <c r="AL313" s="35"/>
      <c r="AM313" s="35"/>
      <c r="AN313" s="35"/>
      <c r="AO313" s="35"/>
      <c r="AP313" s="36"/>
      <c r="AQ313" s="45"/>
      <c r="AR313" s="45"/>
      <c r="AS313" s="45"/>
      <c r="AT313" s="45"/>
      <c r="AU313" s="45"/>
      <c r="AV313" s="36"/>
      <c r="AW313" s="45"/>
      <c r="AX313" s="45"/>
      <c r="AY313" s="36"/>
      <c r="AZ313" s="43"/>
      <c r="BA313" s="53"/>
      <c r="BB313" s="53"/>
      <c r="BC313" s="53"/>
      <c r="BD313" s="53"/>
      <c r="BE313" s="53"/>
      <c r="BF313" s="53"/>
      <c r="BG313" s="45"/>
      <c r="BH313" s="45"/>
      <c r="BI313" s="55"/>
      <c r="BJ313" s="54"/>
      <c r="BK313" s="45"/>
      <c r="BL313" s="55"/>
      <c r="BM313" s="54"/>
    </row>
    <row r="314" spans="1:65" x14ac:dyDescent="0.25">
      <c r="A314" s="50">
        <v>313</v>
      </c>
      <c r="B314" s="52" t="s">
        <v>320</v>
      </c>
      <c r="C314" s="69">
        <v>9112043</v>
      </c>
      <c r="D314" s="36" t="s">
        <v>351</v>
      </c>
      <c r="E314" s="75" t="s">
        <v>404</v>
      </c>
      <c r="F314" s="43" t="s">
        <v>450</v>
      </c>
    </row>
    <row r="315" spans="1:65" x14ac:dyDescent="0.25">
      <c r="A315" s="50">
        <v>314</v>
      </c>
      <c r="B315" s="52" t="s">
        <v>321</v>
      </c>
      <c r="C315" s="69">
        <v>9212043</v>
      </c>
      <c r="D315" s="36" t="s">
        <v>351</v>
      </c>
      <c r="E315" s="75" t="s">
        <v>404</v>
      </c>
      <c r="F315" s="43" t="s">
        <v>450</v>
      </c>
    </row>
    <row r="316" spans="1:65" x14ac:dyDescent="0.25">
      <c r="A316" s="50">
        <v>315</v>
      </c>
      <c r="B316" s="52" t="s">
        <v>322</v>
      </c>
      <c r="C316" s="68">
        <v>9112061</v>
      </c>
      <c r="D316" s="36" t="s">
        <v>351</v>
      </c>
      <c r="E316" s="11" t="s">
        <v>16</v>
      </c>
      <c r="F316" s="36" t="s">
        <v>556</v>
      </c>
    </row>
    <row r="317" spans="1:65" x14ac:dyDescent="0.25">
      <c r="A317" s="50">
        <v>316</v>
      </c>
      <c r="B317" s="52" t="s">
        <v>323</v>
      </c>
      <c r="C317" s="68">
        <v>9212061</v>
      </c>
      <c r="D317" s="36" t="s">
        <v>351</v>
      </c>
      <c r="E317" s="11" t="s">
        <v>16</v>
      </c>
      <c r="F317" s="36" t="s">
        <v>556</v>
      </c>
    </row>
    <row r="318" spans="1:65" x14ac:dyDescent="0.25">
      <c r="A318" s="50">
        <v>317</v>
      </c>
      <c r="B318" s="52" t="s">
        <v>324</v>
      </c>
      <c r="C318" s="68">
        <v>9112091</v>
      </c>
      <c r="D318" s="36" t="s">
        <v>351</v>
      </c>
      <c r="E318" s="24" t="s">
        <v>353</v>
      </c>
      <c r="F318" s="36" t="s">
        <v>555</v>
      </c>
    </row>
    <row r="319" spans="1:65" x14ac:dyDescent="0.25">
      <c r="A319" s="50">
        <v>318</v>
      </c>
      <c r="B319" s="52" t="s">
        <v>325</v>
      </c>
      <c r="C319" s="68">
        <v>9212091</v>
      </c>
      <c r="D319" s="36" t="s">
        <v>351</v>
      </c>
      <c r="E319" s="24" t="s">
        <v>353</v>
      </c>
      <c r="F319" s="36" t="s">
        <v>555</v>
      </c>
    </row>
    <row r="320" spans="1:65" x14ac:dyDescent="0.25">
      <c r="A320" s="50">
        <v>319</v>
      </c>
      <c r="B320" s="36">
        <v>12100</v>
      </c>
      <c r="C320" s="36">
        <v>12100</v>
      </c>
      <c r="D320" s="36" t="s">
        <v>351</v>
      </c>
      <c r="E320" s="17" t="s">
        <v>134</v>
      </c>
      <c r="F320" s="36" t="s">
        <v>563</v>
      </c>
    </row>
    <row r="321" spans="1:6" x14ac:dyDescent="0.25">
      <c r="A321" s="50">
        <v>320</v>
      </c>
      <c r="B321" s="36">
        <v>12110</v>
      </c>
      <c r="C321" s="36">
        <v>12110</v>
      </c>
      <c r="D321" s="36" t="s">
        <v>351</v>
      </c>
      <c r="E321" s="12" t="s">
        <v>9</v>
      </c>
      <c r="F321" s="36" t="s">
        <v>563</v>
      </c>
    </row>
    <row r="322" spans="1:6" x14ac:dyDescent="0.25">
      <c r="A322" s="50">
        <v>321</v>
      </c>
      <c r="B322" s="36">
        <v>12113</v>
      </c>
      <c r="C322" s="71">
        <v>12113</v>
      </c>
      <c r="D322" s="36" t="s">
        <v>351</v>
      </c>
      <c r="E322" s="34" t="s">
        <v>408</v>
      </c>
      <c r="F322" s="43" t="s">
        <v>450</v>
      </c>
    </row>
    <row r="323" spans="1:6" x14ac:dyDescent="0.25">
      <c r="A323" s="50">
        <v>322</v>
      </c>
      <c r="B323" s="36">
        <v>12123</v>
      </c>
      <c r="C323" s="71">
        <v>12123</v>
      </c>
      <c r="D323" s="36" t="s">
        <v>351</v>
      </c>
      <c r="E323" s="32" t="s">
        <v>403</v>
      </c>
      <c r="F323" s="43" t="s">
        <v>450</v>
      </c>
    </row>
    <row r="324" spans="1:6" x14ac:dyDescent="0.25">
      <c r="A324" s="50">
        <v>323</v>
      </c>
      <c r="B324" s="36">
        <v>12130</v>
      </c>
      <c r="C324" s="46">
        <v>12130</v>
      </c>
      <c r="D324" s="36" t="s">
        <v>351</v>
      </c>
      <c r="E324" s="14" t="s">
        <v>10</v>
      </c>
      <c r="F324" s="36" t="s">
        <v>554</v>
      </c>
    </row>
    <row r="325" spans="1:6" x14ac:dyDescent="0.25">
      <c r="A325" s="50">
        <v>324</v>
      </c>
      <c r="B325" s="36">
        <v>12133</v>
      </c>
      <c r="C325" s="71">
        <v>12133</v>
      </c>
      <c r="D325" s="36" t="s">
        <v>351</v>
      </c>
      <c r="E325" s="31" t="s">
        <v>405</v>
      </c>
      <c r="F325" s="43" t="s">
        <v>451</v>
      </c>
    </row>
    <row r="326" spans="1:6" x14ac:dyDescent="0.25">
      <c r="A326" s="50">
        <v>325</v>
      </c>
      <c r="B326" s="36">
        <v>12140</v>
      </c>
      <c r="C326" s="46">
        <v>12140</v>
      </c>
      <c r="D326" s="36" t="s">
        <v>351</v>
      </c>
      <c r="E326" s="15" t="s">
        <v>14</v>
      </c>
      <c r="F326" s="36" t="s">
        <v>561</v>
      </c>
    </row>
    <row r="327" spans="1:6" x14ac:dyDescent="0.25">
      <c r="A327" s="50">
        <v>326</v>
      </c>
      <c r="B327" s="36">
        <v>12150</v>
      </c>
      <c r="C327" s="46">
        <v>12150</v>
      </c>
      <c r="D327" s="36" t="s">
        <v>351</v>
      </c>
      <c r="E327" s="18" t="s">
        <v>15</v>
      </c>
      <c r="F327" s="36" t="s">
        <v>562</v>
      </c>
    </row>
    <row r="328" spans="1:6" x14ac:dyDescent="0.25">
      <c r="A328" s="50">
        <v>327</v>
      </c>
      <c r="B328" s="36">
        <v>13010</v>
      </c>
      <c r="C328" s="46">
        <v>13010</v>
      </c>
      <c r="D328" s="22" t="s">
        <v>163</v>
      </c>
      <c r="E328" s="9" t="s">
        <v>410</v>
      </c>
      <c r="F328" s="36" t="s">
        <v>438</v>
      </c>
    </row>
    <row r="329" spans="1:6" x14ac:dyDescent="0.25">
      <c r="A329" s="50">
        <v>328</v>
      </c>
      <c r="B329" s="36">
        <v>13011</v>
      </c>
      <c r="C329" s="46">
        <v>13011</v>
      </c>
      <c r="D329" s="22" t="s">
        <v>163</v>
      </c>
      <c r="E329" s="9" t="s">
        <v>411</v>
      </c>
      <c r="F329" s="36" t="s">
        <v>441</v>
      </c>
    </row>
    <row r="330" spans="1:6" x14ac:dyDescent="0.25">
      <c r="A330" s="50">
        <v>329</v>
      </c>
      <c r="B330" s="36">
        <v>13012</v>
      </c>
      <c r="C330" s="46">
        <v>13012</v>
      </c>
      <c r="D330" s="22" t="s">
        <v>163</v>
      </c>
      <c r="E330" s="9" t="s">
        <v>412</v>
      </c>
      <c r="F330" s="36" t="s">
        <v>442</v>
      </c>
    </row>
    <row r="331" spans="1:6" x14ac:dyDescent="0.25">
      <c r="A331" s="50">
        <v>330</v>
      </c>
      <c r="B331" s="36">
        <v>13014</v>
      </c>
      <c r="C331" s="46">
        <v>13014</v>
      </c>
      <c r="D331" s="22" t="s">
        <v>163</v>
      </c>
      <c r="E331" s="9" t="s">
        <v>422</v>
      </c>
      <c r="F331" s="36" t="s">
        <v>442</v>
      </c>
    </row>
    <row r="332" spans="1:6" x14ac:dyDescent="0.25">
      <c r="A332" s="50">
        <v>331</v>
      </c>
      <c r="B332" s="36">
        <v>13015</v>
      </c>
      <c r="C332" s="46">
        <v>13015</v>
      </c>
      <c r="D332" s="22" t="s">
        <v>163</v>
      </c>
      <c r="E332" s="9" t="s">
        <v>424</v>
      </c>
      <c r="F332" s="36" t="s">
        <v>449</v>
      </c>
    </row>
    <row r="333" spans="1:6" x14ac:dyDescent="0.25">
      <c r="A333" s="50">
        <v>332</v>
      </c>
      <c r="B333" s="36">
        <v>13016</v>
      </c>
      <c r="C333" s="46">
        <v>13016</v>
      </c>
      <c r="D333" s="22" t="s">
        <v>163</v>
      </c>
      <c r="E333" s="9" t="s">
        <v>414</v>
      </c>
      <c r="F333" s="36" t="s">
        <v>444</v>
      </c>
    </row>
    <row r="334" spans="1:6" x14ac:dyDescent="0.25">
      <c r="A334" s="50">
        <v>333</v>
      </c>
      <c r="B334" s="36">
        <v>13017</v>
      </c>
      <c r="C334" s="46">
        <v>13017</v>
      </c>
      <c r="D334" s="22" t="s">
        <v>163</v>
      </c>
      <c r="E334" s="9" t="s">
        <v>416</v>
      </c>
      <c r="F334" s="36" t="s">
        <v>445</v>
      </c>
    </row>
    <row r="335" spans="1:6" x14ac:dyDescent="0.25">
      <c r="A335" s="50">
        <v>334</v>
      </c>
      <c r="B335" s="36">
        <v>13020</v>
      </c>
      <c r="C335" s="46">
        <v>13020</v>
      </c>
      <c r="D335" s="22" t="s">
        <v>163</v>
      </c>
      <c r="E335" s="38" t="s">
        <v>427</v>
      </c>
      <c r="F335" s="36" t="s">
        <v>477</v>
      </c>
    </row>
    <row r="336" spans="1:6" x14ac:dyDescent="0.25">
      <c r="A336" s="50">
        <v>335</v>
      </c>
      <c r="B336" s="36">
        <v>13022</v>
      </c>
      <c r="C336" s="46">
        <v>13022</v>
      </c>
      <c r="D336" s="22" t="s">
        <v>163</v>
      </c>
      <c r="E336" s="38" t="s">
        <v>428</v>
      </c>
      <c r="F336" s="36" t="s">
        <v>478</v>
      </c>
    </row>
    <row r="337" spans="1:65" x14ac:dyDescent="0.25">
      <c r="A337" s="50">
        <v>336</v>
      </c>
      <c r="B337" s="36">
        <v>13025</v>
      </c>
      <c r="C337" s="46">
        <v>13025</v>
      </c>
      <c r="D337" s="22" t="s">
        <v>163</v>
      </c>
      <c r="E337" s="38" t="s">
        <v>437</v>
      </c>
      <c r="F337" s="36" t="s">
        <v>479</v>
      </c>
    </row>
    <row r="338" spans="1:65" x14ac:dyDescent="0.25">
      <c r="A338" s="50">
        <v>337</v>
      </c>
      <c r="B338" s="36">
        <v>13026</v>
      </c>
      <c r="C338" s="36">
        <v>13026</v>
      </c>
      <c r="D338" s="22" t="s">
        <v>163</v>
      </c>
      <c r="E338" s="38" t="s">
        <v>430</v>
      </c>
      <c r="F338" s="36" t="s">
        <v>564</v>
      </c>
    </row>
    <row r="339" spans="1:65" ht="15" customHeight="1" x14ac:dyDescent="0.25">
      <c r="A339" s="50">
        <v>338</v>
      </c>
      <c r="B339" s="36">
        <v>13030</v>
      </c>
      <c r="C339" s="36">
        <v>13030</v>
      </c>
      <c r="D339" s="22" t="s">
        <v>163</v>
      </c>
      <c r="E339" s="39" t="s">
        <v>461</v>
      </c>
      <c r="F339" s="36" t="s">
        <v>477</v>
      </c>
      <c r="G339" s="36"/>
      <c r="H339" s="36"/>
      <c r="I339" s="36"/>
      <c r="J339" s="36"/>
      <c r="K339" s="36"/>
      <c r="L339" s="36"/>
      <c r="M339" s="36"/>
      <c r="N339" s="36"/>
      <c r="O339" s="36"/>
      <c r="P339" s="36"/>
      <c r="Q339" s="36"/>
      <c r="R339" s="36"/>
      <c r="S339" s="36"/>
      <c r="T339" s="36"/>
      <c r="U339" s="36"/>
      <c r="V339" s="36"/>
      <c r="W339" s="36"/>
      <c r="X339" s="43"/>
      <c r="Y339" s="36"/>
      <c r="Z339" s="45"/>
      <c r="AA339" s="45"/>
      <c r="AB339" s="45"/>
      <c r="AC339" s="36"/>
      <c r="AD339" s="43"/>
      <c r="AE339" s="36"/>
      <c r="AF339" s="43"/>
      <c r="AG339" s="45"/>
      <c r="AH339" s="45"/>
      <c r="AI339" s="45"/>
      <c r="AJ339" s="36"/>
      <c r="AK339" s="43"/>
      <c r="AL339" s="35"/>
      <c r="AM339" s="35"/>
      <c r="AN339" s="35"/>
      <c r="AO339" s="35"/>
      <c r="AP339" s="36"/>
      <c r="AQ339" s="36"/>
      <c r="AR339" s="36"/>
      <c r="AS339" s="45"/>
      <c r="AT339" s="45"/>
      <c r="AU339" s="45"/>
      <c r="AV339" s="36"/>
      <c r="AW339" s="45"/>
      <c r="AX339" s="45"/>
      <c r="AY339" s="36"/>
      <c r="AZ339" s="43"/>
      <c r="BA339" s="53"/>
      <c r="BB339" s="53"/>
      <c r="BC339" s="53"/>
      <c r="BD339" s="53"/>
      <c r="BE339" s="53"/>
      <c r="BF339" s="53"/>
      <c r="BG339" s="45"/>
      <c r="BH339" s="45"/>
      <c r="BI339" s="55"/>
      <c r="BJ339" s="54"/>
      <c r="BK339" s="45"/>
      <c r="BL339" s="55"/>
      <c r="BM339" s="54"/>
    </row>
    <row r="340" spans="1:65" ht="15" customHeight="1" x14ac:dyDescent="0.25">
      <c r="A340" s="50">
        <v>339</v>
      </c>
      <c r="B340" s="36">
        <v>13032</v>
      </c>
      <c r="C340" s="46">
        <v>13032</v>
      </c>
      <c r="D340" s="22" t="s">
        <v>163</v>
      </c>
      <c r="E340" s="39" t="s">
        <v>462</v>
      </c>
      <c r="F340" s="36" t="s">
        <v>478</v>
      </c>
      <c r="G340" s="36"/>
      <c r="H340" s="36"/>
      <c r="I340" s="36"/>
      <c r="J340" s="36"/>
      <c r="K340" s="36"/>
      <c r="L340" s="36"/>
      <c r="M340" s="36"/>
      <c r="N340" s="36"/>
      <c r="O340" s="36"/>
      <c r="P340" s="36"/>
      <c r="Q340" s="36"/>
      <c r="R340" s="36"/>
      <c r="S340" s="36"/>
      <c r="T340" s="36"/>
      <c r="U340" s="36"/>
      <c r="V340" s="36"/>
      <c r="W340" s="36"/>
      <c r="X340" s="43"/>
      <c r="Y340" s="36"/>
      <c r="Z340" s="45"/>
      <c r="AA340" s="45"/>
      <c r="AB340" s="45"/>
      <c r="AC340" s="36"/>
      <c r="AD340" s="43"/>
      <c r="AE340" s="36"/>
      <c r="AF340" s="43"/>
      <c r="AG340" s="45"/>
      <c r="AH340" s="45"/>
      <c r="AI340" s="45"/>
      <c r="AJ340" s="36"/>
      <c r="AK340" s="43"/>
      <c r="AL340" s="35"/>
      <c r="AM340" s="35"/>
      <c r="AN340" s="35"/>
      <c r="AO340" s="35"/>
      <c r="AP340" s="36"/>
      <c r="AQ340" s="36"/>
      <c r="AR340" s="36"/>
      <c r="AS340" s="45"/>
      <c r="AT340" s="45"/>
      <c r="AU340" s="45"/>
      <c r="AV340" s="36"/>
      <c r="AW340" s="45"/>
      <c r="AX340" s="45"/>
      <c r="AY340" s="36"/>
      <c r="AZ340" s="43"/>
      <c r="BA340" s="53"/>
      <c r="BB340" s="53"/>
      <c r="BC340" s="53"/>
      <c r="BD340" s="53"/>
      <c r="BE340" s="53"/>
      <c r="BF340" s="53"/>
      <c r="BG340" s="45"/>
      <c r="BH340" s="45"/>
      <c r="BI340" s="55"/>
      <c r="BJ340" s="54"/>
      <c r="BK340" s="45"/>
      <c r="BL340" s="55"/>
      <c r="BM340" s="54"/>
    </row>
    <row r="341" spans="1:65" ht="15" customHeight="1" x14ac:dyDescent="0.25">
      <c r="A341" s="50">
        <v>340</v>
      </c>
      <c r="B341" s="36">
        <v>13034</v>
      </c>
      <c r="C341" s="46">
        <v>13034</v>
      </c>
      <c r="D341" s="22" t="s">
        <v>163</v>
      </c>
      <c r="E341" s="33" t="s">
        <v>471</v>
      </c>
      <c r="F341" s="36" t="s">
        <v>478</v>
      </c>
      <c r="G341" s="36"/>
      <c r="H341" s="36"/>
      <c r="I341" s="36"/>
      <c r="J341" s="36"/>
      <c r="K341" s="36"/>
      <c r="L341" s="36"/>
      <c r="M341" s="36"/>
      <c r="N341" s="36"/>
      <c r="O341" s="36"/>
      <c r="P341" s="36"/>
      <c r="Q341" s="36"/>
      <c r="R341" s="36"/>
      <c r="S341" s="36"/>
      <c r="T341" s="36"/>
      <c r="U341" s="36"/>
      <c r="V341" s="36"/>
      <c r="W341" s="36"/>
      <c r="X341" s="43"/>
      <c r="Y341" s="36"/>
      <c r="Z341" s="45"/>
      <c r="AA341" s="45"/>
      <c r="AB341" s="45"/>
      <c r="AC341" s="36"/>
      <c r="AD341" s="43"/>
      <c r="AE341" s="36"/>
      <c r="AF341" s="43"/>
      <c r="AG341" s="45"/>
      <c r="AH341" s="45"/>
      <c r="AI341" s="45"/>
      <c r="AJ341" s="36"/>
      <c r="AK341" s="43"/>
      <c r="AL341" s="35"/>
      <c r="AM341" s="35"/>
      <c r="AN341" s="35"/>
      <c r="AO341" s="35"/>
      <c r="AP341" s="36"/>
      <c r="AQ341" s="36"/>
      <c r="AR341" s="36"/>
      <c r="AS341" s="45"/>
      <c r="AT341" s="45"/>
      <c r="AU341" s="45"/>
      <c r="AV341" s="36"/>
      <c r="AW341" s="45"/>
      <c r="AX341" s="45"/>
      <c r="AY341" s="36"/>
      <c r="AZ341" s="43"/>
      <c r="BA341" s="53"/>
      <c r="BB341" s="53"/>
      <c r="BC341" s="53"/>
      <c r="BD341" s="53"/>
      <c r="BE341" s="53"/>
      <c r="BF341" s="53"/>
      <c r="BG341" s="45"/>
      <c r="BH341" s="45"/>
      <c r="BI341" s="55"/>
      <c r="BJ341" s="54"/>
      <c r="BK341" s="45"/>
      <c r="BL341" s="55"/>
      <c r="BM341" s="54"/>
    </row>
    <row r="342" spans="1:65" ht="15" customHeight="1" x14ac:dyDescent="0.25">
      <c r="A342" s="50">
        <v>341</v>
      </c>
      <c r="B342" s="36">
        <v>13035</v>
      </c>
      <c r="C342" s="46">
        <v>13035</v>
      </c>
      <c r="D342" s="22" t="s">
        <v>163</v>
      </c>
      <c r="E342" s="33" t="s">
        <v>470</v>
      </c>
      <c r="F342" s="36" t="s">
        <v>479</v>
      </c>
      <c r="G342" s="36"/>
      <c r="H342" s="36"/>
      <c r="I342" s="36"/>
      <c r="J342" s="36"/>
      <c r="K342" s="36"/>
      <c r="L342" s="36"/>
      <c r="M342" s="36"/>
      <c r="N342" s="36"/>
      <c r="O342" s="36"/>
      <c r="P342" s="36"/>
      <c r="Q342" s="36"/>
      <c r="R342" s="36"/>
      <c r="S342" s="36"/>
      <c r="T342" s="36"/>
      <c r="U342" s="36"/>
      <c r="V342" s="36"/>
      <c r="W342" s="36"/>
      <c r="X342" s="43"/>
      <c r="Y342" s="36"/>
      <c r="Z342" s="45"/>
      <c r="AA342" s="45"/>
      <c r="AB342" s="45"/>
      <c r="AC342" s="36"/>
      <c r="AD342" s="43"/>
      <c r="AE342" s="36"/>
      <c r="AF342" s="43"/>
      <c r="AG342" s="45"/>
      <c r="AH342" s="45"/>
      <c r="AI342" s="45"/>
      <c r="AJ342" s="36"/>
      <c r="AK342" s="43"/>
      <c r="AL342" s="35"/>
      <c r="AM342" s="35"/>
      <c r="AN342" s="35"/>
      <c r="AO342" s="35"/>
      <c r="AP342" s="36"/>
      <c r="AQ342" s="36"/>
      <c r="AR342" s="36"/>
      <c r="AS342" s="45"/>
      <c r="AT342" s="45"/>
      <c r="AU342" s="45"/>
      <c r="AV342" s="36"/>
      <c r="AW342" s="45"/>
      <c r="AX342" s="45"/>
      <c r="AY342" s="36"/>
      <c r="AZ342" s="43"/>
      <c r="BA342" s="53"/>
      <c r="BB342" s="53"/>
      <c r="BC342" s="53"/>
      <c r="BD342" s="53"/>
      <c r="BE342" s="53"/>
      <c r="BF342" s="53"/>
      <c r="BG342" s="45"/>
      <c r="BH342" s="45"/>
      <c r="BI342" s="55"/>
      <c r="BJ342" s="54"/>
      <c r="BK342" s="45"/>
      <c r="BL342" s="55"/>
      <c r="BM342" s="54"/>
    </row>
    <row r="343" spans="1:65" ht="15" customHeight="1" x14ac:dyDescent="0.25">
      <c r="A343" s="50">
        <v>342</v>
      </c>
      <c r="B343" s="36">
        <v>13036</v>
      </c>
      <c r="C343" s="36">
        <v>13036</v>
      </c>
      <c r="D343" s="22" t="s">
        <v>163</v>
      </c>
      <c r="E343" s="39" t="s">
        <v>465</v>
      </c>
      <c r="F343" s="36" t="s">
        <v>564</v>
      </c>
      <c r="G343" s="36"/>
      <c r="H343" s="36"/>
      <c r="I343" s="36"/>
      <c r="J343" s="36"/>
      <c r="K343" s="36"/>
      <c r="L343" s="36"/>
      <c r="M343" s="36"/>
      <c r="N343" s="36"/>
      <c r="O343" s="36"/>
      <c r="P343" s="36"/>
      <c r="Q343" s="36"/>
      <c r="R343" s="36"/>
      <c r="S343" s="36"/>
      <c r="T343" s="36"/>
      <c r="U343" s="36"/>
      <c r="V343" s="36"/>
      <c r="W343" s="36"/>
      <c r="X343" s="43"/>
      <c r="Y343" s="36"/>
      <c r="Z343" s="45"/>
      <c r="AA343" s="45"/>
      <c r="AB343" s="45"/>
      <c r="AC343" s="36"/>
      <c r="AD343" s="43"/>
      <c r="AE343" s="36"/>
      <c r="AF343" s="43"/>
      <c r="AG343" s="45"/>
      <c r="AH343" s="45"/>
      <c r="AI343" s="45"/>
      <c r="AJ343" s="36"/>
      <c r="AK343" s="43"/>
      <c r="AL343" s="35"/>
      <c r="AM343" s="35"/>
      <c r="AN343" s="35"/>
      <c r="AO343" s="35"/>
      <c r="AP343" s="36"/>
      <c r="AQ343" s="36"/>
      <c r="AR343" s="36"/>
      <c r="AS343" s="45"/>
      <c r="AT343" s="45"/>
      <c r="AU343" s="45"/>
      <c r="AV343" s="36"/>
      <c r="AW343" s="45"/>
      <c r="AX343" s="45"/>
      <c r="AY343" s="36"/>
      <c r="AZ343" s="43"/>
      <c r="BA343" s="53"/>
      <c r="BB343" s="53"/>
      <c r="BC343" s="53"/>
      <c r="BD343" s="53"/>
      <c r="BE343" s="53"/>
      <c r="BF343" s="53"/>
      <c r="BG343" s="45"/>
      <c r="BH343" s="45"/>
      <c r="BI343" s="55"/>
      <c r="BJ343" s="54"/>
      <c r="BK343" s="45"/>
      <c r="BL343" s="55"/>
      <c r="BM343" s="54"/>
    </row>
    <row r="344" spans="1:65" ht="15" customHeight="1" x14ac:dyDescent="0.25">
      <c r="A344" s="50">
        <v>343</v>
      </c>
      <c r="B344" s="36">
        <v>13037</v>
      </c>
      <c r="C344" s="46">
        <v>13037</v>
      </c>
      <c r="D344" s="22" t="s">
        <v>163</v>
      </c>
      <c r="E344" s="39" t="s">
        <v>466</v>
      </c>
      <c r="F344" s="36" t="s">
        <v>480</v>
      </c>
      <c r="G344" s="36"/>
      <c r="H344" s="36"/>
      <c r="I344" s="36"/>
      <c r="J344" s="36"/>
      <c r="K344" s="36"/>
      <c r="L344" s="36"/>
      <c r="M344" s="36"/>
      <c r="N344" s="36"/>
      <c r="O344" s="36"/>
      <c r="P344" s="36"/>
      <c r="Q344" s="36"/>
      <c r="R344" s="36"/>
      <c r="S344" s="36"/>
      <c r="T344" s="36"/>
      <c r="U344" s="36"/>
      <c r="V344" s="36"/>
      <c r="W344" s="36"/>
      <c r="X344" s="43"/>
      <c r="Y344" s="36"/>
      <c r="Z344" s="45"/>
      <c r="AA344" s="45"/>
      <c r="AB344" s="45"/>
      <c r="AC344" s="36"/>
      <c r="AD344" s="43"/>
      <c r="AE344" s="36"/>
      <c r="AF344" s="43"/>
      <c r="AG344" s="45"/>
      <c r="AH344" s="45"/>
      <c r="AI344" s="45"/>
      <c r="AJ344" s="36"/>
      <c r="AK344" s="43"/>
      <c r="AL344" s="35"/>
      <c r="AM344" s="35"/>
      <c r="AN344" s="35"/>
      <c r="AO344" s="35"/>
      <c r="AP344" s="36"/>
      <c r="AQ344" s="36"/>
      <c r="AR344" s="36"/>
      <c r="AS344" s="45"/>
      <c r="AT344" s="45"/>
      <c r="AU344" s="45"/>
      <c r="AV344" s="36"/>
      <c r="AW344" s="45"/>
      <c r="AX344" s="45"/>
      <c r="AY344" s="36"/>
      <c r="AZ344" s="43"/>
      <c r="BA344" s="53"/>
      <c r="BB344" s="53"/>
      <c r="BC344" s="53"/>
      <c r="BD344" s="53"/>
      <c r="BE344" s="53"/>
      <c r="BF344" s="53"/>
      <c r="BG344" s="45"/>
      <c r="BH344" s="45"/>
      <c r="BI344" s="55"/>
      <c r="BJ344" s="54"/>
      <c r="BK344" s="45"/>
      <c r="BL344" s="55"/>
      <c r="BM344" s="54"/>
    </row>
    <row r="345" spans="1:65" x14ac:dyDescent="0.25">
      <c r="A345" s="50">
        <v>344</v>
      </c>
      <c r="B345" s="36">
        <v>13061</v>
      </c>
      <c r="C345" s="46">
        <v>13061</v>
      </c>
      <c r="D345" s="22" t="s">
        <v>163</v>
      </c>
      <c r="E345" s="11" t="s">
        <v>16</v>
      </c>
      <c r="F345" s="36" t="s">
        <v>481</v>
      </c>
    </row>
    <row r="346" spans="1:65" x14ac:dyDescent="0.25">
      <c r="A346" s="50">
        <v>345</v>
      </c>
      <c r="B346" s="36">
        <v>13091</v>
      </c>
      <c r="C346" s="46">
        <v>13091</v>
      </c>
      <c r="D346" s="22" t="s">
        <v>163</v>
      </c>
      <c r="E346" s="24" t="s">
        <v>353</v>
      </c>
      <c r="F346" s="36" t="s">
        <v>482</v>
      </c>
    </row>
    <row r="347" spans="1:65" x14ac:dyDescent="0.25">
      <c r="A347" s="50">
        <v>346</v>
      </c>
      <c r="B347" s="36">
        <v>13110</v>
      </c>
      <c r="C347" s="46">
        <v>13110</v>
      </c>
      <c r="D347" s="22" t="s">
        <v>163</v>
      </c>
      <c r="E347" s="12" t="s">
        <v>9</v>
      </c>
      <c r="F347" s="36" t="s">
        <v>481</v>
      </c>
    </row>
    <row r="348" spans="1:65" x14ac:dyDescent="0.25">
      <c r="A348" s="50">
        <v>347</v>
      </c>
      <c r="B348" s="36">
        <v>13113</v>
      </c>
      <c r="C348" s="71">
        <v>13113</v>
      </c>
      <c r="D348" s="22" t="s">
        <v>163</v>
      </c>
      <c r="E348" s="34" t="s">
        <v>408</v>
      </c>
      <c r="F348" s="43" t="s">
        <v>450</v>
      </c>
    </row>
    <row r="349" spans="1:65" x14ac:dyDescent="0.25">
      <c r="A349" s="50">
        <v>348</v>
      </c>
      <c r="B349" s="36">
        <v>13120</v>
      </c>
      <c r="C349" s="46">
        <v>13120</v>
      </c>
      <c r="D349" s="22" t="s">
        <v>163</v>
      </c>
      <c r="E349" s="13" t="s">
        <v>8</v>
      </c>
      <c r="F349" s="36" t="s">
        <v>481</v>
      </c>
    </row>
    <row r="350" spans="1:65" x14ac:dyDescent="0.25">
      <c r="A350" s="50">
        <v>349</v>
      </c>
      <c r="B350" s="36">
        <v>13123</v>
      </c>
      <c r="C350" s="71">
        <v>13123</v>
      </c>
      <c r="D350" s="22" t="s">
        <v>163</v>
      </c>
      <c r="E350" s="32" t="s">
        <v>403</v>
      </c>
      <c r="F350" s="43" t="s">
        <v>450</v>
      </c>
    </row>
    <row r="351" spans="1:65" x14ac:dyDescent="0.25">
      <c r="A351" s="50">
        <v>350</v>
      </c>
      <c r="B351" s="36">
        <v>13130</v>
      </c>
      <c r="C351" s="46">
        <v>13130</v>
      </c>
      <c r="D351" s="22" t="s">
        <v>163</v>
      </c>
      <c r="E351" s="14" t="s">
        <v>10</v>
      </c>
      <c r="F351" s="36" t="s">
        <v>483</v>
      </c>
    </row>
    <row r="352" spans="1:65" x14ac:dyDescent="0.25">
      <c r="A352" s="50">
        <v>351</v>
      </c>
      <c r="B352" s="36">
        <v>13133</v>
      </c>
      <c r="C352" s="71">
        <v>13133</v>
      </c>
      <c r="D352" s="22" t="s">
        <v>163</v>
      </c>
      <c r="E352" s="31" t="s">
        <v>405</v>
      </c>
      <c r="F352" s="43" t="s">
        <v>451</v>
      </c>
    </row>
    <row r="353" spans="1:6" x14ac:dyDescent="0.25">
      <c r="A353" s="50">
        <v>352</v>
      </c>
      <c r="B353" s="36">
        <v>13140</v>
      </c>
      <c r="C353" s="46">
        <v>13140</v>
      </c>
      <c r="D353" s="22" t="s">
        <v>163</v>
      </c>
      <c r="E353" s="15" t="s">
        <v>14</v>
      </c>
      <c r="F353" s="36" t="s">
        <v>484</v>
      </c>
    </row>
    <row r="354" spans="1:6" x14ac:dyDescent="0.25">
      <c r="A354" s="50">
        <v>353</v>
      </c>
      <c r="B354" s="36">
        <v>13150</v>
      </c>
      <c r="C354" s="46">
        <v>13150</v>
      </c>
      <c r="D354" s="22" t="s">
        <v>163</v>
      </c>
      <c r="E354" s="18" t="s">
        <v>15</v>
      </c>
      <c r="F354" s="43" t="s">
        <v>565</v>
      </c>
    </row>
    <row r="355" spans="1:6" x14ac:dyDescent="0.25">
      <c r="A355" s="50">
        <v>354</v>
      </c>
      <c r="B355" s="36">
        <v>14011</v>
      </c>
      <c r="C355" s="46">
        <v>14011</v>
      </c>
      <c r="D355" s="36" t="s">
        <v>2</v>
      </c>
      <c r="E355" s="46" t="s">
        <v>411</v>
      </c>
      <c r="F355" s="36" t="s">
        <v>441</v>
      </c>
    </row>
    <row r="356" spans="1:6" x14ac:dyDescent="0.25">
      <c r="A356" s="50">
        <v>355</v>
      </c>
      <c r="B356" s="36">
        <v>14021</v>
      </c>
      <c r="C356" s="36">
        <v>14021</v>
      </c>
      <c r="D356" s="36" t="s">
        <v>2</v>
      </c>
      <c r="E356" s="38" t="s">
        <v>426</v>
      </c>
      <c r="F356" s="36" t="s">
        <v>546</v>
      </c>
    </row>
    <row r="357" spans="1:6" x14ac:dyDescent="0.25">
      <c r="A357" s="50">
        <v>356</v>
      </c>
      <c r="B357" s="36">
        <v>14031</v>
      </c>
      <c r="C357" s="36">
        <v>14031</v>
      </c>
      <c r="D357" s="36" t="s">
        <v>2</v>
      </c>
      <c r="E357" s="39" t="s">
        <v>460</v>
      </c>
      <c r="F357" s="36" t="s">
        <v>546</v>
      </c>
    </row>
    <row r="358" spans="1:6" x14ac:dyDescent="0.25">
      <c r="A358" s="50">
        <v>357</v>
      </c>
      <c r="B358" s="52" t="s">
        <v>326</v>
      </c>
      <c r="C358" s="68">
        <v>9114170</v>
      </c>
      <c r="D358" s="36" t="s">
        <v>2</v>
      </c>
      <c r="E358" s="80" t="s">
        <v>12</v>
      </c>
      <c r="F358" s="36" t="s">
        <v>545</v>
      </c>
    </row>
    <row r="359" spans="1:6" x14ac:dyDescent="0.25">
      <c r="A359" s="50">
        <v>358</v>
      </c>
      <c r="B359" s="52" t="s">
        <v>327</v>
      </c>
      <c r="C359" s="68">
        <v>9214170</v>
      </c>
      <c r="D359" s="36" t="s">
        <v>2</v>
      </c>
      <c r="E359" s="80" t="s">
        <v>12</v>
      </c>
      <c r="F359" s="36" t="s">
        <v>545</v>
      </c>
    </row>
    <row r="360" spans="1:6" x14ac:dyDescent="0.25">
      <c r="A360" s="50">
        <v>359</v>
      </c>
      <c r="B360" s="52" t="s">
        <v>328</v>
      </c>
      <c r="C360" s="68">
        <v>9314170</v>
      </c>
      <c r="D360" s="36" t="s">
        <v>2</v>
      </c>
      <c r="E360" s="80" t="s">
        <v>12</v>
      </c>
      <c r="F360" s="36" t="s">
        <v>545</v>
      </c>
    </row>
  </sheetData>
  <autoFilter ref="A1:F360"/>
  <mergeCells count="5">
    <mergeCell ref="K9:T13"/>
    <mergeCell ref="K20:T23"/>
    <mergeCell ref="K30:T32"/>
    <mergeCell ref="K24:T29"/>
    <mergeCell ref="K17:T19"/>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Comments</vt:lpstr>
      <vt:lpstr>Definitions</vt:lpstr>
      <vt:lpstr>Fuelbeds_metric</vt:lpstr>
      <vt:lpstr>Fuelbeds_english</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Lucrecia</dc:creator>
  <cp:lastModifiedBy>LUCRE</cp:lastModifiedBy>
  <cp:lastPrinted>2012-09-18T15:27:04Z</cp:lastPrinted>
  <dcterms:created xsi:type="dcterms:W3CDTF">2012-05-16T14:32:35Z</dcterms:created>
  <dcterms:modified xsi:type="dcterms:W3CDTF">2024-09-23T16:15:36Z</dcterms:modified>
</cp:coreProperties>
</file>